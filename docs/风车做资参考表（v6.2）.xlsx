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120" activeTab="7"/>
  </bookViews>
  <sheets>
    <sheet name="资质数据" sheetId="1" r:id="rId1"/>
    <sheet name="宠物合成表" sheetId="2" r:id="rId2"/>
    <sheet name="贴纸效果" sheetId="3" r:id="rId3"/>
    <sheet name="满属性资质需求计算器" sheetId="4" r:id="rId4"/>
    <sheet name="提资计算表" sheetId="5" r:id="rId5"/>
    <sheet name="从零开始做资参考" sheetId="6" r:id="rId6"/>
    <sheet name="综合计算器" sheetId="7" r:id="rId7"/>
    <sheet name="宠物资质信息" sheetId="8" r:id="rId8"/>
  </sheets>
  <definedNames>
    <definedName name="_xlnm._FilterDatabase" localSheetId="2" hidden="1">贴纸效果!$A$2:$P$154</definedName>
    <definedName name="_xlnm._FilterDatabase" localSheetId="0" hidden="1">资质数据!$B$3:$D$9</definedName>
    <definedName name="_xlnm._FilterDatabase" localSheetId="6" hidden="1">综合计算器!$D$32:$D$42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<sst xmlns="http://schemas.openxmlformats.org/spreadsheetml/2006/main" count="2693" uniqueCount="524">
  <si>
    <t>表1</t>
  </si>
  <si>
    <t>以神兽为基础，每次打满10%战神资及攻速法防家族资，开8孔打家族五品宠物攻击宝石（653）进行合成（合速法不需要参考数据直接干就是了，其他情况下合攻收益最高）</t>
  </si>
  <si>
    <t>表5</t>
  </si>
  <si>
    <t>double合宠版9提1（在四合宠物上打9颗合宠提资资质宝石再提取），本数据需自行加上表2宝石资</t>
  </si>
  <si>
    <t>合宠最终产物</t>
  </si>
  <si>
    <t>深渊领主</t>
  </si>
  <si>
    <t>机械兽神</t>
  </si>
  <si>
    <t>多头蛇怪</t>
  </si>
  <si>
    <t>九提一载体</t>
  </si>
  <si>
    <t>恶魔武士</t>
  </si>
  <si>
    <t>生命资质</t>
  </si>
  <si>
    <t>a类</t>
  </si>
  <si>
    <t>攻击资质</t>
  </si>
  <si>
    <t>速度资质</t>
  </si>
  <si>
    <t>法力资质</t>
  </si>
  <si>
    <t>防御资质</t>
  </si>
  <si>
    <t>表2</t>
  </si>
  <si>
    <t>最终打石头（8+3）提取时多增加部分（目标为多满的情况下，提血效益最高，其次是攻防）（左列可直接加在表1和表6数据上，右列应用于表5同上操作）</t>
  </si>
  <si>
    <t>b类</t>
  </si>
  <si>
    <t>生命</t>
  </si>
  <si>
    <t>九提一数值</t>
  </si>
  <si>
    <t>攻击</t>
  </si>
  <si>
    <t>速度</t>
  </si>
  <si>
    <t>法力</t>
  </si>
  <si>
    <t>应该没人提法吧</t>
  </si>
  <si>
    <t>不提</t>
  </si>
  <si>
    <t>防御</t>
  </si>
  <si>
    <t>表3</t>
  </si>
  <si>
    <t>合宠产物明细</t>
  </si>
  <si>
    <t>产物分布</t>
  </si>
  <si>
    <t>表6</t>
  </si>
  <si>
    <t>其他参考数据</t>
  </si>
  <si>
    <t>恶魔武士四合</t>
  </si>
  <si>
    <t>表7</t>
  </si>
  <si>
    <t>自合过程中合攻合速提出资质差别（直接加到表1和表6数据上*以上已含有攻击项*）</t>
  </si>
  <si>
    <t>基础宠物</t>
  </si>
  <si>
    <t>深渊领主概率</t>
  </si>
  <si>
    <t>机械兽神概率</t>
  </si>
  <si>
    <t>多头蛇怪概率</t>
  </si>
  <si>
    <t>杀手猫</t>
  </si>
  <si>
    <t>梦彩狼</t>
  </si>
  <si>
    <t>合攻额外提出</t>
  </si>
  <si>
    <t>雷火兽</t>
  </si>
  <si>
    <t>合速额外提出</t>
  </si>
  <si>
    <t>熊猫酒仙（粽子）</t>
  </si>
  <si>
    <t>剩蛋猴</t>
  </si>
  <si>
    <t>长江8号</t>
  </si>
  <si>
    <t>表8</t>
  </si>
  <si>
    <t>double合宠纯a类（基础宠及九提一载体全用杀手猫和鹿萌萌）做资法（注：目前我算出五满资性价比最高做法）</t>
  </si>
  <si>
    <t>准备材料：神兽召唤卷轴*10（召唤鹿萌萌）；提资器*10，合成石*40；启魂50套（普启*100，超启*50，圣启*50），完美启魂*1；普通披风*10，五品宠物生命宝石（魔族）*58，五品宠物防御宝石（魔族）*44；战神高级积分1000万点（换宠物基础资质成长卡*500），家族贡献88万（换攻、速、法、防宝石强化卡各40套）。
花费为：提资套（45*10=450），完美启魂（3.5*1=3.5），普通披风（最少3.5*10=35），五品魔族宝石（102*0.2=20.4），共计450+3.5+35+20.4=508.9
做法：召唤鹿萌萌，每次合成开8孔打满家族五品攻击宝石，打10%战神资及20%攻速法防家族资四合，10只完成四次合成后留下一只四合出来的深渊领主（如果没有就留多头蛇怪）开9孔，剩下9只全部开8孔打10%战神资装备普通披风，5只打满魔族生命石，4只打满魔族防御石（不需要区分，随意打，总共55生命44防御随便打都一样），将9只全部用提资器提掉，将这9颗资质宝石打在留下的深渊领主（或多头蛇怪）上，打10%战神资装备普通披风（3颗魔族生命宝石），然后提掉就得到左侧数据的一颗宠物宝石</t>
  </si>
  <si>
    <t>鹿萌萌</t>
  </si>
  <si>
    <t>以五血四防比例提资，九提一时再加三生命石普通披风</t>
  </si>
  <si>
    <t>表4</t>
  </si>
  <si>
    <t>合成提资期望值</t>
  </si>
  <si>
    <t>期望资质</t>
  </si>
  <si>
    <t>杀手猫/熊猫酒仙（粽子）/鹿萌萌</t>
  </si>
  <si>
    <t>梦彩狼/雷火兽</t>
  </si>
  <si>
    <t>注意：本做法相比于三合熊猫做法，用稍少的血防换取稍高的攻击及大量的速法（接近一颗速法资），仅在于主攻血防且追求更高速法属性的情况下（五满）性价比更高，缺点是需要更多家族贡献和战神高级积分（鹿萌萌可交易，使用第二个号打第一步的家族资和战神资可为主号节省200万战神高级积分和22万家族贡献）</t>
  </si>
  <si>
    <t>表9</t>
  </si>
  <si>
    <t>宠物资质需求参考（资质转换率为游戏数据倒推，仅供参考）</t>
  </si>
  <si>
    <t>已知属性增幅（贴纸共计五张，法宝共计一项，*存在复合增幅贴纸，自行查找*）</t>
  </si>
  <si>
    <t>宠物资质数据参考（资质转换率为游戏数据倒推，仅供参考）</t>
  </si>
  <si>
    <t>宠物里世界潜力：
在10000点潜力的情况下，为宠物总资质（基础资质加红色资质，不包含资质卡加成和宝石卡加成）的0.18倍转化为防御力（可以受法宝10%、天赋30%以及贴纸加成），宠物潜力最高可达到15000，此时系数为0.27。
例：某宠物拥有0基础资和84000红色防御资，在五防贴（加成112%）和天赋（加成30%）及法宝（加成10%）下，刷10000潜力可额外获得防御力38102点，百级二转分配属性点（99+408）获得防御力为463642点，总共501744点。</t>
  </si>
  <si>
    <t>项目</t>
  </si>
  <si>
    <t>转化率（一点属性对应相应资质）</t>
  </si>
  <si>
    <t xml:space="preserve">             项目       增幅类型</t>
  </si>
  <si>
    <t>转化率（一点资质对应相应属性）</t>
  </si>
  <si>
    <t>贴纸a</t>
  </si>
  <si>
    <t>贴纸b</t>
  </si>
  <si>
    <t>贴纸c</t>
  </si>
  <si>
    <t>贴纸d</t>
  </si>
  <si>
    <t>贴纸e</t>
  </si>
  <si>
    <t>技能（圣）</t>
  </si>
  <si>
    <t>闯天关：
根据文件＂宠物攻略＂推导，生命100000防御10000以上（皆受法宝、天赋、贴纸和技能加成）</t>
  </si>
  <si>
    <t>天赋</t>
  </si>
  <si>
    <t>法宝</t>
  </si>
  <si>
    <t>表10</t>
  </si>
  <si>
    <t>宠物资质计算表（表10，表11，表12，表13），蓝色单元格自行输入数据，计算结果仅供参考，系统随机分配点不存在以下平均值，请自行在可分配栏调整（可输入负数）</t>
  </si>
  <si>
    <t>宠物等级（填入）</t>
  </si>
  <si>
    <t>可分配点数</t>
  </si>
  <si>
    <t>转生等级（0–2）</t>
  </si>
  <si>
    <t>表12</t>
  </si>
  <si>
    <t>宠物信息</t>
  </si>
  <si>
    <t>生命属性点</t>
  </si>
  <si>
    <t>基础资质</t>
  </si>
  <si>
    <t>红色资质</t>
  </si>
  <si>
    <t>增幅值</t>
  </si>
  <si>
    <t>目标属性</t>
  </si>
  <si>
    <t>攻击属性点</t>
  </si>
  <si>
    <t>速度属性点</t>
  </si>
  <si>
    <t>法力属性点</t>
  </si>
  <si>
    <t>转生属性点</t>
  </si>
  <si>
    <t>防御属性点</t>
  </si>
  <si>
    <t>属性增幅选择</t>
  </si>
  <si>
    <t>贴纸</t>
  </si>
  <si>
    <t>天赋（固定）</t>
  </si>
  <si>
    <t>技能</t>
  </si>
  <si>
    <t>结果</t>
  </si>
  <si>
    <t>所需属性点</t>
  </si>
  <si>
    <t>自助预估</t>
  </si>
  <si>
    <t>宠物等级</t>
  </si>
  <si>
    <t>自由属性点</t>
  </si>
  <si>
    <t>宠物基础资质</t>
  </si>
  <si>
    <t>所需红色资质</t>
  </si>
  <si>
    <t xml:space="preserve">
*有些加成算上去会有偏差，通常是加成实际上没有那么高，原因未知，无加成项的属性还是比较准确的*</t>
  </si>
  <si>
    <t>多余属性点</t>
  </si>
  <si>
    <t>结论</t>
  </si>
  <si>
    <t>表13</t>
  </si>
  <si>
    <t>宠物信息（北极宠版本）</t>
  </si>
  <si>
    <t>表11</t>
  </si>
  <si>
    <t>*仅供参考*由现有资质计算属性（貌似没啥卵用，都知道这些数据了属性也能看到了）</t>
  </si>
  <si>
    <t>属性点数</t>
  </si>
  <si>
    <t>增幅总和</t>
  </si>
  <si>
    <t>最终属性</t>
  </si>
  <si>
    <t>吸血猫</t>
  </si>
  <si>
    <t>野猪王</t>
  </si>
  <si>
    <t>灰大狼</t>
  </si>
  <si>
    <t>铁金刚</t>
  </si>
  <si>
    <t>狐铃铛</t>
  </si>
  <si>
    <t>百变魔女</t>
  </si>
  <si>
    <t>莫莉卡</t>
  </si>
  <si>
    <t>斯拉姆</t>
  </si>
  <si>
    <t>巴欧力</t>
  </si>
  <si>
    <t>人鱼公主</t>
  </si>
  <si>
    <t>雪人宝宝</t>
  </si>
  <si>
    <t>树之骑士</t>
  </si>
  <si>
    <t>神灯巨人</t>
  </si>
  <si>
    <t>英克巴特</t>
  </si>
  <si>
    <t>黑骑士</t>
  </si>
  <si>
    <t>地狱魔</t>
  </si>
  <si>
    <t>血色狼人</t>
  </si>
  <si>
    <t>八四光年</t>
  </si>
  <si>
    <t>巨象王</t>
  </si>
  <si>
    <t>熊猫武圣</t>
  </si>
  <si>
    <t>冰龙宝宝</t>
  </si>
  <si>
    <t>圣灵羽</t>
  </si>
  <si>
    <t>花香宝宝</t>
  </si>
  <si>
    <t>暗影死神</t>
  </si>
  <si>
    <t>品级</t>
  </si>
  <si>
    <t>名称</t>
  </si>
  <si>
    <t>命中</t>
  </si>
  <si>
    <t>闪避</t>
  </si>
  <si>
    <t>物抗</t>
  </si>
  <si>
    <t>技抗</t>
  </si>
  <si>
    <t>爆抗</t>
  </si>
  <si>
    <t>逆物</t>
  </si>
  <si>
    <t>逆技</t>
  </si>
  <si>
    <t>致命</t>
  </si>
  <si>
    <t>爆伤</t>
  </si>
  <si>
    <t>魂</t>
  </si>
  <si>
    <t>魂品NPC关重七（刘山泉）速度26%</t>
  </si>
  <si>
    <t>神</t>
  </si>
  <si>
    <t>神品宠物人鱼公主速度20%</t>
  </si>
  <si>
    <t>神品宠物小白狼速度16%逆物8</t>
  </si>
  <si>
    <t>神品彩云地精速度16%闪避6</t>
  </si>
  <si>
    <t>五</t>
  </si>
  <si>
    <t>五品NPC梨落速度16%</t>
  </si>
  <si>
    <t>四</t>
  </si>
  <si>
    <t>四品宠物火蝙蝠速度12%</t>
  </si>
  <si>
    <t>五品NPC粽子精灵速度12%闪避4</t>
  </si>
  <si>
    <t>四品宠物死神鸟速度10%法力4%</t>
  </si>
  <si>
    <t>四品生肖王兔防御4%速度10%</t>
  </si>
  <si>
    <t>三</t>
  </si>
  <si>
    <t>三品迷失国度邪恶灵魂速度10%</t>
  </si>
  <si>
    <t>三品迷失国度甲壳兽速度8%法力2%</t>
  </si>
  <si>
    <t>三品宠物青螳速度8%技抗2</t>
  </si>
  <si>
    <t>神品NPC星澈速度6%法力16%</t>
  </si>
  <si>
    <t>二</t>
  </si>
  <si>
    <t>二品迷失国度牛蛙王子速度6%法力2%</t>
  </si>
  <si>
    <t>二品宠物兔叉叉速度6%</t>
  </si>
  <si>
    <t>四品生肖王羊速度4%法力10%</t>
  </si>
  <si>
    <t>四品生肖王狗防御12%速度4%</t>
  </si>
  <si>
    <t>四品生肖王猴速度4%命中12</t>
  </si>
  <si>
    <t>一</t>
  </si>
  <si>
    <t>一品宠物赤尾狐速度4%</t>
  </si>
  <si>
    <t>三品宠物帽子兔速度2%法力8%</t>
  </si>
  <si>
    <t>二品宠物彩羽鸟法力6%速度2%</t>
  </si>
  <si>
    <t>三品宠物天马防御10%速度2%</t>
  </si>
  <si>
    <t>二品迷失国度老草泥马防御6%速度2%</t>
  </si>
  <si>
    <t>一品生肖子鼠速度2%</t>
  </si>
  <si>
    <t>魂品神泣时代逆流暴伤倍率42%致命10</t>
  </si>
  <si>
    <t>神品彩云魔魂致命10</t>
  </si>
  <si>
    <t>神品彩云神兽命中8致命8</t>
  </si>
  <si>
    <t>四品宠物蓝虎致命6</t>
  </si>
  <si>
    <t>三品迷失国度史前巨兽攻击力2%致命4</t>
  </si>
  <si>
    <t>三品迷失国度峭壁号令者攻击力2%致命4</t>
  </si>
  <si>
    <t>三品宠物鱼雷致命4</t>
  </si>
  <si>
    <t>三品宠物飘飘精灵技抗2致命4</t>
  </si>
  <si>
    <t>四品生肖王马攻击力4%致命4</t>
  </si>
  <si>
    <t>二品迷失国度乱石仆从命中2致命2</t>
  </si>
  <si>
    <t>二品宠物灵毛鼠致命2</t>
  </si>
  <si>
    <t>四品生肖王虎攻击力10%致命2</t>
  </si>
  <si>
    <t>四品宠物小恶魔命中12致命2</t>
  </si>
  <si>
    <t>一品宠物香蕉致命2</t>
  </si>
  <si>
    <t>魂品NPC桃子法力26%</t>
  </si>
  <si>
    <t>神品宠物神灯巨人法力20%</t>
  </si>
  <si>
    <t>神品宠物卡比法力16%命中8</t>
  </si>
  <si>
    <t>五品宠物天使兔法力16%</t>
  </si>
  <si>
    <t>四品宠物粉红狐法力12%</t>
  </si>
  <si>
    <t>三品宠物美人鱼法力10%</t>
  </si>
  <si>
    <t>四品宠物火巨人攻击力4%法力10%</t>
  </si>
  <si>
    <t>四品生肖王鼠法力10%</t>
  </si>
  <si>
    <t>四品宠物花仙子法力10%命中4</t>
  </si>
  <si>
    <t>四品NPC舞镜法力10%逆技4</t>
  </si>
  <si>
    <t>三品迷失国度深渊怪物防御4%法力8%</t>
  </si>
  <si>
    <t>二品宠物独眼怪法力6%命中2</t>
  </si>
  <si>
    <t>二品宠物*魂法力6%</t>
  </si>
  <si>
    <t>四品不死鸟攻击力12%法力4%</t>
  </si>
  <si>
    <t>四品宠物红龙攻击力10%法力4%</t>
  </si>
  <si>
    <t>四品宠物*灵法力4%逆技12</t>
  </si>
  <si>
    <t>一品生肖已蛇法力4%</t>
  </si>
  <si>
    <t>三品迷失国度峭壁守护者技抗8法力2%</t>
  </si>
  <si>
    <t>一品宠物妙树扇贝法力2%</t>
  </si>
  <si>
    <t>四品宠物丑小鸭生命4%防御12%</t>
  </si>
  <si>
    <t>四品生肖王蛇攻击力10%生命4%</t>
  </si>
  <si>
    <t>二品宠物水溅龟生命2%防御8%</t>
  </si>
  <si>
    <t>三品迷失国度史前精灵防御8%生命2%</t>
  </si>
  <si>
    <t>二品迷失国度巫毒使徒攻击力6%生命2%</t>
  </si>
  <si>
    <t>三品宠物食人鱼生命2%攻击力8%</t>
  </si>
  <si>
    <t>魂品神泣时代幻世防御36%</t>
  </si>
  <si>
    <t>神品彩云绿魔防御26%</t>
  </si>
  <si>
    <t>五品宠物跳跳猪防御22%</t>
  </si>
  <si>
    <t>四品宠物火龙兽防御16%</t>
  </si>
  <si>
    <t>三品迷失国度邪恶意志防御12%</t>
  </si>
  <si>
    <t>二品NPC巴菲特防御10%</t>
  </si>
  <si>
    <t>三品绿帽鸭攻击力2%防御10%</t>
  </si>
  <si>
    <t>三品宠物加农炮技抗2防御10%</t>
  </si>
  <si>
    <t>五品宠物熊猫酒仙攻击力12%防御6%</t>
  </si>
  <si>
    <t>一品宠物蜗牛防御6%</t>
  </si>
  <si>
    <t>三品迷失国度暴力熊攻击力8%防御4%</t>
  </si>
  <si>
    <t>三品宠物火鸡技抗8防御4%</t>
  </si>
  <si>
    <t>二品迷失国度小草泥马攻击力6%防御2%</t>
  </si>
  <si>
    <t>一品生肖酉鸡防御2%技抗2</t>
  </si>
  <si>
    <t>一品生肖午马防御2%物抗2</t>
  </si>
  <si>
    <t>一品生肖辰龙防御2%</t>
  </si>
  <si>
    <t>二品宠物小蓝龙攻击力6%</t>
  </si>
  <si>
    <t>二品宠物草虫攻击力6%物抗2</t>
  </si>
  <si>
    <t>二品迷失国度巫毒长老物抗2暴伤抗12</t>
  </si>
  <si>
    <t>二品迷失国度乱石头目物抗6技抗2</t>
  </si>
  <si>
    <t>二品迷失国度狂野精灵兵暴伤抗14</t>
  </si>
  <si>
    <t>二品宠物小蜜蜂闪避6</t>
  </si>
  <si>
    <t>二品宠物小钢炮命中10</t>
  </si>
  <si>
    <t>二品宠物苹果命中8闪避2</t>
  </si>
  <si>
    <t>二品宠物冬青虫技抗6</t>
  </si>
  <si>
    <t>二品宠物弹簧猪物抗2技抗6</t>
  </si>
  <si>
    <t>二品宠物大黄蜂物抗6</t>
  </si>
  <si>
    <t>魂品BOSS人造人零号攻击力26%</t>
  </si>
  <si>
    <t>魂品神泣时代风皇（伊卡洛斯）闪避26</t>
  </si>
  <si>
    <t>魂品NPC无名帅哥物抗20技抗8</t>
  </si>
  <si>
    <t>魂品NPC无名美女物抗8技抗20</t>
  </si>
  <si>
    <t>三品迷失国度唤雨兽攻击力10%</t>
  </si>
  <si>
    <t>三品宠物淘汰狼攻击力8%物抗2</t>
  </si>
  <si>
    <t>三品宠物气鼓鱼攻击力8%命中4</t>
  </si>
  <si>
    <t>三品迷失国度远古勇士命中10闪避2</t>
  </si>
  <si>
    <t>三品迷失国度远古精灵兵逆物4逆技10</t>
  </si>
  <si>
    <t>三品迷失国度邪火守护者逆物2逆技8</t>
  </si>
  <si>
    <t>三品迷失国度邪火奴仆逆物8逆技2</t>
  </si>
  <si>
    <t>三品迷失国度绿水灵兽逆物10逆技4</t>
  </si>
  <si>
    <t>三品迷失国度绿水精灵物抗2技抗8</t>
  </si>
  <si>
    <t>三品迷失国度盔甲兽技抗10</t>
  </si>
  <si>
    <t>三品迷失国度毒之使徒命中4闪避8</t>
  </si>
  <si>
    <t>三品宠物企鹅先生物抗10</t>
  </si>
  <si>
    <t>三品宠物灵羽物抗8技抗2</t>
  </si>
  <si>
    <t>三品宠物蓝藻物抗8命中4</t>
  </si>
  <si>
    <t>三品宠物大眼蜗物抗8暴抗6</t>
  </si>
  <si>
    <t>三品宠物冰翼闪避10</t>
  </si>
  <si>
    <t>三品宠物龅牙兔技抗8闪避2</t>
  </si>
  <si>
    <t>神品宠物百变魔女攻击力20%</t>
  </si>
  <si>
    <t>神品宠物邪恶之星攻击力16%逆技8</t>
  </si>
  <si>
    <t>神品彩云水兽命中20攻击力6%</t>
  </si>
  <si>
    <t>神品彩云蛛王逆物20逆技8</t>
  </si>
  <si>
    <t>神品彩云风兽物抗6技抗16</t>
  </si>
  <si>
    <t>神品彩云电兽物抗20</t>
  </si>
  <si>
    <t>神品彩云冰妖技抗16暴伤抗12</t>
  </si>
  <si>
    <t>神品NPC枪王罗克萨斯命中26</t>
  </si>
  <si>
    <t>神品NPC卖报女孩笛子技抗20</t>
  </si>
  <si>
    <t>神品NPC卡妙逆物26</t>
  </si>
  <si>
    <t>神品NPC艾欧里亚逆技26</t>
  </si>
  <si>
    <t>四品宠物独角兽攻击力12%</t>
  </si>
  <si>
    <t>四品生肖王猪物抗4技抗10</t>
  </si>
  <si>
    <t>四品生肖王龙物抗12</t>
  </si>
  <si>
    <t>四品迷失国度幻界异兽逆物16</t>
  </si>
  <si>
    <t>四品迷失国度幻界龙王逆技16</t>
  </si>
  <si>
    <t>四品宠物朋克猴命中16</t>
  </si>
  <si>
    <t>四品宠物路行龙技抗12</t>
  </si>
  <si>
    <t>四品宠物九色蝴暴伤抗26</t>
  </si>
  <si>
    <t>四品宠物炯炯鸟闪避12</t>
  </si>
  <si>
    <t>四品宠物长耳兔命中4闪避10</t>
  </si>
  <si>
    <t>五品宠物吸血叮当猫攻击力16%</t>
  </si>
  <si>
    <t>五品宠物擎天柱物抗16</t>
  </si>
  <si>
    <t>五品宠物路行鸟闪避16</t>
  </si>
  <si>
    <t>五品宠物流感猪物抗12技抗4</t>
  </si>
  <si>
    <t>一品宠物葡萄攻击力4%</t>
  </si>
  <si>
    <t>一品NPC奥巴马攻击力2%</t>
  </si>
  <si>
    <t>一品生肖申猴暴伤4%</t>
  </si>
  <si>
    <t>一品生肖寅虎逆技2</t>
  </si>
  <si>
    <t>一品生肖戌狗逆物2</t>
  </si>
  <si>
    <t>一品生肖卯兔闪避4</t>
  </si>
  <si>
    <t>一品迷失国度小犀鸟技抗6</t>
  </si>
  <si>
    <t>一品迷失国度小绿帽技抗4</t>
  </si>
  <si>
    <t>一品迷失国度小红帽逆物6</t>
  </si>
  <si>
    <t>一品迷失国度青蛙王子物抗4</t>
  </si>
  <si>
    <t>一品迷失国度狂犀鸟命中6</t>
  </si>
  <si>
    <t>一品宠物迷宫扇贝物抗2</t>
  </si>
  <si>
    <t>一品宠物绿宝石扇贝闪避2</t>
  </si>
  <si>
    <t>一品宠物龙脉扇贝技抗2</t>
  </si>
  <si>
    <t>一品宠物蓝宝石扇贝命中2</t>
  </si>
  <si>
    <t>一品宠物冰原扇贝暴伤抗4</t>
  </si>
  <si>
    <t>进化等级</t>
  </si>
  <si>
    <t>转生等级</t>
  </si>
  <si>
    <t>是否有圣技</t>
  </si>
  <si>
    <t>是否有法宝</t>
  </si>
  <si>
    <t>贴纸数</t>
  </si>
  <si>
    <t>属性项</t>
  </si>
  <si>
    <t>基础属性点</t>
  </si>
  <si>
    <t>分配属性点</t>
  </si>
  <si>
    <t>技能（圣技）</t>
  </si>
  <si>
    <t>属性</t>
  </si>
  <si>
    <t>单满</t>
  </si>
  <si>
    <t>是</t>
  </si>
  <si>
    <t>否</t>
  </si>
  <si>
    <t>双满</t>
  </si>
  <si>
    <t>三满</t>
  </si>
  <si>
    <t>四满</t>
  </si>
  <si>
    <t>五满</t>
  </si>
  <si>
    <t>三满/四满/五满属性点分配占比调整（随便调，会按数值比例去分配属性点）</t>
  </si>
  <si>
    <t>提资总结：做单满攻，提四合攻恶魔武士最省钱（孔多可适当用硬提八四光年替代，更省）；双满血防，硬提熊猫武圣九提一最省钱；三满攻血防，合攻二合树骑，三合熊猫大象提血防，最后四合宠九提一最省钱（孔多适当用硬提熊猫九提一替代更省）；五满四合a类提血防九提一（资质数据表表8）最省钱（10孔刚好百级五满，没得选）。</t>
  </si>
  <si>
    <t>合计</t>
  </si>
  <si>
    <t>宝石</t>
  </si>
  <si>
    <t>总和</t>
  </si>
  <si>
    <t>宠物资质宝石</t>
  </si>
  <si>
    <t>四合攻a类</t>
  </si>
  <si>
    <t>四合攻b类</t>
  </si>
  <si>
    <t>四合攻深渊领主</t>
  </si>
  <si>
    <t>四合攻恶魔武士</t>
  </si>
  <si>
    <t>四合速a类</t>
  </si>
  <si>
    <t>四合速b类</t>
  </si>
  <si>
    <t>四合速深渊领主</t>
  </si>
  <si>
    <t>四合速恶魔武士</t>
  </si>
  <si>
    <t>硬提八四光年</t>
  </si>
  <si>
    <t>硬提熊猫武圣</t>
  </si>
  <si>
    <t>二合攻树骑</t>
  </si>
  <si>
    <t>三合攻巨象</t>
  </si>
  <si>
    <t>三合攻熊猫</t>
  </si>
  <si>
    <t>自定义1</t>
  </si>
  <si>
    <t>自定义2</t>
  </si>
  <si>
    <t>自定义3</t>
  </si>
  <si>
    <t>载体</t>
  </si>
  <si>
    <t>红色资</t>
  </si>
  <si>
    <t>提资类型</t>
  </si>
  <si>
    <t>8+3</t>
  </si>
  <si>
    <t>注释：
①计算出资质总和可用于前表计算器算属性；
②自定义1和自定义2用于填写其他类型资质宝石，例如宰宠或瞎几把提（此时不需要选择提资方向）；
③自定义3用于其他类型的多提一载体，例如打在百变魔女等可交易宠上做交易资；
④下表多孔资质宝石可自由填写，可以选择填7孔（普通宠和活动宠例如北极宠），可选择填9孔（神兽以上），可选择10孔（绝世及10孔野），可直接用于计算最终资质，也可进一步计算提出有多少资质（做多提一资质宝石）；
其他：八四光年硬提攻资收益（单位rmb得出资质）比自合高25%，熊猫硬提血防同样高25%，缺点是不做多提一占孔过多，用于补资是优选。</t>
  </si>
  <si>
    <t>简易提资计算</t>
  </si>
  <si>
    <t>宠物基础</t>
  </si>
  <si>
    <t>提出资质</t>
  </si>
  <si>
    <t>资质计算器</t>
  </si>
  <si>
    <t>孔位</t>
  </si>
  <si>
    <t>资质宝石选择</t>
  </si>
  <si>
    <t>提资方向</t>
  </si>
  <si>
    <t>计算得出资质总和</t>
  </si>
  <si>
    <t>将左侧宠物资质再提出</t>
  </si>
  <si>
    <t>第一孔</t>
  </si>
  <si>
    <t xml:space="preserve"> </t>
  </si>
  <si>
    <t>载体选择</t>
  </si>
  <si>
    <t>第二孔</t>
  </si>
  <si>
    <t>资质宝石</t>
  </si>
  <si>
    <t>第三孔</t>
  </si>
  <si>
    <t>第四孔</t>
  </si>
  <si>
    <t>第五孔</t>
  </si>
  <si>
    <t>第六孔</t>
  </si>
  <si>
    <t>第七孔</t>
  </si>
  <si>
    <t>第八孔</t>
  </si>
  <si>
    <t>第九孔</t>
  </si>
  <si>
    <t>第十孔</t>
  </si>
  <si>
    <t>前言：本数据表为从零出发以最高性价比的方式（除宰伤心退游资外）做出能在有限孔位下达成目标属性的资质，所以存在多种资质混合的情况。
以下均以九孔宠为基底，增幅贴纸可以打四张（满血防按五贴算，满血防还能上防腰带披风），留一个位置打逆流（双满血防忽略）。
40级以下玩家没有家族五石及战神资，建议做可交易宠在小号上做资。
以下资质再加上宠物基础资质就会属性溢出，刚好作为进化分配点数不平均的修正（就当以下数据是估高了即可）。
材料栏只列出需要花钱的部分</t>
  </si>
  <si>
    <t>九提一参考往右边拉过去&gt;</t>
  </si>
  <si>
    <t>38组（宠物43级）</t>
  </si>
  <si>
    <t>48组（宠物53级）</t>
  </si>
  <si>
    <t>58组（宠物63级）</t>
  </si>
  <si>
    <t>78组（宠物83级）</t>
  </si>
  <si>
    <t>100组（宠物100级）</t>
  </si>
  <si>
    <t>单满速</t>
  </si>
  <si>
    <t>需要资质</t>
  </si>
  <si>
    <t>圣迅捷及速度法宝</t>
  </si>
  <si>
    <t>说明：9孔野宠也能轻松达到这个资质需求，在不投入圣迅捷转而使用迅捷b也只需要183000的速度资质，此时需要做第九孔资，并且要有五颗提速度（肥料前途：建议四合提资的时候更多的去提血防，为了节省家族贡献，可以只打上攻速防家族资进行合宠）</t>
  </si>
  <si>
    <t>说明：9孔野宠也能轻松达到这个资质需求，在不投入圣迅捷转而使用迅捷b也只需要178000的速度资质，此时需要做到第九孔资，并且要有四颗提速度（肥料前途：建议四合提资的时候更多的去提血防，为了节省家族贡献，可以只打上攻速防家族资进行合宠）</t>
  </si>
  <si>
    <t>说明：9孔野宠也能轻松达到这个资质需求，在不投入圣迅捷转而使用迅捷b也只需要172600的速度资质，此时需要做到第八孔资，并且要有八颗提速度（肥料前途：建议四合提资的时候更多的去提血防，为了节省家族贡献，可以只打上攻速防家族资进行合宠）</t>
  </si>
  <si>
    <t>说明：9孔野宠也能轻松达到这个资质需求，在不投入圣迅捷转而使用迅捷b也只需要164000的速度资质，此时需要做到第八孔资，并且要有五颗提速度（肥料前途：建议四合提资的时候更多的去提血防，为了节省家族贡献，可以只打上攻速防家族资进行合宠）</t>
  </si>
  <si>
    <t>说明：9孔野宠也能轻松达到这个资质需求，在不投入圣迅捷转而使用迅捷b也只需要158000的速度资质，此时需要做到第八孔资，并且要有三颗提速度（肥料前途：建议四合提资的时候更多的去提血防，为了节省家族贡献，可以只打上攻速防家族资进行合宠）</t>
  </si>
  <si>
    <t>四合速提攻九提一</t>
  </si>
  <si>
    <t>资质宝石（披风3攻）</t>
  </si>
  <si>
    <t>材料：提资器*8，合成石*32，普通披风*8，魔族五石*66，家族贡献172000–704000，战神高级积分8000000</t>
  </si>
  <si>
    <t>材料：提资器*7，合成石*28，普通披风*7，魔族五石*11，家族贡献154000–616000，战神高级积分7000000</t>
  </si>
  <si>
    <t>材料：提资器*7，合成石*28，普通披风*7，魔族五石*22，家族贡献154000–616000，战神高级积分7000000</t>
  </si>
  <si>
    <t>材料：提资器*7，合成石*28，普通披风*7，魔族五石*33，家族贡献154000–616000，战神高级积分7000000</t>
  </si>
  <si>
    <t>材料：提资器*7，合成石*28，普通披风*7，魔族五石*66，家族贡献154000–616000，战神高级积分7000000</t>
  </si>
  <si>
    <t>单满攻</t>
  </si>
  <si>
    <t>圣强力及攻击法宝</t>
  </si>
  <si>
    <t>说明：满攻开始比较费钱了，圣强力必打，如果不打圣强力需要继续投入数倍圣强力的rmb补资，十孔野用四合攻恶魔武士直接堆满即可（需要五个完美启多打一颗五品攻击宝石），算上十孔野本身的价值，投入比九孔省50左右，有条件建议上十孔野更有性价比（肥料前途：建议四合提资的时候更多的去提血防，为了节省家族贡献，可以只打上攻防家族资进行合宠）</t>
  </si>
  <si>
    <t>说明：满攻开始比较费钱了，圣强力必打，如果不打圣强力需要继续投入数倍圣强力的rmb补资，十孔野用九孔四合攻恶魔武士和一孔四合攻即可，算上十孔野本身的价值，投入比九孔省50左右，有条件建议上十孔野更有性价比（肥料前途：建议四合提资的时候更多的去提血防，为了节省家族贡献，可以只打上攻防家族资进行合宠）</t>
  </si>
  <si>
    <t>说明：满攻开始比较费钱了，圣强力必打，如果不打圣强力需要继续投入数倍圣强力的rmb补资，十孔野用七孔四合攻恶魔武士和三孔四合攻即可，算上十孔野本身的价值，投入比九孔省70左右，有条件建议上十孔野更有性价比（肥料前途：建议四合提资的时候更多的去提血防，为了节省家族贡献，可以只打上攻防家族资进行合宠）</t>
  </si>
  <si>
    <t>说明：满攻开始比较费钱了，圣强力必打，如果不打圣强力需要继续投入数倍圣强力的rmb补资（肥料前途：建议四合提资的时候更多的去提血防，为了节省家族贡献，可以只打上攻防家族资进行合宠）</t>
  </si>
  <si>
    <t>硬提八四光年九提一</t>
  </si>
  <si>
    <t>攻击（完美启）</t>
  </si>
  <si>
    <t>材料：提资器*18，合成石*32，普通披风*18，完美启魂书*1，家族贡献172000–704000，战神高级积分10000000</t>
  </si>
  <si>
    <t>材料：提资器*18，合成石*28，普通披风*18，完美启魂书*1，家族贡献154000–616000，战神高级积分9200000</t>
  </si>
  <si>
    <t>材料：提资器*18，合成石*24，普通披风*18，完美启魂书*1，家族贡献132000–528000，战神高级积分8400000</t>
  </si>
  <si>
    <t>材料：提资器*9，合成石*36，普通披风*9，完美启魂书*2，家族贡献198000–792000，战神高级积分9000000，珍奇宠召唤卷轴*9</t>
  </si>
  <si>
    <t>材料：提资器*9，合成石*36，普通披风*9，家族贡献198000–792000，战神高级积分9000000，珍奇宠召唤卷轴*6，ss召唤卷轴*2</t>
  </si>
  <si>
    <t>双满攻速</t>
  </si>
  <si>
    <t>圣强力圣迅捷及攻击法宝</t>
  </si>
  <si>
    <t>说明：满攻速纯玩具，应该没人做卡级双满攻速，必须要圣强力圣迅捷，如果换成速度法宝还需要再补小几千攻资，两攻贴两速贴达成双满，需要不少完美启（肥料前途：建议四合提资的时候更多的去提血防，为了节省家族贡献，可以只打上攻防家族资进行合宠）</t>
  </si>
  <si>
    <t>说明：满攻速纯玩具，应该没人做卡级双满攻速，必须要圣强力圣迅捷，如果换成速度法宝还需要再补小几千攻资，两攻贴两速贴达成双满（肥料前途：建议四合提资的时候更多的去提血防，为了节省家族贡献，可以只打上攻防家族资进行合宠）</t>
  </si>
  <si>
    <t>说明：满攻速纯玩具，应该没人做卡级双满攻速，必须要圣强力圣迅捷，如果换成速法宝还需要再补小几千攻资，两攻贴两速贴达成双满（肥料前途：建议四合提资的时候更多的去提血防，为了节省家族贡献，可以只打上攻防家族资进行合宠）</t>
  </si>
  <si>
    <t>四合速深渊提攻九提一（深渊）</t>
  </si>
  <si>
    <t>材料：提资器*36，合成石*104，普通披风*36，完美启魂书*9，家族贡献1144000–2288000，战神高级积分28000000，珍奇宠召唤卷轴*6</t>
  </si>
  <si>
    <t>材料：提资器*36，合成石*104，普通披风*36，完美启魂书*3，家族贡献1144000–2288000，战神高级积分28000000</t>
  </si>
  <si>
    <t>材料：提资器*27，合成石*108，普通披风*27，完美启魂书*2，家族贡献1188000–2376000，战神高级积分27000000，珍奇宠召唤卷轴*7</t>
  </si>
  <si>
    <t>材料：提资器*27，合成石*108，普通披风*27，完美启魂书*2，家族贡献1188000–2376000，战神高级积分27000000</t>
  </si>
  <si>
    <t>材料：提资器*26，合成石*104，普通披风*26，完美启魂书*2，家族贡献1144000–2288000，战神高级积分26000000</t>
  </si>
  <si>
    <t>统一</t>
  </si>
  <si>
    <t>双满血防</t>
  </si>
  <si>
    <t>圣强壮及防御法宝</t>
  </si>
  <si>
    <t>该类资比较特别，纯肉宠，可以在披风腰带上打6颗无暇防，所以能省下大量防资，即使是38组（宠物43级），也可以通过硬提熊猫九提一在九孔下达成双满，百级可以在打七孔九提一后补两颗硬提熊猫达成双满血防，以下贴出九提一熊猫参考</t>
  </si>
  <si>
    <t>四合速武士提攻九提一（武士）</t>
  </si>
  <si>
    <t>材料：提资器*（72–90），普通披风*（72–90），完美启魂书*（7–9），魔族五石*（736–918），战神高级积分14400000–18000000
其他：三防圣披风，三防腰带</t>
  </si>
  <si>
    <t>圣强力圣迅捷攻击法宝</t>
  </si>
  <si>
    <t>三满攻速法</t>
  </si>
  <si>
    <t>说明：这种快乐做资法，适合喜欢看部分宠物打出最高混合伤害而又不打算做五满的玩家。
使用十孔野的情况下只需多打一颗恶魔武士四合速提攻，将三颗恶魔武士九提一换成四合速提攻九提一即可，算上10孔野的价值，能节省下350，如果直接使用绝世宠（本体资质高），可全部使用神兽做资，能节省400。</t>
  </si>
  <si>
    <t>说明：这种快乐做资法，适合喜欢看部分宠物打出最高混合伤害而又不打算做五满的玩家。
使用十孔野的情况下可以直接用神兽做资，算上10孔野的价值，能节省下150</t>
  </si>
  <si>
    <t>说明：这种快乐做资法，适合喜欢看部分宠物打出最高混合伤害而又不打算做五满的玩家。
4贴满攻速法</t>
  </si>
  <si>
    <t>硬提八四光年九提一（四合速）</t>
  </si>
  <si>
    <t>树骑熊猫象</t>
  </si>
  <si>
    <t>资质宝石（披风3攻击）</t>
  </si>
  <si>
    <t>四合机械兽神</t>
  </si>
  <si>
    <t>材料：提资器*45，合成石*180，普通披风*45，完美启魂书*4，家族贡献2970000–3960000，战神高级积分45000000，珍奇宠召唤卷轴*35，ss召唤卷轴*10</t>
  </si>
  <si>
    <t>材料：提资器*45，合成石*180，普通披风*45，完美启魂书*4，家族贡献2970000–3960000，战神高级积分45000000，ss召唤卷轴*40</t>
  </si>
  <si>
    <t>材料：提资器*45，合成石*176，普通披风*45，完美启魂书*4，家族贡献2970000–3960000，战神高级积分44200000</t>
  </si>
  <si>
    <t>材料：提资器*45，合成石*140，普通披风*45，完美启魂书*4，家族贡献2288000–3080000，战神高级积分37000000</t>
  </si>
  <si>
    <t>材料：提资器*36，合成石*144，普通披风*36，完美启魂书*3，家族贡献2376000–3168000，战神高级积分36000000</t>
  </si>
  <si>
    <t>圣强力圣强壮攻击法宝</t>
  </si>
  <si>
    <t>三满攻血防</t>
  </si>
  <si>
    <t>说明：成本远高于百级五满，不宰资别做</t>
  </si>
  <si>
    <t>说明：成本高于百级五满，不宰资别做，或者十孔恶魔武士promax（右侧参考，单颗成本：提资器*10，合成石*40，普通披风*10，魔族五石*102，完美启魂*1，家族贡献440000，战神高级积分10000000，珍奇宠召唤卷轴*10），该做法五贴占满</t>
  </si>
  <si>
    <t>说明：成本略高于百级五满，不宰资别做，或者十孔：四合攻提攻a类（神兽鹿萌萌）提5生命3防御1攻击的比例，打在四合攻深渊领主上九提一（披风3攻击），右侧参考：神兽–深渊九提一，该做法五贴占满</t>
  </si>
  <si>
    <t>说明：资质宝石见右侧参考（梦彩狼自合，提二合树骑，三合熊猫，三合巨象及四合机械兽神，按概率分布为树骑33.33%（9孔占3孔），熊猫22.22%（9孔占2孔），巨象22.22%（9孔占2孔），机械兽神22.22%（9孔占2孔），最后随意用神兽四合作为九提一载体，打普通披风3攻击提取），该做法五贴占满（带装备和天关下四贴即可），可以选择将九提一载体换成恶魔武士即可直接四贴三满。</t>
  </si>
  <si>
    <t>恶魔武士Promax</t>
  </si>
  <si>
    <t>神兽–深渊九提一</t>
  </si>
  <si>
    <t>资质宝石（披风3防御）</t>
  </si>
  <si>
    <t>说明：四贴五满，资质宝石参考见右侧，也可参考工作簿《资质数据》中表8的做法，结果一样都是四贴五满溢出十几点，同样在右侧贴出该资质宝石数据
在宠物五项资质为0的情况下，计算五满溢出十几点属性点，稳稳的</t>
  </si>
  <si>
    <t>朴实无华的九提一</t>
  </si>
  <si>
    <t>表8九提一</t>
  </si>
  <si>
    <t xml:space="preserve"> 朴实无华的九提一</t>
  </si>
  <si>
    <t>资质宝石（披风3生命）</t>
  </si>
  <si>
    <t>家族资</t>
  </si>
  <si>
    <t>合成过程宝石</t>
  </si>
  <si>
    <t>提资宝石</t>
  </si>
  <si>
    <t>数量（孔数加披风）</t>
  </si>
  <si>
    <t>资质信息</t>
  </si>
  <si>
    <t>选择资质宝石</t>
  </si>
  <si>
    <t>四合a类</t>
  </si>
  <si>
    <t>四合b类</t>
  </si>
  <si>
    <t>ss圣宠</t>
  </si>
  <si>
    <t>珍奇宠物</t>
  </si>
  <si>
    <t>合计资质</t>
  </si>
  <si>
    <t>自定义5</t>
  </si>
  <si>
    <t>有</t>
  </si>
  <si>
    <t>无</t>
  </si>
  <si>
    <t>所有带填充色的单元格均可自由修改（合理的）</t>
  </si>
  <si>
    <t>计数</t>
  </si>
  <si>
    <t>宠物资质</t>
  </si>
  <si>
    <t>资质倍率</t>
  </si>
  <si>
    <t>系数</t>
  </si>
  <si>
    <t>属性点</t>
  </si>
  <si>
    <t>法宝增幅</t>
  </si>
  <si>
    <t>倍率后资质</t>
  </si>
  <si>
    <t>倍率前资质</t>
  </si>
  <si>
    <t>等级</t>
  </si>
  <si>
    <t>b级</t>
  </si>
  <si>
    <t>a级</t>
  </si>
  <si>
    <t>神级</t>
  </si>
  <si>
    <t>魂级</t>
  </si>
  <si>
    <t>圣技</t>
  </si>
  <si>
    <t>白色幻影</t>
  </si>
  <si>
    <t>贴纸数量</t>
  </si>
  <si>
    <t>增幅</t>
  </si>
  <si>
    <t>生命贴</t>
  </si>
  <si>
    <t>攻击贴</t>
  </si>
  <si>
    <t>速度贴</t>
  </si>
  <si>
    <t>宠物法宝</t>
  </si>
  <si>
    <t>法力贴</t>
  </si>
  <si>
    <t>第一贴</t>
  </si>
  <si>
    <t>防御贴</t>
  </si>
  <si>
    <t>第二贴</t>
  </si>
  <si>
    <t>里世界系数</t>
  </si>
  <si>
    <t>第三贴</t>
  </si>
  <si>
    <t>进化属性点</t>
  </si>
  <si>
    <t>第四贴</t>
  </si>
  <si>
    <t>第五贴</t>
  </si>
  <si>
    <t>里世界潜力</t>
  </si>
  <si>
    <t>属性点数分配侧重</t>
  </si>
  <si>
    <t>第一属性</t>
  </si>
  <si>
    <t>第二属性</t>
  </si>
  <si>
    <t>第三属性</t>
  </si>
  <si>
    <t>第四属性</t>
  </si>
  <si>
    <t>第五属性</t>
  </si>
  <si>
    <t>宠物大类</t>
  </si>
  <si>
    <t>通常</t>
  </si>
  <si>
    <t>自定义资质（例如：宠物想要进行补资，想知道补后多少资质多少属性，即可在自定义里填入目前宠物红色资质用来计算）</t>
  </si>
  <si>
    <t>自定义4</t>
  </si>
  <si>
    <t>期望属性</t>
  </si>
  <si>
    <t>备注</t>
  </si>
  <si>
    <t>硬提八四九提一</t>
  </si>
  <si>
    <t>硬提熊猫九提一</t>
  </si>
  <si>
    <t>级别</t>
  </si>
  <si>
    <t>宠物名称</t>
  </si>
  <si>
    <t>ss</t>
  </si>
  <si>
    <t>珍奇</t>
  </si>
  <si>
    <t>魅惑猫妖</t>
  </si>
  <si>
    <t>其他</t>
  </si>
  <si>
    <t>s圣</t>
  </si>
  <si>
    <t>s圣纪念</t>
  </si>
  <si>
    <t>绝世</t>
  </si>
  <si>
    <t>巫师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</si>
</sst>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000_ "/>
  </numFmts>
  <fonts count="46">
    <font>
      <sz val="11"/>
      <name val="宋体"/>
      <charset val="134"/>
    </font>
    <font>
      <b/>
      <sz val="11"/>
      <color rgb="FFBF0000"/>
      <name val="宋体"/>
      <charset val="134"/>
    </font>
    <font>
      <b/>
      <sz val="18"/>
      <color rgb="FFBF0000"/>
      <name val="宋体"/>
      <charset val="134"/>
    </font>
    <font>
      <b/>
      <sz val="11"/>
      <color rgb="FF993300"/>
      <name val="宋体"/>
      <charset val="134"/>
    </font>
    <font>
      <b/>
      <sz val="20"/>
      <color rgb="FFBF0000"/>
      <name val="宋体"/>
      <charset val="134"/>
    </font>
    <font>
      <b/>
      <sz val="20"/>
      <color rgb="FF008000"/>
      <name val="宋体"/>
      <charset val="134"/>
    </font>
    <font>
      <b/>
      <sz val="11"/>
      <color rgb="FF008000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BF0000"/>
      <name val="宋体"/>
      <charset val="134"/>
    </font>
    <font>
      <b/>
      <sz val="9"/>
      <color rgb="FFBF0000"/>
      <name val="宋体"/>
      <charset val="134"/>
    </font>
    <font>
      <b/>
      <sz val="11"/>
      <name val="宋体"/>
      <charset val="134"/>
    </font>
    <font>
      <b/>
      <sz val="11"/>
      <color rgb="FFD66565"/>
      <name val="宋体"/>
      <charset val="134"/>
    </font>
    <font>
      <sz val="10"/>
      <name val="宋体"/>
      <charset val="134"/>
    </font>
    <font>
      <b/>
      <sz val="44"/>
      <color rgb="FFBF0000"/>
      <name val="宋体"/>
      <charset val="134"/>
    </font>
    <font>
      <b/>
      <sz val="12"/>
      <name val="宋体"/>
      <charset val="134"/>
    </font>
    <font>
      <b/>
      <sz val="11"/>
      <color rgb="FFFFCB00"/>
      <name val="宋体"/>
      <charset val="134"/>
    </font>
    <font>
      <b/>
      <sz val="11"/>
      <color rgb="FF36363D"/>
      <name val="宋体"/>
      <charset val="134"/>
    </font>
    <font>
      <b/>
      <sz val="11"/>
      <color rgb="FFFFC000"/>
      <name val="宋体"/>
      <charset val="134"/>
    </font>
    <font>
      <b/>
      <sz val="10"/>
      <name val="宋体"/>
      <charset val="134"/>
    </font>
    <font>
      <b/>
      <sz val="10"/>
      <color rgb="FFBF0000"/>
      <name val="宋体"/>
      <charset val="134"/>
    </font>
    <font>
      <b/>
      <sz val="14"/>
      <name val="宋体"/>
      <charset val="134"/>
    </font>
    <font>
      <b/>
      <sz val="8"/>
      <color rgb="FFD66565"/>
      <name val="宋体"/>
      <charset val="134"/>
    </font>
    <font>
      <sz val="8"/>
      <name val="宋体"/>
      <charset val="134"/>
    </font>
    <font>
      <sz val="11"/>
      <color rgb="FFFFFFFF"/>
      <name val="宋体"/>
      <charset val="134"/>
    </font>
    <font>
      <b/>
      <sz val="9"/>
      <color rgb="FFFF66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ECC"/>
        <bgColor indexed="64"/>
      </patternFill>
    </fill>
    <fill>
      <patternFill patternType="solid">
        <fgColor rgb="FFFFCB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65FF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10" borderId="42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4" fillId="0" borderId="44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1" borderId="45" applyNumberFormat="0" applyAlignment="0" applyProtection="0">
      <alignment vertical="center"/>
    </xf>
    <xf numFmtId="0" fontId="36" fillId="12" borderId="46" applyNumberFormat="0" applyAlignment="0" applyProtection="0">
      <alignment vertical="center"/>
    </xf>
    <xf numFmtId="0" fontId="37" fillId="12" borderId="45" applyNumberFormat="0" applyAlignment="0" applyProtection="0">
      <alignment vertical="center"/>
    </xf>
    <xf numFmtId="0" fontId="38" fillId="13" borderId="47" applyNumberFormat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</cellStyleXfs>
  <cellXfs count="25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7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Border="1" applyAlignment="1">
      <alignment horizontal="left" vertical="top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13" xfId="0" applyBorder="1" applyAlignment="1">
      <alignment horizontal="left" vertical="top" wrapText="1"/>
    </xf>
    <xf numFmtId="0" fontId="0" fillId="0" borderId="14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0" fontId="1" fillId="5" borderId="17" xfId="0" applyNumberFormat="1" applyFont="1" applyFill="1" applyBorder="1" applyAlignment="1">
      <alignment horizontal="left" vertical="top" wrapText="1"/>
    </xf>
    <xf numFmtId="0" fontId="0" fillId="0" borderId="18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1" fillId="5" borderId="19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0" xfId="0" applyNumberFormat="1" applyBorder="1" applyAlignment="1">
      <alignment horizontal="center" vertical="center"/>
    </xf>
    <xf numFmtId="0" fontId="0" fillId="0" borderId="17" xfId="0" applyNumberFormat="1" applyBorder="1" applyAlignment="1">
      <alignment horizontal="center" vertical="center"/>
    </xf>
    <xf numFmtId="0" fontId="0" fillId="0" borderId="21" xfId="0" applyBorder="1" applyAlignment="1">
      <alignment horizontal="left" vertical="top" wrapText="1"/>
    </xf>
    <xf numFmtId="0" fontId="13" fillId="0" borderId="1" xfId="0" applyNumberFormat="1" applyFon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12" xfId="0" applyNumberFormat="1" applyBorder="1">
      <alignment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left" vertical="top" wrapText="1"/>
    </xf>
    <xf numFmtId="0" fontId="0" fillId="0" borderId="25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77" fontId="0" fillId="0" borderId="25" xfId="0" applyNumberFormat="1" applyBorder="1" applyAlignment="1">
      <alignment horizontal="center" vertical="center"/>
    </xf>
    <xf numFmtId="0" fontId="0" fillId="0" borderId="26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177" fontId="0" fillId="0" borderId="27" xfId="0" applyNumberFormat="1" applyBorder="1" applyAlignment="1">
      <alignment horizontal="center" vertical="center"/>
    </xf>
    <xf numFmtId="0" fontId="0" fillId="0" borderId="27" xfId="0" applyNumberFormat="1" applyBorder="1" applyAlignment="1">
      <alignment horizontal="center" vertical="center"/>
    </xf>
    <xf numFmtId="0" fontId="0" fillId="0" borderId="28" xfId="0" applyNumberFormat="1" applyBorder="1" applyAlignment="1">
      <alignment horizontal="center" vertical="center"/>
    </xf>
    <xf numFmtId="0" fontId="1" fillId="5" borderId="29" xfId="0" applyFont="1" applyFill="1" applyBorder="1" applyAlignment="1">
      <alignment horizontal="left" vertical="top" wrapText="1"/>
    </xf>
    <xf numFmtId="0" fontId="0" fillId="0" borderId="0" xfId="0" applyBorder="1">
      <alignment vertical="center"/>
    </xf>
    <xf numFmtId="0" fontId="0" fillId="0" borderId="24" xfId="0" applyBorder="1">
      <alignment vertical="center"/>
    </xf>
    <xf numFmtId="0" fontId="12" fillId="0" borderId="24" xfId="0" applyFon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177" fontId="0" fillId="6" borderId="25" xfId="0" applyNumberFormat="1" applyFill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1" fillId="5" borderId="30" xfId="0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center" vertical="center"/>
    </xf>
    <xf numFmtId="0" fontId="14" fillId="7" borderId="0" xfId="0" applyFont="1" applyFill="1" applyBorder="1">
      <alignment vertical="center"/>
    </xf>
    <xf numFmtId="0" fontId="0" fillId="0" borderId="11" xfId="0" applyBorder="1">
      <alignment vertical="center"/>
    </xf>
    <xf numFmtId="0" fontId="0" fillId="0" borderId="23" xfId="0" applyNumberFormat="1" applyBorder="1">
      <alignment vertical="center"/>
    </xf>
    <xf numFmtId="0" fontId="0" fillId="0" borderId="0" xfId="0" applyNumberFormat="1" applyBorder="1">
      <alignment vertical="center"/>
    </xf>
    <xf numFmtId="177" fontId="0" fillId="0" borderId="0" xfId="0" applyNumberFormat="1" applyBorder="1">
      <alignment vertical="center"/>
    </xf>
    <xf numFmtId="0" fontId="0" fillId="0" borderId="0" xfId="0" applyNumberForma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1" fillId="5" borderId="19" xfId="0" applyNumberFormat="1" applyFont="1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3" xfId="0" applyBorder="1">
      <alignment vertical="center"/>
    </xf>
    <xf numFmtId="0" fontId="0" fillId="0" borderId="24" xfId="0" applyFont="1" applyBorder="1" applyAlignment="1">
      <alignment horizontal="left" vertical="top" wrapText="1"/>
    </xf>
    <xf numFmtId="0" fontId="0" fillId="0" borderId="24" xfId="0" applyNumberFormat="1" applyBorder="1">
      <alignment vertical="center"/>
    </xf>
    <xf numFmtId="0" fontId="0" fillId="0" borderId="32" xfId="0" applyBorder="1" applyAlignment="1">
      <alignment horizontal="center" vertical="center"/>
    </xf>
    <xf numFmtId="0" fontId="12" fillId="0" borderId="25" xfId="0" applyFont="1" applyBorder="1" applyAlignment="1">
      <alignment horizontal="center" vertical="center" wrapText="1"/>
    </xf>
    <xf numFmtId="0" fontId="0" fillId="0" borderId="25" xfId="0" applyBorder="1" applyAlignment="1">
      <alignment horizontal="left" vertical="top" wrapText="1"/>
    </xf>
    <xf numFmtId="0" fontId="15" fillId="0" borderId="0" xfId="0" applyFont="1">
      <alignment vertical="center"/>
    </xf>
    <xf numFmtId="0" fontId="11" fillId="0" borderId="1" xfId="0" applyNumberFormat="1" applyFont="1" applyBorder="1" applyAlignment="1">
      <alignment horizontal="center" vertical="center"/>
    </xf>
    <xf numFmtId="0" fontId="15" fillId="0" borderId="0" xfId="0" applyFont="1" applyBorder="1">
      <alignment vertical="center"/>
    </xf>
    <xf numFmtId="0" fontId="15" fillId="0" borderId="0" xfId="0" applyNumberFormat="1" applyFont="1" applyBorder="1">
      <alignment vertical="center"/>
    </xf>
    <xf numFmtId="177" fontId="11" fillId="0" borderId="1" xfId="0" applyNumberFormat="1" applyFont="1" applyBorder="1" applyAlignment="1">
      <alignment horizontal="center" vertical="center"/>
    </xf>
    <xf numFmtId="0" fontId="11" fillId="8" borderId="1" xfId="0" applyNumberFormat="1" applyFont="1" applyFill="1" applyBorder="1" applyAlignment="1">
      <alignment horizontal="center" vertical="center"/>
    </xf>
    <xf numFmtId="177" fontId="11" fillId="8" borderId="1" xfId="0" applyNumberFormat="1" applyFont="1" applyFill="1" applyBorder="1" applyAlignment="1">
      <alignment horizontal="center" vertical="center"/>
    </xf>
    <xf numFmtId="0" fontId="8" fillId="8" borderId="1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0" fillId="0" borderId="0" xfId="0" applyNumberFormat="1">
      <alignment vertical="center"/>
    </xf>
    <xf numFmtId="0" fontId="1" fillId="5" borderId="33" xfId="0" applyFont="1" applyFill="1" applyBorder="1" applyAlignment="1">
      <alignment horizontal="left" vertical="top" wrapText="1"/>
    </xf>
    <xf numFmtId="0" fontId="0" fillId="0" borderId="34" xfId="0" applyNumberFormat="1" applyBorder="1" applyAlignment="1">
      <alignment horizontal="center" vertical="center"/>
    </xf>
    <xf numFmtId="0" fontId="0" fillId="0" borderId="35" xfId="0" applyNumberForma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" fillId="5" borderId="36" xfId="0" applyFont="1" applyFill="1" applyBorder="1" applyAlignment="1">
      <alignment horizontal="left" vertical="top" wrapText="1"/>
    </xf>
    <xf numFmtId="0" fontId="1" fillId="5" borderId="21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center" vertical="center"/>
    </xf>
    <xf numFmtId="0" fontId="0" fillId="0" borderId="31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3" fillId="0" borderId="16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14" xfId="0" applyNumberFormat="1" applyFont="1" applyBorder="1" applyAlignment="1">
      <alignment horizontal="center" vertical="center"/>
    </xf>
    <xf numFmtId="0" fontId="19" fillId="0" borderId="1" xfId="0" applyNumberFormat="1" applyFont="1" applyBorder="1" applyAlignment="1">
      <alignment horizontal="center" vertical="center"/>
    </xf>
    <xf numFmtId="0" fontId="11" fillId="0" borderId="15" xfId="0" applyNumberFormat="1" applyFont="1" applyBorder="1" applyAlignment="1">
      <alignment horizontal="center" vertical="center"/>
    </xf>
    <xf numFmtId="0" fontId="19" fillId="0" borderId="1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left" vertical="top" wrapText="1"/>
    </xf>
    <xf numFmtId="0" fontId="12" fillId="0" borderId="12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left" vertical="top" wrapText="1"/>
    </xf>
    <xf numFmtId="0" fontId="11" fillId="0" borderId="25" xfId="0" applyNumberFormat="1" applyFont="1" applyBorder="1" applyAlignment="1">
      <alignment horizontal="center" vertical="center"/>
    </xf>
    <xf numFmtId="177" fontId="11" fillId="0" borderId="25" xfId="0" applyNumberFormat="1" applyFont="1" applyBorder="1" applyAlignment="1">
      <alignment horizontal="center" vertical="center"/>
    </xf>
    <xf numFmtId="0" fontId="11" fillId="0" borderId="16" xfId="0" applyNumberFormat="1" applyFont="1" applyBorder="1" applyAlignment="1">
      <alignment horizontal="center" vertical="center"/>
    </xf>
    <xf numFmtId="0" fontId="11" fillId="0" borderId="34" xfId="0" applyNumberFormat="1" applyFont="1" applyBorder="1" applyAlignment="1">
      <alignment horizontal="center" vertical="center"/>
    </xf>
    <xf numFmtId="0" fontId="11" fillId="0" borderId="3" xfId="0" applyNumberFormat="1" applyFont="1" applyBorder="1" applyAlignment="1">
      <alignment horizontal="center" vertical="center"/>
    </xf>
    <xf numFmtId="177" fontId="11" fillId="0" borderId="3" xfId="0" applyNumberFormat="1" applyFont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/>
    </xf>
    <xf numFmtId="177" fontId="11" fillId="3" borderId="1" xfId="0" applyNumberFormat="1" applyFont="1" applyFill="1" applyBorder="1" applyAlignment="1">
      <alignment horizontal="center" vertical="center"/>
    </xf>
    <xf numFmtId="0" fontId="11" fillId="3" borderId="1" xfId="0" applyNumberFormat="1" applyFont="1" applyFill="1" applyBorder="1" applyAlignment="1">
      <alignment horizontal="center" vertical="center"/>
    </xf>
    <xf numFmtId="0" fontId="11" fillId="0" borderId="0" xfId="0" applyNumberFormat="1" applyFont="1" applyBorder="1">
      <alignment vertical="center"/>
    </xf>
    <xf numFmtId="0" fontId="0" fillId="8" borderId="1" xfId="0" applyNumberFormat="1" applyFill="1" applyBorder="1" applyAlignment="1">
      <alignment horizontal="center" vertical="center"/>
    </xf>
    <xf numFmtId="177" fontId="0" fillId="8" borderId="1" xfId="0" applyNumberForma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20" fillId="0" borderId="19" xfId="0" applyFont="1" applyBorder="1" applyAlignment="1">
      <alignment horizontal="left" vertical="top" wrapText="1"/>
    </xf>
    <xf numFmtId="0" fontId="20" fillId="0" borderId="19" xfId="0" applyFont="1" applyBorder="1" applyAlignment="1">
      <alignment horizontal="left" vertical="top"/>
    </xf>
    <xf numFmtId="0" fontId="11" fillId="0" borderId="18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2" borderId="3" xfId="0" applyNumberForma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177" fontId="0" fillId="0" borderId="0" xfId="0" applyNumberFormat="1" applyAlignment="1">
      <alignment horizontal="center" vertical="center"/>
    </xf>
    <xf numFmtId="177" fontId="0" fillId="0" borderId="7" xfId="0" applyNumberFormat="1" applyFill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7" fontId="0" fillId="6" borderId="1" xfId="0" applyNumberFormat="1" applyFill="1" applyBorder="1" applyAlignment="1">
      <alignment horizontal="center" vertical="center"/>
    </xf>
    <xf numFmtId="0" fontId="0" fillId="0" borderId="4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9" borderId="0" xfId="0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177" fontId="0" fillId="0" borderId="4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2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center"/>
    </xf>
    <xf numFmtId="0" fontId="13" fillId="0" borderId="28" xfId="0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23" fillId="0" borderId="1" xfId="0" applyFont="1" applyBorder="1" applyAlignment="1">
      <alignment horizontal="left" vertical="top" wrapText="1"/>
    </xf>
    <xf numFmtId="177" fontId="0" fillId="0" borderId="10" xfId="0" applyNumberFormat="1" applyBorder="1" applyAlignment="1">
      <alignment horizontal="center" vertical="center" wrapText="1"/>
    </xf>
    <xf numFmtId="177" fontId="0" fillId="0" borderId="3" xfId="0" applyNumberFormat="1" applyBorder="1" applyAlignment="1">
      <alignment horizontal="center" vertical="center" wrapText="1"/>
    </xf>
    <xf numFmtId="177" fontId="0" fillId="0" borderId="5" xfId="0" applyNumberFormat="1" applyBorder="1" applyAlignment="1">
      <alignment horizontal="center" vertical="center" wrapText="1"/>
    </xf>
    <xf numFmtId="0" fontId="23" fillId="0" borderId="7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/>
    </xf>
    <xf numFmtId="178" fontId="0" fillId="0" borderId="3" xfId="0" applyNumberFormat="1" applyBorder="1" applyAlignment="1">
      <alignment horizontal="center" vertical="center" wrapText="1"/>
    </xf>
    <xf numFmtId="178" fontId="0" fillId="0" borderId="5" xfId="0" applyNumberFormat="1" applyBorder="1" applyAlignment="1">
      <alignment horizontal="center" vertical="center" wrapText="1"/>
    </xf>
    <xf numFmtId="0" fontId="25" fillId="0" borderId="2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fgColor indexed="0"/>
          <bgColor rgb="FFF8CCCE"/>
        </patternFill>
      </fill>
    </dxf>
    <dxf>
      <fill>
        <patternFill patternType="solid">
          <fgColor indexed="0"/>
          <bgColor rgb="FFF40C05"/>
        </patternFill>
      </fill>
    </dxf>
    <dxf>
      <fill>
        <patternFill patternType="solid">
          <fgColor indexed="0"/>
          <bgColor rgb="FFC3F0CD"/>
        </patternFill>
      </fill>
    </dxf>
    <dxf>
      <fill>
        <patternFill patternType="solid">
          <fgColor indexed="0"/>
          <bgColor rgb="FFFE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6373B"/>
  </sheetPr>
  <dimension ref="A2:P74"/>
  <sheetViews>
    <sheetView zoomScale="157" zoomScaleNormal="157" topLeftCell="A7" workbookViewId="0">
      <selection activeCell="F51" sqref="F51"/>
    </sheetView>
  </sheetViews>
  <sheetFormatPr defaultColWidth="10" defaultRowHeight="16.8"/>
  <cols>
    <col min="1" max="1" width="10" customWidth="1"/>
    <col min="2" max="2" width="14.5865384615385" customWidth="1"/>
    <col min="3" max="3" width="12.0769230769231" customWidth="1"/>
    <col min="4" max="4" width="11.1923076923077" style="64" customWidth="1"/>
    <col min="5" max="5" width="14.2788461538462" customWidth="1"/>
    <col min="7" max="7" width="12.2980769230769" customWidth="1"/>
    <col min="8" max="12" width="13.3653846153846" customWidth="1"/>
    <col min="13" max="14" width="8.44230769230769" customWidth="1"/>
    <col min="15" max="15" width="10.5192307692308" customWidth="1"/>
  </cols>
  <sheetData>
    <row r="2" spans="1:11">
      <c r="A2" s="223" t="s">
        <v>0</v>
      </c>
      <c r="B2" s="221" t="s">
        <v>1</v>
      </c>
      <c r="C2" s="222"/>
      <c r="D2" s="222"/>
      <c r="E2" s="222"/>
      <c r="F2" s="223" t="s">
        <v>2</v>
      </c>
      <c r="G2" s="12" t="s">
        <v>3</v>
      </c>
      <c r="H2" s="12"/>
      <c r="I2" s="12"/>
      <c r="J2" s="12"/>
      <c r="K2" s="12"/>
    </row>
    <row r="3" spans="2:11">
      <c r="B3" s="1" t="s">
        <v>4</v>
      </c>
      <c r="C3" s="1" t="s">
        <v>5</v>
      </c>
      <c r="D3" s="1" t="s">
        <v>6</v>
      </c>
      <c r="E3" s="1" t="s">
        <v>7</v>
      </c>
      <c r="G3" s="1" t="s">
        <v>8</v>
      </c>
      <c r="H3" s="1" t="s">
        <v>5</v>
      </c>
      <c r="I3" s="1" t="s">
        <v>6</v>
      </c>
      <c r="J3" s="1" t="s">
        <v>7</v>
      </c>
      <c r="K3" s="1" t="s">
        <v>9</v>
      </c>
    </row>
    <row r="4" spans="2:11">
      <c r="B4" s="1" t="s">
        <v>10</v>
      </c>
      <c r="C4" s="1">
        <v>2106</v>
      </c>
      <c r="D4" s="1">
        <v>1680</v>
      </c>
      <c r="E4" s="1">
        <v>2448</v>
      </c>
      <c r="G4" s="1" t="s">
        <v>11</v>
      </c>
      <c r="H4" s="1"/>
      <c r="I4" s="1"/>
      <c r="J4" s="1"/>
      <c r="K4" s="1"/>
    </row>
    <row r="5" spans="2:11">
      <c r="B5" s="1" t="s">
        <v>12</v>
      </c>
      <c r="C5" s="1">
        <v>4563</v>
      </c>
      <c r="D5" s="1">
        <v>4136</v>
      </c>
      <c r="E5" s="1">
        <v>3566</v>
      </c>
      <c r="G5" s="1" t="s">
        <v>10</v>
      </c>
      <c r="H5" s="1">
        <f>$C29*9/2+C4</f>
        <v>11457</v>
      </c>
      <c r="I5" s="1">
        <f>$C29*9/2+D4</f>
        <v>11031</v>
      </c>
      <c r="J5" s="1">
        <f>$C29*9/2+E4</f>
        <v>11799</v>
      </c>
      <c r="K5" s="1">
        <f>$C29*9/2+$H18</f>
        <v>11397</v>
      </c>
    </row>
    <row r="6" spans="2:11">
      <c r="B6" s="1" t="s">
        <v>13</v>
      </c>
      <c r="C6" s="1">
        <v>15708</v>
      </c>
      <c r="D6" s="1">
        <v>16375</v>
      </c>
      <c r="E6" s="1">
        <v>15604</v>
      </c>
      <c r="G6" s="1" t="s">
        <v>12</v>
      </c>
      <c r="H6" s="1">
        <f>$C30*9/2+C5</f>
        <v>22960.5</v>
      </c>
      <c r="I6" s="1">
        <f>$C30*9/2+D5</f>
        <v>22533.5</v>
      </c>
      <c r="J6" s="1">
        <f>$C30*9/2+E5</f>
        <v>21963.5</v>
      </c>
      <c r="K6" s="1">
        <f>$C30*9/2+$H19</f>
        <v>23869.5</v>
      </c>
    </row>
    <row r="7" spans="2:11">
      <c r="B7" s="1" t="s">
        <v>14</v>
      </c>
      <c r="C7" s="1">
        <v>10527</v>
      </c>
      <c r="D7" s="1">
        <v>10694</v>
      </c>
      <c r="E7" s="1">
        <v>11291</v>
      </c>
      <c r="G7" s="1" t="s">
        <v>13</v>
      </c>
      <c r="H7" s="1">
        <f>$C31*9/2+C6</f>
        <v>87238.5</v>
      </c>
      <c r="I7" s="1">
        <f>$C31*9/2+D6</f>
        <v>87905.5</v>
      </c>
      <c r="J7" s="1">
        <f>$C31*9/2+E6</f>
        <v>87134.5</v>
      </c>
      <c r="K7" s="1">
        <f>$C31*9/2+$H20</f>
        <v>86780.5</v>
      </c>
    </row>
    <row r="8" spans="2:11">
      <c r="B8" s="1" t="s">
        <v>15</v>
      </c>
      <c r="C8" s="1">
        <v>2686</v>
      </c>
      <c r="D8" s="1">
        <v>2686</v>
      </c>
      <c r="E8" s="1">
        <v>2686</v>
      </c>
      <c r="G8" s="1" t="s">
        <v>14</v>
      </c>
      <c r="H8" s="1">
        <f>$C32*9/2+C7</f>
        <v>59295</v>
      </c>
      <c r="I8" s="1">
        <f>$C32*9/2+D7</f>
        <v>59462</v>
      </c>
      <c r="J8" s="1">
        <f>$C32*9/2+E7</f>
        <v>60059</v>
      </c>
      <c r="K8" s="1">
        <f>$C32*9/2+$H21</f>
        <v>59906</v>
      </c>
    </row>
    <row r="9" spans="2:11">
      <c r="B9" s="99"/>
      <c r="C9" s="99"/>
      <c r="D9" s="75"/>
      <c r="G9" s="1" t="s">
        <v>15</v>
      </c>
      <c r="H9" s="1">
        <f>$C33*9/2+C8</f>
        <v>14773</v>
      </c>
      <c r="I9" s="1">
        <f>$C33*9/2+D8</f>
        <v>14773</v>
      </c>
      <c r="J9" s="1">
        <f>$C33*9/2+E8</f>
        <v>14773</v>
      </c>
      <c r="K9" s="1">
        <f>$C33*9/2+$H22</f>
        <v>14864</v>
      </c>
    </row>
    <row r="10" spans="1:11">
      <c r="A10" s="223" t="s">
        <v>16</v>
      </c>
      <c r="B10" s="123" t="s">
        <v>17</v>
      </c>
      <c r="C10" s="123"/>
      <c r="D10" s="123"/>
      <c r="E10" s="123"/>
      <c r="G10" s="1" t="s">
        <v>18</v>
      </c>
      <c r="H10" s="1"/>
      <c r="I10" s="1"/>
      <c r="J10" s="1"/>
      <c r="K10" s="1"/>
    </row>
    <row r="11" spans="2:11">
      <c r="B11" s="120" t="s">
        <v>19</v>
      </c>
      <c r="C11" s="188">
        <v>2406</v>
      </c>
      <c r="D11" s="120" t="s">
        <v>20</v>
      </c>
      <c r="E11" s="120">
        <f>C11*9/2</f>
        <v>10827</v>
      </c>
      <c r="G11" s="1" t="s">
        <v>10</v>
      </c>
      <c r="H11" s="1">
        <f>$D29*9/2+C4</f>
        <v>11799</v>
      </c>
      <c r="I11" s="1">
        <f>$D29*9/2+D4</f>
        <v>11373</v>
      </c>
      <c r="J11" s="1">
        <f>$D29*9/2+E4</f>
        <v>12141</v>
      </c>
      <c r="K11" s="1">
        <f>$D29*9/2+H18</f>
        <v>11739</v>
      </c>
    </row>
    <row r="12" spans="2:11">
      <c r="B12" s="1" t="s">
        <v>21</v>
      </c>
      <c r="C12" s="9">
        <v>3589</v>
      </c>
      <c r="D12" s="1"/>
      <c r="E12" s="1">
        <f>C12*9/2</f>
        <v>16150.5</v>
      </c>
      <c r="G12" s="1" t="s">
        <v>12</v>
      </c>
      <c r="H12" s="1">
        <f>$D30*9/2+C5</f>
        <v>21963.5</v>
      </c>
      <c r="I12" s="1">
        <f>$D30*9/2+D5</f>
        <v>21536.5</v>
      </c>
      <c r="J12" s="1">
        <f>$D30*9/2+E5</f>
        <v>20966.5</v>
      </c>
      <c r="K12" s="1">
        <f>$D30*9/2+H19</f>
        <v>22872.5</v>
      </c>
    </row>
    <row r="13" spans="2:11">
      <c r="B13" s="1" t="s">
        <v>22</v>
      </c>
      <c r="C13" s="9">
        <v>3042</v>
      </c>
      <c r="D13" s="1"/>
      <c r="E13" s="1">
        <f>C13*9/2</f>
        <v>13689</v>
      </c>
      <c r="G13" s="1" t="s">
        <v>13</v>
      </c>
      <c r="H13" s="1">
        <f>$D31*9/2+C6</f>
        <v>87134.5</v>
      </c>
      <c r="I13" s="1">
        <f>$D31*9/2+D6</f>
        <v>87801.5</v>
      </c>
      <c r="J13" s="1">
        <f>$D31*9/2+E6</f>
        <v>87030.5</v>
      </c>
      <c r="K13" s="1">
        <f>$D31*9/2+H20</f>
        <v>86676.5</v>
      </c>
    </row>
    <row r="14" spans="2:11">
      <c r="B14" s="1" t="s">
        <v>23</v>
      </c>
      <c r="C14" s="9" t="s">
        <v>24</v>
      </c>
      <c r="D14" s="1"/>
      <c r="E14" s="1" t="s">
        <v>25</v>
      </c>
      <c r="G14" s="1" t="s">
        <v>14</v>
      </c>
      <c r="H14" s="1">
        <f>$D32*9/2+C7</f>
        <v>60059</v>
      </c>
      <c r="I14" s="1">
        <f>$D32*9/2+D7</f>
        <v>60226</v>
      </c>
      <c r="J14" s="1">
        <f>$D32*9/2+E7</f>
        <v>60823</v>
      </c>
      <c r="K14" s="1">
        <f>$D32*9/2+H21</f>
        <v>60670</v>
      </c>
    </row>
    <row r="15" spans="2:11">
      <c r="B15" s="1" t="s">
        <v>26</v>
      </c>
      <c r="C15" s="9">
        <v>2400</v>
      </c>
      <c r="D15" s="1"/>
      <c r="E15" s="1">
        <f>C15*9/2</f>
        <v>10800</v>
      </c>
      <c r="G15" s="1" t="s">
        <v>15</v>
      </c>
      <c r="H15" s="1">
        <f>$D33*9/2+C8</f>
        <v>14773</v>
      </c>
      <c r="I15" s="1">
        <f>$D33*9/2+D8</f>
        <v>14773</v>
      </c>
      <c r="J15" s="1">
        <f>$D33*9/2+E8</f>
        <v>14773</v>
      </c>
      <c r="K15" s="1">
        <f>$D33*9/2+H22</f>
        <v>14864</v>
      </c>
    </row>
    <row r="17" spans="1:11">
      <c r="A17" s="223" t="s">
        <v>27</v>
      </c>
      <c r="B17" s="1" t="s">
        <v>28</v>
      </c>
      <c r="C17" s="1" t="s">
        <v>29</v>
      </c>
      <c r="D17" s="1"/>
      <c r="E17" s="1"/>
      <c r="F17" s="223" t="s">
        <v>30</v>
      </c>
      <c r="G17" s="1" t="s">
        <v>31</v>
      </c>
      <c r="H17" s="1" t="s">
        <v>32</v>
      </c>
      <c r="I17" s="223" t="s">
        <v>33</v>
      </c>
      <c r="J17" s="244" t="s">
        <v>34</v>
      </c>
      <c r="K17" s="244"/>
    </row>
    <row r="18" spans="2:11">
      <c r="B18" s="1" t="s">
        <v>35</v>
      </c>
      <c r="C18" s="1" t="s">
        <v>36</v>
      </c>
      <c r="D18" s="1" t="s">
        <v>37</v>
      </c>
      <c r="E18" s="1" t="s">
        <v>38</v>
      </c>
      <c r="F18" s="99"/>
      <c r="G18" s="1" t="s">
        <v>10</v>
      </c>
      <c r="H18" s="1">
        <v>2046</v>
      </c>
      <c r="J18" s="244"/>
      <c r="K18" s="244"/>
    </row>
    <row r="19" spans="2:12">
      <c r="B19" s="1" t="s">
        <v>39</v>
      </c>
      <c r="C19" s="224">
        <f>1/3</f>
        <v>0.333333333333333</v>
      </c>
      <c r="D19" s="224">
        <f>1/3</f>
        <v>0.333333333333333</v>
      </c>
      <c r="E19" s="224">
        <f>1/3</f>
        <v>0.333333333333333</v>
      </c>
      <c r="G19" s="1" t="s">
        <v>12</v>
      </c>
      <c r="H19" s="1">
        <v>5472</v>
      </c>
      <c r="J19" s="244"/>
      <c r="K19" s="244"/>
      <c r="L19" s="64"/>
    </row>
    <row r="20" spans="2:12">
      <c r="B20" s="1" t="s">
        <v>40</v>
      </c>
      <c r="C20" s="224">
        <f>1/9</f>
        <v>0.111111111111111</v>
      </c>
      <c r="D20" s="224">
        <f>1/3</f>
        <v>0.333333333333333</v>
      </c>
      <c r="E20" s="224">
        <f>5/9</f>
        <v>0.555555555555556</v>
      </c>
      <c r="G20" s="1" t="s">
        <v>13</v>
      </c>
      <c r="H20" s="1">
        <v>15250</v>
      </c>
      <c r="J20" s="222" t="s">
        <v>41</v>
      </c>
      <c r="K20" s="1">
        <v>427</v>
      </c>
      <c r="L20" s="64"/>
    </row>
    <row r="21" spans="2:11">
      <c r="B21" s="1" t="s">
        <v>42</v>
      </c>
      <c r="C21" s="224">
        <f>1/9</f>
        <v>0.111111111111111</v>
      </c>
      <c r="D21" s="224">
        <f>1/3</f>
        <v>0.333333333333333</v>
      </c>
      <c r="E21" s="224">
        <f>5/9</f>
        <v>0.555555555555556</v>
      </c>
      <c r="G21" s="1" t="s">
        <v>14</v>
      </c>
      <c r="H21" s="1">
        <v>11138</v>
      </c>
      <c r="J21" s="222" t="s">
        <v>43</v>
      </c>
      <c r="K21" s="1">
        <v>2854</v>
      </c>
    </row>
    <row r="22" spans="2:8">
      <c r="B22" s="1" t="s">
        <v>44</v>
      </c>
      <c r="C22" s="224">
        <f>1/3</f>
        <v>0.333333333333333</v>
      </c>
      <c r="D22" s="224">
        <f>1/3</f>
        <v>0.333333333333333</v>
      </c>
      <c r="E22" s="224">
        <f>1/3</f>
        <v>0.333333333333333</v>
      </c>
      <c r="G22" s="1" t="s">
        <v>15</v>
      </c>
      <c r="H22" s="1">
        <v>2777</v>
      </c>
    </row>
    <row r="23" spans="2:5">
      <c r="B23" s="1" t="s">
        <v>45</v>
      </c>
      <c r="C23" s="224">
        <v>0</v>
      </c>
      <c r="D23" s="224">
        <v>0</v>
      </c>
      <c r="E23" s="224">
        <v>0</v>
      </c>
    </row>
    <row r="24" spans="2:14">
      <c r="B24" s="1" t="s">
        <v>46</v>
      </c>
      <c r="C24" s="224">
        <v>0</v>
      </c>
      <c r="D24" s="224">
        <v>0</v>
      </c>
      <c r="E24" s="224">
        <v>0</v>
      </c>
      <c r="F24" s="223" t="s">
        <v>47</v>
      </c>
      <c r="G24" s="230" t="s">
        <v>48</v>
      </c>
      <c r="H24" s="230"/>
      <c r="I24" s="230"/>
      <c r="J24" s="245"/>
      <c r="K24" s="246" t="s">
        <v>49</v>
      </c>
      <c r="L24" s="246"/>
      <c r="M24" s="246"/>
      <c r="N24" s="246"/>
    </row>
    <row r="25" spans="2:14">
      <c r="B25" s="1" t="s">
        <v>50</v>
      </c>
      <c r="C25" s="224">
        <f>1/3</f>
        <v>0.333333333333333</v>
      </c>
      <c r="D25" s="224">
        <f>1/3</f>
        <v>0.333333333333333</v>
      </c>
      <c r="E25" s="224">
        <f>1/3</f>
        <v>0.333333333333333</v>
      </c>
      <c r="G25" s="230"/>
      <c r="H25" s="230"/>
      <c r="I25" s="230"/>
      <c r="J25" s="245"/>
      <c r="K25" s="246"/>
      <c r="L25" s="246"/>
      <c r="M25" s="246"/>
      <c r="N25" s="246"/>
    </row>
    <row r="26" ht="17" spans="7:14">
      <c r="G26" s="231" t="s">
        <v>10</v>
      </c>
      <c r="H26" s="232">
        <f>C29*5.5</f>
        <v>11429</v>
      </c>
      <c r="I26" s="231" t="s">
        <v>51</v>
      </c>
      <c r="J26" s="247">
        <f>C11*5/2+H26+C11/11*3</f>
        <v>18100.1818181818</v>
      </c>
      <c r="K26" s="246"/>
      <c r="L26" s="246"/>
      <c r="M26" s="246"/>
      <c r="N26" s="246"/>
    </row>
    <row r="27" ht="17" spans="1:14">
      <c r="A27" s="223" t="s">
        <v>52</v>
      </c>
      <c r="B27" s="1" t="s">
        <v>53</v>
      </c>
      <c r="C27" s="1" t="s">
        <v>11</v>
      </c>
      <c r="D27" s="1" t="s">
        <v>18</v>
      </c>
      <c r="G27" s="12" t="s">
        <v>12</v>
      </c>
      <c r="H27" s="232">
        <f>C30*5.5</f>
        <v>22485.8333333333</v>
      </c>
      <c r="I27" s="12"/>
      <c r="J27" s="248">
        <f>H27</f>
        <v>22485.8333333333</v>
      </c>
      <c r="K27" s="246"/>
      <c r="L27" s="246"/>
      <c r="M27" s="246"/>
      <c r="N27" s="246"/>
    </row>
    <row r="28" ht="68" spans="2:14">
      <c r="B28" s="1" t="s">
        <v>54</v>
      </c>
      <c r="C28" s="12" t="s">
        <v>55</v>
      </c>
      <c r="D28" s="12" t="s">
        <v>56</v>
      </c>
      <c r="G28" s="12" t="s">
        <v>13</v>
      </c>
      <c r="H28" s="232">
        <f>C31*5.5</f>
        <v>87426.1666666667</v>
      </c>
      <c r="I28" s="12"/>
      <c r="J28" s="248">
        <f>H28</f>
        <v>87426.1666666667</v>
      </c>
      <c r="K28" s="246"/>
      <c r="L28" s="246"/>
      <c r="M28" s="246"/>
      <c r="N28" s="246"/>
    </row>
    <row r="29" ht="17" spans="2:14">
      <c r="B29" s="1" t="s">
        <v>19</v>
      </c>
      <c r="C29" s="102">
        <f>C$19*C4+D$19*D4+D$19*E4</f>
        <v>2078</v>
      </c>
      <c r="D29" s="102">
        <f>C$20*C4+D$20*D4+E$20*E4</f>
        <v>2154</v>
      </c>
      <c r="G29" s="12" t="s">
        <v>14</v>
      </c>
      <c r="H29" s="232">
        <f>C32*5.5</f>
        <v>59605.3333333333</v>
      </c>
      <c r="I29" s="12"/>
      <c r="J29" s="248">
        <f>H29</f>
        <v>59605.3333333333</v>
      </c>
      <c r="K29" s="246"/>
      <c r="L29" s="246"/>
      <c r="M29" s="246"/>
      <c r="N29" s="246"/>
    </row>
    <row r="30" ht="17" spans="2:14">
      <c r="B30" s="1" t="s">
        <v>21</v>
      </c>
      <c r="C30" s="102">
        <f>C$19*C5+D$19*D5+D$19*E5</f>
        <v>4088.33333333333</v>
      </c>
      <c r="D30" s="102">
        <f>C$20*C5+D$20*D5+E$20*E5</f>
        <v>3866.77777777778</v>
      </c>
      <c r="G30" s="233" t="s">
        <v>15</v>
      </c>
      <c r="H30" s="232">
        <f>C33*5.5</f>
        <v>14773</v>
      </c>
      <c r="I30" s="233"/>
      <c r="J30" s="249">
        <f>H30+C15*4/2</f>
        <v>19573</v>
      </c>
      <c r="K30" s="246"/>
      <c r="L30" s="246"/>
      <c r="M30" s="246"/>
      <c r="N30" s="246"/>
    </row>
    <row r="31" spans="2:14">
      <c r="B31" s="1" t="s">
        <v>22</v>
      </c>
      <c r="C31" s="102">
        <f>C$19*C6+D$19*D6+D$19*E6</f>
        <v>15895.6666666667</v>
      </c>
      <c r="D31" s="102">
        <f>C$20*C6+D$20*D6+E$20*E6</f>
        <v>15872.5555555556</v>
      </c>
      <c r="G31" s="234" t="s">
        <v>57</v>
      </c>
      <c r="H31" s="234"/>
      <c r="I31" s="234"/>
      <c r="J31" s="234"/>
      <c r="K31" s="250"/>
      <c r="L31" s="246"/>
      <c r="M31" s="246"/>
      <c r="N31" s="246"/>
    </row>
    <row r="32" spans="2:14">
      <c r="B32" s="1" t="s">
        <v>23</v>
      </c>
      <c r="C32" s="102">
        <f>C$19*C7+D$19*D7+D$19*E7</f>
        <v>10837.3333333333</v>
      </c>
      <c r="D32" s="102">
        <f>C$20*C7+D$20*D7+E$20*E7</f>
        <v>11007.1111111111</v>
      </c>
      <c r="G32" s="234"/>
      <c r="H32" s="234"/>
      <c r="I32" s="234"/>
      <c r="J32" s="234"/>
      <c r="K32" s="250"/>
      <c r="L32" s="246"/>
      <c r="M32" s="246"/>
      <c r="N32" s="246"/>
    </row>
    <row r="33" spans="2:14">
      <c r="B33" s="1" t="s">
        <v>26</v>
      </c>
      <c r="C33" s="102">
        <f>C$19*C8+D$19*D8+D$19*E8</f>
        <v>2686</v>
      </c>
      <c r="D33" s="102">
        <f>C$20*C8+D$20*D8+E$20*E8</f>
        <v>2686</v>
      </c>
      <c r="G33" s="234"/>
      <c r="H33" s="234"/>
      <c r="I33" s="234"/>
      <c r="J33" s="234"/>
      <c r="K33" s="250"/>
      <c r="L33" s="246"/>
      <c r="M33" s="246"/>
      <c r="N33" s="246"/>
    </row>
    <row r="34" spans="7:10">
      <c r="G34" s="234"/>
      <c r="H34" s="234"/>
      <c r="I34" s="234"/>
      <c r="J34" s="234"/>
    </row>
    <row r="35" spans="10:10">
      <c r="J35" s="111"/>
    </row>
    <row r="36" spans="1:14">
      <c r="A36" s="223" t="s">
        <v>58</v>
      </c>
      <c r="B36" s="221" t="s">
        <v>59</v>
      </c>
      <c r="C36" s="225"/>
      <c r="D36" s="1" t="s">
        <v>60</v>
      </c>
      <c r="E36" s="1"/>
      <c r="F36" s="1"/>
      <c r="G36" s="1"/>
      <c r="H36" s="1"/>
      <c r="I36" s="9"/>
      <c r="J36" s="221" t="s">
        <v>61</v>
      </c>
      <c r="K36" s="225"/>
      <c r="L36" s="251" t="s">
        <v>62</v>
      </c>
      <c r="M36" s="252"/>
      <c r="N36" s="252"/>
    </row>
    <row r="37" ht="51" spans="2:14">
      <c r="B37" s="12" t="s">
        <v>63</v>
      </c>
      <c r="C37" s="225" t="s">
        <v>64</v>
      </c>
      <c r="D37" s="219" t="s">
        <v>65</v>
      </c>
      <c r="E37" s="120" t="s">
        <v>19</v>
      </c>
      <c r="F37" s="120" t="s">
        <v>21</v>
      </c>
      <c r="G37" s="120" t="s">
        <v>22</v>
      </c>
      <c r="H37" s="120" t="s">
        <v>23</v>
      </c>
      <c r="I37" s="188" t="s">
        <v>26</v>
      </c>
      <c r="J37" s="12" t="s">
        <v>63</v>
      </c>
      <c r="K37" s="225" t="s">
        <v>66</v>
      </c>
      <c r="L37" s="252"/>
      <c r="M37" s="252"/>
      <c r="N37" s="252"/>
    </row>
    <row r="38" ht="17" spans="2:14">
      <c r="B38" s="12" t="s">
        <v>19</v>
      </c>
      <c r="C38" s="226">
        <v>27.77</v>
      </c>
      <c r="D38" s="1" t="s">
        <v>67</v>
      </c>
      <c r="E38" s="1">
        <v>0.26</v>
      </c>
      <c r="F38" s="1">
        <v>0.26</v>
      </c>
      <c r="G38" s="1">
        <v>0.26</v>
      </c>
      <c r="H38" s="1">
        <v>0.26</v>
      </c>
      <c r="I38" s="9">
        <v>0.36</v>
      </c>
      <c r="J38" s="12" t="s">
        <v>19</v>
      </c>
      <c r="K38" s="253">
        <f>1/27.77</f>
        <v>0.0360100828231905</v>
      </c>
      <c r="L38" s="252"/>
      <c r="M38" s="252"/>
      <c r="N38" s="252"/>
    </row>
    <row r="39" ht="17" spans="2:14">
      <c r="B39" s="12" t="s">
        <v>21</v>
      </c>
      <c r="C39" s="226">
        <v>277.77</v>
      </c>
      <c r="D39" s="1" t="s">
        <v>68</v>
      </c>
      <c r="E39" s="1">
        <v>0.16</v>
      </c>
      <c r="F39" s="1">
        <v>0.2</v>
      </c>
      <c r="G39" s="1">
        <v>0.2</v>
      </c>
      <c r="H39" s="1">
        <v>0.2</v>
      </c>
      <c r="I39" s="9">
        <v>0.26</v>
      </c>
      <c r="J39" s="12" t="s">
        <v>21</v>
      </c>
      <c r="K39" s="253">
        <f>1/277.77</f>
        <v>0.00360010080282248</v>
      </c>
      <c r="L39" s="252"/>
      <c r="M39" s="252"/>
      <c r="N39" s="252"/>
    </row>
    <row r="40" ht="17" spans="2:14">
      <c r="B40" s="12" t="s">
        <v>22</v>
      </c>
      <c r="C40" s="226">
        <v>2081.51</v>
      </c>
      <c r="D40" s="1" t="s">
        <v>69</v>
      </c>
      <c r="E40" s="1">
        <v>0.16</v>
      </c>
      <c r="F40" s="1">
        <v>0.16</v>
      </c>
      <c r="G40" s="1">
        <v>0.16</v>
      </c>
      <c r="H40" s="1">
        <v>0.16</v>
      </c>
      <c r="I40" s="9">
        <v>0.22</v>
      </c>
      <c r="J40" s="12" t="s">
        <v>22</v>
      </c>
      <c r="K40" s="253">
        <f>1/2081.51</f>
        <v>0.000480420463990084</v>
      </c>
      <c r="L40" s="252"/>
      <c r="M40" s="252"/>
      <c r="N40" s="252"/>
    </row>
    <row r="41" ht="17" spans="2:14">
      <c r="B41" s="12" t="s">
        <v>23</v>
      </c>
      <c r="C41" s="226">
        <v>1388.73</v>
      </c>
      <c r="D41" s="1" t="s">
        <v>70</v>
      </c>
      <c r="E41" s="1">
        <v>0.16</v>
      </c>
      <c r="F41" s="1">
        <v>0.16</v>
      </c>
      <c r="G41" s="1">
        <v>0.16</v>
      </c>
      <c r="H41" s="1">
        <v>0.16</v>
      </c>
      <c r="I41" s="9">
        <v>0.16</v>
      </c>
      <c r="J41" s="12" t="s">
        <v>23</v>
      </c>
      <c r="K41" s="253">
        <f>1/1388.73</f>
        <v>0.000720082377423977</v>
      </c>
      <c r="L41" s="252"/>
      <c r="M41" s="252"/>
      <c r="N41" s="252"/>
    </row>
    <row r="42" ht="17" spans="2:14">
      <c r="B42" s="12" t="s">
        <v>26</v>
      </c>
      <c r="C42" s="226">
        <v>277.77</v>
      </c>
      <c r="D42" s="1" t="s">
        <v>71</v>
      </c>
      <c r="E42" s="1">
        <v>0.12</v>
      </c>
      <c r="F42" s="1">
        <v>0.16</v>
      </c>
      <c r="G42" s="1">
        <v>0.16</v>
      </c>
      <c r="H42" s="1">
        <v>0.16</v>
      </c>
      <c r="I42" s="9">
        <v>0.12</v>
      </c>
      <c r="J42" s="233" t="s">
        <v>26</v>
      </c>
      <c r="K42" s="254">
        <f>1/277.77</f>
        <v>0.00360010080282248</v>
      </c>
      <c r="L42" s="255"/>
      <c r="M42" s="255"/>
      <c r="N42" s="255"/>
    </row>
    <row r="43" spans="4:14">
      <c r="D43" s="1" t="s">
        <v>72</v>
      </c>
      <c r="E43" s="1">
        <v>0.8</v>
      </c>
      <c r="F43" s="1">
        <v>0.6</v>
      </c>
      <c r="G43" s="1">
        <v>0.4</v>
      </c>
      <c r="H43" s="1">
        <v>0.6</v>
      </c>
      <c r="I43" s="9">
        <v>0</v>
      </c>
      <c r="J43" s="251" t="s">
        <v>73</v>
      </c>
      <c r="K43" s="252"/>
      <c r="L43" s="252"/>
      <c r="M43" s="252"/>
      <c r="N43" s="252"/>
    </row>
    <row r="44" spans="4:14">
      <c r="D44" s="1" t="s">
        <v>74</v>
      </c>
      <c r="E44" s="1">
        <v>0.1</v>
      </c>
      <c r="F44" s="1">
        <v>0.1</v>
      </c>
      <c r="G44" s="1">
        <v>0</v>
      </c>
      <c r="H44" s="1">
        <v>0.1</v>
      </c>
      <c r="I44" s="9">
        <v>0.3</v>
      </c>
      <c r="J44" s="252"/>
      <c r="K44" s="252"/>
      <c r="L44" s="252"/>
      <c r="M44" s="252"/>
      <c r="N44" s="252"/>
    </row>
    <row r="45" spans="4:14">
      <c r="D45" s="1" t="s">
        <v>75</v>
      </c>
      <c r="E45" s="1">
        <v>0.1</v>
      </c>
      <c r="F45" s="1">
        <v>0.1</v>
      </c>
      <c r="G45" s="1">
        <v>0.1</v>
      </c>
      <c r="H45" s="1">
        <v>0.1</v>
      </c>
      <c r="I45" s="9">
        <v>0.1</v>
      </c>
      <c r="J45" s="252"/>
      <c r="K45" s="252"/>
      <c r="L45" s="252"/>
      <c r="M45" s="252"/>
      <c r="N45" s="252"/>
    </row>
    <row r="47" spans="1:6">
      <c r="A47" s="223" t="s">
        <v>76</v>
      </c>
      <c r="B47" s="221" t="s">
        <v>77</v>
      </c>
      <c r="C47" s="221"/>
      <c r="D47" s="221"/>
      <c r="E47" s="221"/>
      <c r="F47" s="235"/>
    </row>
    <row r="48" ht="24.95" customHeight="1" spans="2:12">
      <c r="B48" s="120" t="s">
        <v>78</v>
      </c>
      <c r="C48" s="227">
        <v>39</v>
      </c>
      <c r="D48" s="120" t="s">
        <v>79</v>
      </c>
      <c r="E48" s="188">
        <f>IF(F51=0,(($C$48-1)*2),198)+100-D49-D50-D51-D52-D53+F53</f>
        <v>383</v>
      </c>
      <c r="F48" s="236" t="s">
        <v>80</v>
      </c>
      <c r="G48" s="237" t="s">
        <v>81</v>
      </c>
      <c r="H48" s="1" t="s">
        <v>82</v>
      </c>
      <c r="I48" s="1"/>
      <c r="J48" s="1"/>
      <c r="K48" s="1"/>
      <c r="L48" s="1"/>
    </row>
    <row r="49" ht="24.95" customHeight="1" spans="2:12">
      <c r="B49" s="1" t="s">
        <v>83</v>
      </c>
      <c r="C49" s="1">
        <f>$C$48-1+75</f>
        <v>113</v>
      </c>
      <c r="D49" s="2">
        <v>0</v>
      </c>
      <c r="E49" s="9"/>
      <c r="F49" s="236"/>
      <c r="H49" s="1"/>
      <c r="I49" s="1" t="s">
        <v>84</v>
      </c>
      <c r="J49" s="1" t="s">
        <v>85</v>
      </c>
      <c r="K49" s="1" t="s">
        <v>86</v>
      </c>
      <c r="L49" s="1" t="s">
        <v>87</v>
      </c>
    </row>
    <row r="50" ht="24.95" customHeight="1" spans="2:16">
      <c r="B50" s="1" t="s">
        <v>88</v>
      </c>
      <c r="C50" s="1">
        <f>$C$48-1+75</f>
        <v>113</v>
      </c>
      <c r="D50" s="2">
        <v>0</v>
      </c>
      <c r="E50" s="9"/>
      <c r="F50" s="236"/>
      <c r="H50" s="1" t="s">
        <v>19</v>
      </c>
      <c r="I50" s="2"/>
      <c r="J50" s="211">
        <f>提资计算表!F21</f>
        <v>32018</v>
      </c>
      <c r="K50" s="2">
        <f>0.8+0.1+0.26+0.2+0.16</f>
        <v>1.52</v>
      </c>
      <c r="L50" s="2">
        <v>5000000</v>
      </c>
      <c r="O50" s="44"/>
      <c r="P50" s="44"/>
    </row>
    <row r="51" ht="24.95" customHeight="1" spans="2:16">
      <c r="B51" s="1" t="s">
        <v>89</v>
      </c>
      <c r="C51" s="1">
        <f>$C$48-1+75</f>
        <v>113</v>
      </c>
      <c r="D51" s="2">
        <v>0</v>
      </c>
      <c r="E51" s="9"/>
      <c r="F51" s="238">
        <v>2</v>
      </c>
      <c r="H51" s="1" t="s">
        <v>21</v>
      </c>
      <c r="I51" s="2"/>
      <c r="J51" s="211">
        <f>提资计算表!F22</f>
        <v>32907</v>
      </c>
      <c r="K51" s="211">
        <f>0.6+0.1</f>
        <v>0.7</v>
      </c>
      <c r="L51" s="2">
        <v>130000</v>
      </c>
      <c r="O51" s="44"/>
      <c r="P51" s="44"/>
    </row>
    <row r="52" ht="24.95" customHeight="1" spans="2:16">
      <c r="B52" s="1" t="s">
        <v>90</v>
      </c>
      <c r="C52" s="1">
        <f>$C$48-1+75</f>
        <v>113</v>
      </c>
      <c r="D52" s="2">
        <v>0</v>
      </c>
      <c r="E52" s="9"/>
      <c r="F52" s="236" t="s">
        <v>91</v>
      </c>
      <c r="H52" s="1" t="s">
        <v>22</v>
      </c>
      <c r="I52" s="2"/>
      <c r="J52" s="211">
        <f>提资计算表!F23</f>
        <v>133900</v>
      </c>
      <c r="K52" s="211">
        <f>0</f>
        <v>0</v>
      </c>
      <c r="L52" s="2">
        <v>0</v>
      </c>
      <c r="O52" s="44"/>
      <c r="P52" s="44"/>
    </row>
    <row r="53" ht="24.95" customHeight="1" spans="2:16">
      <c r="B53" s="5" t="s">
        <v>92</v>
      </c>
      <c r="C53" s="5">
        <f>$C$48-1</f>
        <v>38</v>
      </c>
      <c r="D53" s="215">
        <v>0</v>
      </c>
      <c r="E53" s="239"/>
      <c r="F53" s="240">
        <f>IF(F51=1,INT(10+(C48/2.5)),IF(F51=2,INT((C48/2.5)+70),0))</f>
        <v>85</v>
      </c>
      <c r="H53" s="1" t="s">
        <v>23</v>
      </c>
      <c r="I53" s="2"/>
      <c r="J53" s="211">
        <f>提资计算表!F24</f>
        <v>81107</v>
      </c>
      <c r="K53" s="211">
        <f>0.1</f>
        <v>0.1</v>
      </c>
      <c r="L53" s="2">
        <v>0</v>
      </c>
      <c r="O53" s="44"/>
      <c r="P53" s="44"/>
    </row>
    <row r="54" ht="24.95" customHeight="1" spans="2:16">
      <c r="B54" s="1" t="s">
        <v>93</v>
      </c>
      <c r="C54" s="1" t="s">
        <v>94</v>
      </c>
      <c r="D54" s="1" t="s">
        <v>95</v>
      </c>
      <c r="E54" s="1" t="s">
        <v>96</v>
      </c>
      <c r="F54" s="120" t="s">
        <v>75</v>
      </c>
      <c r="H54" s="1" t="s">
        <v>26</v>
      </c>
      <c r="I54" s="2"/>
      <c r="J54" s="211">
        <f>提资计算表!F25</f>
        <v>32113</v>
      </c>
      <c r="K54" s="2">
        <f>0.3+0.36+0.26+0.08</f>
        <v>1</v>
      </c>
      <c r="L54" s="2">
        <v>500000</v>
      </c>
      <c r="O54" s="44"/>
      <c r="P54" s="44"/>
    </row>
    <row r="55" ht="17.9" customHeight="1" spans="2:16">
      <c r="B55" s="1" t="s">
        <v>19</v>
      </c>
      <c r="C55" s="2"/>
      <c r="D55" s="1">
        <v>0.1</v>
      </c>
      <c r="E55" s="2">
        <v>0.8</v>
      </c>
      <c r="F55" s="2"/>
      <c r="H55" s="1" t="s">
        <v>97</v>
      </c>
      <c r="I55" s="1"/>
      <c r="J55" s="1"/>
      <c r="K55" s="1"/>
      <c r="L55" s="1"/>
      <c r="O55" s="44"/>
      <c r="P55" s="44"/>
    </row>
    <row r="56" ht="17.9" customHeight="1" spans="2:12">
      <c r="B56" s="1" t="s">
        <v>21</v>
      </c>
      <c r="C56" s="2"/>
      <c r="D56" s="1">
        <v>0.1</v>
      </c>
      <c r="E56" s="2">
        <v>0.6</v>
      </c>
      <c r="F56" s="2">
        <v>0.1</v>
      </c>
      <c r="H56" s="1" t="s">
        <v>98</v>
      </c>
      <c r="I56" s="1" t="s">
        <v>19</v>
      </c>
      <c r="J56" s="1">
        <f>IFERROR(ROUNDUP(L50/(1+K50)/(J50*1.2+I50*1.1)*C38,0),0)</f>
        <v>1435</v>
      </c>
      <c r="K56" s="1" t="s">
        <v>21</v>
      </c>
      <c r="L56" s="1">
        <f>ROUNDUP(L51/(1+K51)/(J51*1.2+I51*1.1)*C39,0)</f>
        <v>538</v>
      </c>
    </row>
    <row r="57" ht="17.9" customHeight="1" spans="2:12">
      <c r="B57" s="1" t="s">
        <v>22</v>
      </c>
      <c r="C57" s="2">
        <f>0.26+0.2+0.06</f>
        <v>0.52</v>
      </c>
      <c r="D57" s="1">
        <v>0</v>
      </c>
      <c r="E57" s="2">
        <v>0.4</v>
      </c>
      <c r="F57" s="2">
        <v>0.1</v>
      </c>
      <c r="H57" s="1"/>
      <c r="I57" s="1" t="s">
        <v>22</v>
      </c>
      <c r="J57" s="1">
        <f>IFERROR(ROUNDUP(L52/(1+K52)/(J52*1.2+I52*1.1)*C40,0),0)</f>
        <v>0</v>
      </c>
      <c r="K57" s="1" t="s">
        <v>23</v>
      </c>
      <c r="L57" s="1">
        <f>ROUNDUP(L53/(1+K53)/(J53*1.2+I53*1.1)*C41,0)</f>
        <v>0</v>
      </c>
    </row>
    <row r="58" ht="17.9" customHeight="1" spans="2:12">
      <c r="B58" s="1" t="s">
        <v>23</v>
      </c>
      <c r="C58" s="2">
        <f>0.26+0.2+0.16</f>
        <v>0.62</v>
      </c>
      <c r="D58" s="1">
        <v>0.1</v>
      </c>
      <c r="E58" s="2">
        <v>0.6</v>
      </c>
      <c r="F58" s="2"/>
      <c r="H58" s="5"/>
      <c r="I58" s="5" t="s">
        <v>26</v>
      </c>
      <c r="J58" s="5">
        <f>ROUNDUP((L54-((J54+I54)*0.18*(1+K54)))/(1+K54)/(J54*1.2+I54*1.1)*C42,0)</f>
        <v>1761</v>
      </c>
      <c r="K58" s="5"/>
      <c r="L58" s="5"/>
    </row>
    <row r="59" ht="17.9" customHeight="1" spans="2:12">
      <c r="B59" s="5" t="s">
        <v>26</v>
      </c>
      <c r="C59" s="215">
        <v>0.7</v>
      </c>
      <c r="D59" s="5">
        <v>0.3</v>
      </c>
      <c r="E59" s="5">
        <v>0</v>
      </c>
      <c r="F59" s="215"/>
      <c r="H59" s="1" t="s">
        <v>99</v>
      </c>
      <c r="I59" s="1" t="s">
        <v>100</v>
      </c>
      <c r="J59" s="2">
        <v>100</v>
      </c>
      <c r="K59" s="1" t="s">
        <v>101</v>
      </c>
      <c r="L59" s="1">
        <f>198+100+INT(J59/5)*2+70</f>
        <v>408</v>
      </c>
    </row>
    <row r="60" ht="25.9" customHeight="1" spans="2:12">
      <c r="B60" s="1" t="s">
        <v>63</v>
      </c>
      <c r="C60" s="9" t="s">
        <v>87</v>
      </c>
      <c r="D60" s="1" t="s">
        <v>102</v>
      </c>
      <c r="E60" s="241" t="s">
        <v>103</v>
      </c>
      <c r="F60" s="242" t="s">
        <v>104</v>
      </c>
      <c r="H60" s="243">
        <f>(J59-1)+75</f>
        <v>174</v>
      </c>
      <c r="I60" s="1" t="s">
        <v>105</v>
      </c>
      <c r="J60" s="1">
        <f>L59-(MAX(0,J56-H60)+MAX(0,L56-H60)+MAX(0,J57-H60)+MAX(0,L57-H60)+MAX(0,J58-(J59-1)))</f>
        <v>-2879</v>
      </c>
      <c r="K60" s="1" t="s">
        <v>106</v>
      </c>
      <c r="L60" s="1" t="str">
        <f>IF(J60&gt;=0,"可行","不可行")</f>
        <v>不可行</v>
      </c>
    </row>
    <row r="61" ht="25.85" customHeight="1" spans="2:6">
      <c r="B61" s="1" t="s">
        <v>19</v>
      </c>
      <c r="C61" s="228">
        <v>1</v>
      </c>
      <c r="D61" s="229">
        <v>961</v>
      </c>
      <c r="E61" s="82">
        <f>(C61/(1+C55+D55+E55+F55)/(C49+D49)*C38-D61*1.1)/1.2</f>
        <v>-880.808880608601</v>
      </c>
      <c r="F61" s="242"/>
    </row>
    <row r="62" ht="25.85" customHeight="1" spans="2:13">
      <c r="B62" s="1" t="s">
        <v>21</v>
      </c>
      <c r="C62" s="228">
        <v>1</v>
      </c>
      <c r="D62" s="228">
        <v>1144</v>
      </c>
      <c r="E62" s="82">
        <f>(C62/(1+C56+D56+E56+F56)/(D50+C50)*C39-D62*1.1)/1.2</f>
        <v>-1047.52863815143</v>
      </c>
      <c r="F62" s="242"/>
      <c r="H62" s="237" t="s">
        <v>107</v>
      </c>
      <c r="I62" s="1" t="s">
        <v>108</v>
      </c>
      <c r="J62" s="1"/>
      <c r="K62" s="1"/>
      <c r="L62" s="1"/>
      <c r="M62" s="1"/>
    </row>
    <row r="63" ht="25.85" customHeight="1" spans="2:13">
      <c r="B63" s="1" t="s">
        <v>22</v>
      </c>
      <c r="C63" s="228">
        <v>50000</v>
      </c>
      <c r="D63" s="228">
        <v>1395</v>
      </c>
      <c r="E63" s="82">
        <f>(C63/(1+C57+D57+E57+F57)/(C51+D51)*C40-D63*1.1)/1.2</f>
        <v>378680.872068402</v>
      </c>
      <c r="F63" s="242"/>
      <c r="I63" s="1"/>
      <c r="J63" s="1" t="s">
        <v>84</v>
      </c>
      <c r="K63" s="1" t="s">
        <v>85</v>
      </c>
      <c r="L63" s="1" t="s">
        <v>86</v>
      </c>
      <c r="M63" s="1" t="s">
        <v>87</v>
      </c>
    </row>
    <row r="64" ht="25.85" customHeight="1" spans="2:13">
      <c r="B64" s="1" t="s">
        <v>23</v>
      </c>
      <c r="C64" s="228">
        <v>100000</v>
      </c>
      <c r="D64" s="228">
        <v>888</v>
      </c>
      <c r="E64" s="82">
        <f>(C64/(1+C58+D58+E58+F58)/(C52+D52)*C41-D64*1.1)/1.2</f>
        <v>440624.43454379</v>
      </c>
      <c r="F64" s="242"/>
      <c r="I64" s="1" t="s">
        <v>19</v>
      </c>
      <c r="J64" s="2">
        <v>1000</v>
      </c>
      <c r="K64" s="211">
        <v>70000</v>
      </c>
      <c r="L64" s="2">
        <v>0.9</v>
      </c>
      <c r="M64" s="2">
        <v>0</v>
      </c>
    </row>
    <row r="65" ht="25.85" customHeight="1" spans="2:13">
      <c r="B65" s="1" t="s">
        <v>26</v>
      </c>
      <c r="C65" s="228">
        <v>1</v>
      </c>
      <c r="D65" s="228">
        <v>1522</v>
      </c>
      <c r="E65" s="82">
        <f>C65/(C59+1+D59+F59)/(((C53+D53)*1.2/C42)+0.18)</f>
        <v>1.45279324174203</v>
      </c>
      <c r="F65" s="242"/>
      <c r="I65" s="1" t="s">
        <v>21</v>
      </c>
      <c r="J65" s="2">
        <v>1000</v>
      </c>
      <c r="K65" s="211">
        <v>41800</v>
      </c>
      <c r="L65" s="2">
        <f>0.1+0.15+0.26+0.2</f>
        <v>0.71</v>
      </c>
      <c r="M65" s="2">
        <v>500000</v>
      </c>
    </row>
    <row r="66" ht="25.85" customHeight="1" spans="9:13">
      <c r="I66" s="1" t="s">
        <v>22</v>
      </c>
      <c r="J66" s="2">
        <v>1000</v>
      </c>
      <c r="K66" s="211">
        <v>300000</v>
      </c>
      <c r="L66" s="2"/>
      <c r="M66" s="2">
        <v>0</v>
      </c>
    </row>
    <row r="67" ht="25.85" customHeight="1" spans="1:13">
      <c r="A67" s="223" t="s">
        <v>109</v>
      </c>
      <c r="B67" s="1" t="s">
        <v>110</v>
      </c>
      <c r="C67" s="1"/>
      <c r="D67" s="1"/>
      <c r="E67" s="1"/>
      <c r="F67" s="1"/>
      <c r="G67" s="1"/>
      <c r="I67" s="1" t="s">
        <v>23</v>
      </c>
      <c r="J67" s="2">
        <v>1000</v>
      </c>
      <c r="K67" s="211">
        <v>140000</v>
      </c>
      <c r="L67" s="2">
        <v>0.36</v>
      </c>
      <c r="M67" s="2">
        <v>0</v>
      </c>
    </row>
    <row r="68" ht="25.85" customHeight="1" spans="2:13">
      <c r="B68" s="1"/>
      <c r="C68" s="1" t="s">
        <v>102</v>
      </c>
      <c r="D68" s="1" t="s">
        <v>85</v>
      </c>
      <c r="E68" s="1" t="s">
        <v>111</v>
      </c>
      <c r="F68" s="1" t="s">
        <v>112</v>
      </c>
      <c r="G68" s="1" t="s">
        <v>113</v>
      </c>
      <c r="I68" s="1" t="s">
        <v>26</v>
      </c>
      <c r="J68" s="2">
        <v>1000</v>
      </c>
      <c r="K68" s="211">
        <v>50000</v>
      </c>
      <c r="L68" s="2">
        <v>0.92</v>
      </c>
      <c r="M68" s="2">
        <v>0</v>
      </c>
    </row>
    <row r="69" ht="25.85" customHeight="1" spans="2:13">
      <c r="B69" s="1" t="s">
        <v>19</v>
      </c>
      <c r="C69" s="2"/>
      <c r="D69" s="2">
        <v>252364</v>
      </c>
      <c r="E69" s="2">
        <f>154+89</f>
        <v>243</v>
      </c>
      <c r="F69" s="2">
        <f>0.8+0.1</f>
        <v>0.9</v>
      </c>
      <c r="G69" s="102">
        <f>(C69*1.1+D69*1.2)/C38*E69*(F69+1)</f>
        <v>5034920.79798344</v>
      </c>
      <c r="I69" s="1" t="s">
        <v>97</v>
      </c>
      <c r="J69" s="1"/>
      <c r="K69" s="1"/>
      <c r="L69" s="1"/>
      <c r="M69" s="1"/>
    </row>
    <row r="70" ht="25.85" customHeight="1" spans="2:13">
      <c r="B70" s="1" t="s">
        <v>21</v>
      </c>
      <c r="C70" s="2">
        <f>5840*2.2</f>
        <v>12848</v>
      </c>
      <c r="D70" s="2">
        <v>67500</v>
      </c>
      <c r="E70" s="2">
        <f>175+408</f>
        <v>583</v>
      </c>
      <c r="F70" s="2">
        <f>0.6+0.1+0.26+0.2+0.16+0.16</f>
        <v>1.48</v>
      </c>
      <c r="G70" s="102">
        <f>(C70*1.1+D70*1.2)/C39*E70*(F70+1)</f>
        <v>495182.372293624</v>
      </c>
      <c r="I70" s="1" t="s">
        <v>98</v>
      </c>
      <c r="J70" s="1" t="s">
        <v>19</v>
      </c>
      <c r="K70" s="1">
        <f>ROUNDUP(M64/(1+L64)/(K64*1.2*3.15+J64*1.1*3.15)*C38,0)</f>
        <v>0</v>
      </c>
      <c r="L70" s="1" t="s">
        <v>21</v>
      </c>
      <c r="M70" s="1">
        <f>ROUNDUP(M65/(1+L65)/(K65*1.2*3.15+J65*1.1*3.15)*C39,0)</f>
        <v>504</v>
      </c>
    </row>
    <row r="71" ht="25.85" customHeight="1" spans="2:13">
      <c r="B71" s="1" t="s">
        <v>22</v>
      </c>
      <c r="C71" s="2">
        <v>1000</v>
      </c>
      <c r="D71" s="2">
        <v>128000</v>
      </c>
      <c r="E71" s="2">
        <f>152+185</f>
        <v>337</v>
      </c>
      <c r="F71" s="2">
        <f>0.4+0.26+0.2+0.06+0.1</f>
        <v>1.02</v>
      </c>
      <c r="G71" s="102">
        <f>(C71*1.1+D71*1.2)/C40*E71*(F71+1)</f>
        <v>50593.3087037775</v>
      </c>
      <c r="I71" s="1"/>
      <c r="J71" s="1" t="s">
        <v>22</v>
      </c>
      <c r="K71" s="1">
        <f>ROUNDUP(M66/(1+L66)/(K66*1.2*3.15+J66*1.1*3.15)*C40,0)</f>
        <v>0</v>
      </c>
      <c r="L71" s="1" t="s">
        <v>23</v>
      </c>
      <c r="M71" s="1">
        <f>ROUNDUP(M67/(1+L67)/(K67*1.2*3.15+J67*1.1*3.15)*C41,0)</f>
        <v>0</v>
      </c>
    </row>
    <row r="72" ht="25.85" customHeight="1" spans="2:13">
      <c r="B72" s="1" t="s">
        <v>23</v>
      </c>
      <c r="C72" s="2">
        <v>1000</v>
      </c>
      <c r="D72" s="2">
        <v>100000</v>
      </c>
      <c r="E72" s="2">
        <f>152+274</f>
        <v>426</v>
      </c>
      <c r="F72" s="2">
        <f>0.6+0.26+0.2+0.16+0.1</f>
        <v>1.32</v>
      </c>
      <c r="G72" s="102">
        <f>(C72*1.1+D72*1.2)/C41*E72*(F72+1)</f>
        <v>86183.4568274611</v>
      </c>
      <c r="I72" s="5"/>
      <c r="J72" s="5" t="s">
        <v>26</v>
      </c>
      <c r="K72" s="5">
        <f>ROUNDUP((M68-((K68*3.15+J68*3.15)*0.18*(1+L68)))/(1+L68)/(K68*1.2*3.15+J68*1.1*3.15)*C42,0)</f>
        <v>-42</v>
      </c>
      <c r="L72" s="5"/>
      <c r="M72" s="5"/>
    </row>
    <row r="73" ht="25.85" customHeight="1" spans="2:13">
      <c r="B73" s="1" t="s">
        <v>26</v>
      </c>
      <c r="C73" s="2">
        <v>1500</v>
      </c>
      <c r="D73" s="2">
        <v>258044</v>
      </c>
      <c r="E73" s="2">
        <f>79+149</f>
        <v>228</v>
      </c>
      <c r="F73" s="2">
        <f>0.3</f>
        <v>0.3</v>
      </c>
      <c r="G73" s="102">
        <f>(C73*1.1+D73*1.2)/C42*E73*(F73+1)+((C73+D73)*0.18)*(1+F73)</f>
        <v>392915.136803542</v>
      </c>
      <c r="I73" s="1" t="s">
        <v>99</v>
      </c>
      <c r="J73" s="1" t="s">
        <v>100</v>
      </c>
      <c r="K73" s="2">
        <v>53</v>
      </c>
      <c r="L73" s="1" t="s">
        <v>101</v>
      </c>
      <c r="M73" s="1">
        <f>198+100+INT(K73/5)*2+70</f>
        <v>388</v>
      </c>
    </row>
    <row r="74" ht="26.3" customHeight="1" spans="9:13">
      <c r="I74" s="243">
        <f>(K73-1)+75</f>
        <v>127</v>
      </c>
      <c r="J74" s="1" t="s">
        <v>105</v>
      </c>
      <c r="K74" s="1">
        <f>M73-(MAX(0,K70-I74)+MAX(0,M70-I74)+MAX(0,K71-I74)+MAX(0,M71-I74)+MAX(0,K72-(K73-1)))</f>
        <v>11</v>
      </c>
      <c r="L74" s="1" t="s">
        <v>106</v>
      </c>
      <c r="M74" s="1" t="str">
        <f>IF(K74&gt;=0,"可行","不可行")</f>
        <v>可行</v>
      </c>
    </row>
  </sheetData>
  <mergeCells count="28">
    <mergeCell ref="B2:E2"/>
    <mergeCell ref="G2:K2"/>
    <mergeCell ref="G4:K4"/>
    <mergeCell ref="B10:E10"/>
    <mergeCell ref="G10:K10"/>
    <mergeCell ref="C17:E17"/>
    <mergeCell ref="B36:C36"/>
    <mergeCell ref="D36:I36"/>
    <mergeCell ref="J36:K36"/>
    <mergeCell ref="B47:F47"/>
    <mergeCell ref="H48:L48"/>
    <mergeCell ref="H55:L55"/>
    <mergeCell ref="I62:M62"/>
    <mergeCell ref="B67:G67"/>
    <mergeCell ref="I69:M69"/>
    <mergeCell ref="D11:D15"/>
    <mergeCell ref="E48:E53"/>
    <mergeCell ref="F48:F50"/>
    <mergeCell ref="F60:F65"/>
    <mergeCell ref="H56:H58"/>
    <mergeCell ref="I26:I30"/>
    <mergeCell ref="I70:I72"/>
    <mergeCell ref="L36:N42"/>
    <mergeCell ref="K24:N33"/>
    <mergeCell ref="J43:N45"/>
    <mergeCell ref="J17:K19"/>
    <mergeCell ref="G31:J34"/>
    <mergeCell ref="G24:J25"/>
  </mergeCells>
  <conditionalFormatting sqref="J60">
    <cfRule type="cellIs" dxfId="0" priority="1" operator="lessThan">
      <formula>0</formula>
    </cfRule>
  </conditionalFormatting>
  <conditionalFormatting sqref="K74">
    <cfRule type="cellIs" dxfId="0" priority="3" operator="lessThan">
      <formula>0</formula>
    </cfRule>
  </conditionalFormatting>
  <conditionalFormatting sqref="E48:E53">
    <cfRule type="cellIs" dxfId="0" priority="2" operator="lessThan">
      <formula>0</formula>
    </cfRule>
  </conditionalFormatting>
  <dataValidations count="5">
    <dataValidation type="whole" operator="between" allowBlank="1" showInputMessage="1" showErrorMessage="1" sqref="C48">
      <formula1>1</formula1>
      <formula2>100</formula2>
    </dataValidation>
    <dataValidation type="whole" operator="between" allowBlank="1" showInputMessage="1" showErrorMessage="1" sqref="F51">
      <formula1>0</formula1>
      <formula2>2</formula2>
    </dataValidation>
    <dataValidation type="whole" operator="between" allowBlank="1" showInputMessage="1" showErrorMessage="1" sqref="C61">
      <formula1>1</formula1>
      <formula2>5000000</formula2>
    </dataValidation>
    <dataValidation type="whole" operator="between" allowBlank="1" showInputMessage="1" showErrorMessage="1" sqref="C62 C65">
      <formula1>1</formula1>
      <formula2>500000</formula2>
    </dataValidation>
    <dataValidation type="whole" operator="between" allowBlank="1" showInputMessage="1" showErrorMessage="1" sqref="C63 C64">
      <formula1>1</formula1>
      <formula2>100000</formula2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A7EDF"/>
  </sheetPr>
  <dimension ref="B1:F43"/>
  <sheetViews>
    <sheetView zoomScale="54" zoomScaleNormal="54" workbookViewId="0">
      <selection activeCell="G40" sqref="G40"/>
    </sheetView>
  </sheetViews>
  <sheetFormatPr defaultColWidth="10" defaultRowHeight="16.8" outlineLevelCol="5"/>
  <cols>
    <col min="1" max="1" width="14.9230769230769" customWidth="1"/>
    <col min="2" max="5" width="14.9230769230769" style="75" customWidth="1"/>
    <col min="6" max="6" width="14.9230769230769" style="64" customWidth="1"/>
    <col min="7" max="8" width="6.78846153846154" customWidth="1"/>
  </cols>
  <sheetData>
    <row r="1" ht="22.85" customHeight="1"/>
    <row r="2" customFormat="1" spans="2:6">
      <c r="B2" s="1" t="s">
        <v>39</v>
      </c>
      <c r="C2" s="1" t="s">
        <v>114</v>
      </c>
      <c r="D2" s="1" t="s">
        <v>115</v>
      </c>
      <c r="E2" s="1" t="s">
        <v>116</v>
      </c>
      <c r="F2" s="1"/>
    </row>
    <row r="3" ht="22.85" customHeight="1" spans="2:6">
      <c r="B3" s="1" t="s">
        <v>44</v>
      </c>
      <c r="C3" s="1" t="s">
        <v>114</v>
      </c>
      <c r="D3" s="1" t="s">
        <v>115</v>
      </c>
      <c r="E3" s="1" t="s">
        <v>116</v>
      </c>
      <c r="F3" s="1"/>
    </row>
    <row r="4" ht="22.85" customHeight="1" spans="2:6">
      <c r="B4" s="1" t="s">
        <v>50</v>
      </c>
      <c r="C4" s="1" t="s">
        <v>114</v>
      </c>
      <c r="D4" s="1" t="s">
        <v>115</v>
      </c>
      <c r="E4" s="1" t="s">
        <v>116</v>
      </c>
      <c r="F4" s="1"/>
    </row>
    <row r="5" ht="22.85" customHeight="1" spans="2:6">
      <c r="B5" s="1" t="s">
        <v>39</v>
      </c>
      <c r="C5" s="1" t="s">
        <v>114</v>
      </c>
      <c r="D5" s="1" t="s">
        <v>115</v>
      </c>
      <c r="E5" s="1" t="s">
        <v>116</v>
      </c>
      <c r="F5" s="1"/>
    </row>
    <row r="6" ht="22.85" customHeight="1" spans="2:6">
      <c r="B6" s="1" t="s">
        <v>42</v>
      </c>
      <c r="C6" s="1" t="s">
        <v>117</v>
      </c>
      <c r="D6" s="1" t="s">
        <v>115</v>
      </c>
      <c r="E6" s="1"/>
      <c r="F6" s="1"/>
    </row>
    <row r="7" ht="22.85" customHeight="1" spans="2:6">
      <c r="B7" s="1" t="s">
        <v>40</v>
      </c>
      <c r="C7" s="1" t="s">
        <v>117</v>
      </c>
      <c r="D7" s="1" t="s">
        <v>115</v>
      </c>
      <c r="E7" s="1"/>
      <c r="F7" s="1"/>
    </row>
    <row r="8" ht="22.85" customHeight="1" spans="2:6">
      <c r="B8" s="1" t="s">
        <v>45</v>
      </c>
      <c r="C8" s="1" t="s">
        <v>118</v>
      </c>
      <c r="D8" s="1"/>
      <c r="E8" s="1"/>
      <c r="F8" s="1"/>
    </row>
    <row r="9" ht="22.85" customHeight="1" spans="2:6">
      <c r="B9" s="1" t="s">
        <v>46</v>
      </c>
      <c r="C9" s="1" t="s">
        <v>118</v>
      </c>
      <c r="D9" s="1"/>
      <c r="E9" s="1"/>
      <c r="F9" s="1"/>
    </row>
    <row r="10" ht="22.85" customHeight="1" spans="2:6">
      <c r="B10" s="1" t="s">
        <v>114</v>
      </c>
      <c r="C10" s="1" t="s">
        <v>119</v>
      </c>
      <c r="D10" s="1" t="s">
        <v>120</v>
      </c>
      <c r="E10" s="1" t="s">
        <v>121</v>
      </c>
      <c r="F10" s="1"/>
    </row>
    <row r="11" customFormat="1" ht="22.85" customHeight="1" spans="2:6">
      <c r="B11" s="1" t="s">
        <v>116</v>
      </c>
      <c r="C11" s="1" t="s">
        <v>119</v>
      </c>
      <c r="D11" s="1" t="s">
        <v>120</v>
      </c>
      <c r="E11" s="1" t="s">
        <v>122</v>
      </c>
      <c r="F11" s="1"/>
    </row>
    <row r="12" ht="22.85" customHeight="1" spans="2:6">
      <c r="B12" s="1" t="s">
        <v>115</v>
      </c>
      <c r="C12" s="1" t="s">
        <v>123</v>
      </c>
      <c r="D12" s="1" t="s">
        <v>124</v>
      </c>
      <c r="E12" s="1" t="s">
        <v>125</v>
      </c>
      <c r="F12" s="1"/>
    </row>
    <row r="13" ht="22.85" customHeight="1" spans="2:6">
      <c r="B13" s="1" t="s">
        <v>117</v>
      </c>
      <c r="C13" s="1" t="s">
        <v>123</v>
      </c>
      <c r="D13" s="1" t="s">
        <v>124</v>
      </c>
      <c r="E13" s="1" t="s">
        <v>125</v>
      </c>
      <c r="F13" s="1"/>
    </row>
    <row r="14" ht="22.85" customHeight="1" spans="2:6">
      <c r="B14" s="1" t="s">
        <v>118</v>
      </c>
      <c r="C14" s="1" t="s">
        <v>126</v>
      </c>
      <c r="D14" s="1" t="s">
        <v>127</v>
      </c>
      <c r="E14" s="1"/>
      <c r="F14" s="1"/>
    </row>
    <row r="15" ht="22.85" customHeight="1" spans="2:6">
      <c r="B15" s="1" t="s">
        <v>119</v>
      </c>
      <c r="C15" s="1" t="s">
        <v>128</v>
      </c>
      <c r="D15" s="1" t="s">
        <v>129</v>
      </c>
      <c r="E15" s="1" t="s">
        <v>130</v>
      </c>
      <c r="F15" s="1"/>
    </row>
    <row r="16" ht="22.85" customHeight="1" spans="2:6">
      <c r="B16" s="1" t="s">
        <v>125</v>
      </c>
      <c r="C16" s="1" t="s">
        <v>128</v>
      </c>
      <c r="D16" s="1" t="s">
        <v>129</v>
      </c>
      <c r="E16" s="1" t="s">
        <v>130</v>
      </c>
      <c r="F16" s="1"/>
    </row>
    <row r="17" ht="22.85" customHeight="1" spans="2:6">
      <c r="B17" s="1" t="s">
        <v>120</v>
      </c>
      <c r="C17" s="1" t="s">
        <v>128</v>
      </c>
      <c r="D17" s="1" t="s">
        <v>129</v>
      </c>
      <c r="E17" s="1" t="s">
        <v>131</v>
      </c>
      <c r="F17" s="1"/>
    </row>
    <row r="18" ht="22.85" customHeight="1" spans="2:6">
      <c r="B18" s="1" t="s">
        <v>122</v>
      </c>
      <c r="C18" s="1" t="s">
        <v>128</v>
      </c>
      <c r="D18" s="1" t="s">
        <v>129</v>
      </c>
      <c r="E18" s="1" t="s">
        <v>131</v>
      </c>
      <c r="F18" s="1"/>
    </row>
    <row r="19" ht="22.85" customHeight="1" spans="2:6">
      <c r="B19" s="1" t="s">
        <v>124</v>
      </c>
      <c r="C19" s="1" t="s">
        <v>132</v>
      </c>
      <c r="D19" s="1" t="s">
        <v>133</v>
      </c>
      <c r="E19" s="1" t="s">
        <v>134</v>
      </c>
      <c r="F19" s="1"/>
    </row>
    <row r="20" ht="22.85" customHeight="1" spans="2:6">
      <c r="B20" s="1" t="s">
        <v>123</v>
      </c>
      <c r="C20" s="1" t="s">
        <v>132</v>
      </c>
      <c r="D20" s="1" t="s">
        <v>133</v>
      </c>
      <c r="E20" s="1" t="s">
        <v>134</v>
      </c>
      <c r="F20" s="1"/>
    </row>
    <row r="21" ht="22.85" customHeight="1" spans="2:6">
      <c r="B21" s="1" t="s">
        <v>126</v>
      </c>
      <c r="C21" s="1" t="s">
        <v>135</v>
      </c>
      <c r="D21" s="1" t="s">
        <v>136</v>
      </c>
      <c r="E21" s="1"/>
      <c r="F21" s="1"/>
    </row>
    <row r="22" ht="22.85" customHeight="1" spans="2:6">
      <c r="B22" s="1" t="s">
        <v>127</v>
      </c>
      <c r="C22" s="1" t="s">
        <v>135</v>
      </c>
      <c r="D22" s="1" t="s">
        <v>136</v>
      </c>
      <c r="E22" s="1"/>
      <c r="F22" s="1"/>
    </row>
    <row r="23" ht="22.85" customHeight="1" spans="2:6">
      <c r="B23" s="1" t="s">
        <v>128</v>
      </c>
      <c r="C23" s="1" t="s">
        <v>6</v>
      </c>
      <c r="D23" s="1" t="s">
        <v>5</v>
      </c>
      <c r="E23" s="1"/>
      <c r="F23" s="1"/>
    </row>
    <row r="24" ht="22.85" customHeight="1" spans="2:6">
      <c r="B24" s="1" t="s">
        <v>129</v>
      </c>
      <c r="C24" s="1" t="s">
        <v>6</v>
      </c>
      <c r="D24" s="1" t="s">
        <v>5</v>
      </c>
      <c r="E24" s="1"/>
      <c r="F24" s="1"/>
    </row>
    <row r="25" ht="22.85" customHeight="1" spans="2:6">
      <c r="B25" s="1" t="s">
        <v>131</v>
      </c>
      <c r="C25" s="1"/>
      <c r="D25" s="1" t="s">
        <v>5</v>
      </c>
      <c r="E25" s="1"/>
      <c r="F25" s="1"/>
    </row>
    <row r="26" ht="22.85" customHeight="1" spans="2:6">
      <c r="B26" s="1" t="s">
        <v>130</v>
      </c>
      <c r="C26" s="1"/>
      <c r="D26" s="1"/>
      <c r="E26" s="1" t="s">
        <v>7</v>
      </c>
      <c r="F26" s="1"/>
    </row>
    <row r="27" ht="22.85" customHeight="1" spans="2:6">
      <c r="B27" s="1" t="s">
        <v>132</v>
      </c>
      <c r="C27" s="1"/>
      <c r="D27" s="1"/>
      <c r="E27" s="1" t="s">
        <v>7</v>
      </c>
      <c r="F27" s="1"/>
    </row>
    <row r="28" ht="22.85" customHeight="1" spans="2:6">
      <c r="B28" s="1" t="s">
        <v>133</v>
      </c>
      <c r="C28" s="1"/>
      <c r="D28" s="1"/>
      <c r="E28" s="1" t="s">
        <v>7</v>
      </c>
      <c r="F28" s="1"/>
    </row>
    <row r="29" ht="22.85" customHeight="1" spans="2:6">
      <c r="B29" s="1" t="s">
        <v>134</v>
      </c>
      <c r="C29" s="1" t="s">
        <v>6</v>
      </c>
      <c r="D29" s="1"/>
      <c r="E29" s="1"/>
      <c r="F29" s="1"/>
    </row>
    <row r="30" ht="22.85" customHeight="1" spans="2:6">
      <c r="B30" s="1" t="s">
        <v>135</v>
      </c>
      <c r="C30" s="1"/>
      <c r="D30" s="1"/>
      <c r="E30" s="1"/>
      <c r="F30" s="1" t="s">
        <v>137</v>
      </c>
    </row>
    <row r="31" ht="22.85" customHeight="1" spans="2:6">
      <c r="B31" s="1" t="s">
        <v>136</v>
      </c>
      <c r="C31" s="1"/>
      <c r="D31" s="1"/>
      <c r="E31" s="1"/>
      <c r="F31" s="1" t="s">
        <v>137</v>
      </c>
    </row>
    <row r="32" ht="22.85" customHeight="1"/>
    <row r="33" ht="22.85" customHeight="1"/>
    <row r="34" ht="22.85" customHeight="1"/>
    <row r="35" ht="22.85" customHeight="1"/>
    <row r="36" ht="22.85" customHeight="1"/>
    <row r="37" ht="22.85" customHeight="1"/>
    <row r="38" ht="22.85" customHeight="1"/>
    <row r="39" ht="22.85" customHeight="1"/>
    <row r="40" ht="22.85" customHeight="1"/>
    <row r="41" ht="22.85" customHeight="1"/>
    <row r="42" ht="22.85" customHeight="1"/>
    <row r="43" ht="22.85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8080"/>
  </sheetPr>
  <dimension ref="A2:XFD154"/>
  <sheetViews>
    <sheetView zoomScale="63" zoomScaleNormal="63" workbookViewId="0">
      <pane xSplit="2" ySplit="2" topLeftCell="C3" activePane="bottomRight" state="frozen"/>
      <selection/>
      <selection pane="topRight"/>
      <selection pane="bottomLeft"/>
      <selection pane="bottomRight" activeCell="AC31" sqref="AC31"/>
    </sheetView>
  </sheetViews>
  <sheetFormatPr defaultColWidth="10" defaultRowHeight="16.8"/>
  <cols>
    <col min="1" max="1" width="10" style="64" customWidth="1"/>
    <col min="2" max="2" width="30.2019230769231" style="220" customWidth="1"/>
    <col min="3" max="14" width="5.36538461538461" style="64" customWidth="1"/>
    <col min="15" max="15" width="5.33653846153846" style="64" customWidth="1"/>
    <col min="16" max="16" width="5.5" style="64" customWidth="1"/>
    <col min="17" max="16384" width="10" style="64" customWidth="1"/>
  </cols>
  <sheetData>
    <row r="2" ht="31.95" customHeight="1" spans="1:16">
      <c r="A2" s="1" t="s">
        <v>138</v>
      </c>
      <c r="B2" s="12" t="s">
        <v>139</v>
      </c>
      <c r="C2" s="1" t="s">
        <v>21</v>
      </c>
      <c r="D2" s="1" t="s">
        <v>22</v>
      </c>
      <c r="E2" s="1" t="s">
        <v>23</v>
      </c>
      <c r="F2" s="1" t="s">
        <v>19</v>
      </c>
      <c r="G2" s="1" t="s">
        <v>26</v>
      </c>
      <c r="H2" s="1" t="s">
        <v>140</v>
      </c>
      <c r="I2" s="1" t="s">
        <v>141</v>
      </c>
      <c r="J2" s="1" t="s">
        <v>142</v>
      </c>
      <c r="K2" s="1" t="s">
        <v>143</v>
      </c>
      <c r="L2" s="1" t="s">
        <v>144</v>
      </c>
      <c r="M2" s="1" t="s">
        <v>145</v>
      </c>
      <c r="N2" s="1" t="s">
        <v>146</v>
      </c>
      <c r="O2" s="1" t="s">
        <v>147</v>
      </c>
      <c r="P2" s="1" t="s">
        <v>148</v>
      </c>
    </row>
    <row r="3" ht="25.95" customHeight="1" spans="1:16">
      <c r="A3" s="1" t="s">
        <v>149</v>
      </c>
      <c r="B3" s="221" t="s">
        <v>150</v>
      </c>
      <c r="C3" s="1"/>
      <c r="D3" s="1">
        <v>26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25.95" customHeight="1" spans="1:16">
      <c r="A4" s="1" t="s">
        <v>151</v>
      </c>
      <c r="B4" s="221" t="s">
        <v>152</v>
      </c>
      <c r="C4" s="1"/>
      <c r="D4" s="1">
        <v>20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25.95" customHeight="1" spans="1:16">
      <c r="A5" s="1" t="s">
        <v>151</v>
      </c>
      <c r="B5" s="221" t="s">
        <v>153</v>
      </c>
      <c r="C5" s="1"/>
      <c r="D5" s="1">
        <v>16</v>
      </c>
      <c r="E5" s="1"/>
      <c r="F5" s="1"/>
      <c r="G5" s="1"/>
      <c r="H5" s="1"/>
      <c r="I5" s="1"/>
      <c r="J5" s="1"/>
      <c r="K5" s="1"/>
      <c r="L5" s="1"/>
      <c r="M5" s="1">
        <v>8</v>
      </c>
      <c r="N5" s="1"/>
      <c r="O5" s="1"/>
      <c r="P5" s="1"/>
    </row>
    <row r="6" ht="25.95" customHeight="1" spans="1:16">
      <c r="A6" s="1" t="s">
        <v>151</v>
      </c>
      <c r="B6" s="221" t="s">
        <v>154</v>
      </c>
      <c r="C6" s="1"/>
      <c r="D6" s="1">
        <v>16</v>
      </c>
      <c r="E6" s="1"/>
      <c r="F6" s="1"/>
      <c r="G6" s="1"/>
      <c r="H6" s="1"/>
      <c r="I6" s="1">
        <v>6</v>
      </c>
      <c r="J6" s="1"/>
      <c r="K6" s="1"/>
      <c r="L6" s="1"/>
      <c r="M6" s="1"/>
      <c r="N6" s="1"/>
      <c r="O6" s="1"/>
      <c r="P6" s="1"/>
    </row>
    <row r="7" ht="25.95" customHeight="1" spans="1:16">
      <c r="A7" s="1" t="s">
        <v>155</v>
      </c>
      <c r="B7" s="221" t="s">
        <v>156</v>
      </c>
      <c r="C7" s="1"/>
      <c r="D7" s="1">
        <v>16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ht="25.95" customHeight="1" spans="1:16">
      <c r="A8" s="1" t="s">
        <v>157</v>
      </c>
      <c r="B8" s="221" t="s">
        <v>158</v>
      </c>
      <c r="C8" s="1"/>
      <c r="D8" s="1">
        <v>12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25.95" customHeight="1" spans="1:16">
      <c r="A9" s="1" t="s">
        <v>155</v>
      </c>
      <c r="B9" s="221" t="s">
        <v>159</v>
      </c>
      <c r="C9" s="1"/>
      <c r="D9" s="1">
        <v>12</v>
      </c>
      <c r="E9" s="1"/>
      <c r="F9" s="1"/>
      <c r="G9" s="1"/>
      <c r="H9" s="1"/>
      <c r="I9" s="1">
        <v>4</v>
      </c>
      <c r="J9" s="1"/>
      <c r="K9" s="1"/>
      <c r="L9" s="1"/>
      <c r="M9" s="1"/>
      <c r="N9" s="1"/>
      <c r="O9" s="1"/>
      <c r="P9" s="1"/>
    </row>
    <row r="10" ht="25.95" customHeight="1" spans="1:16">
      <c r="A10" s="1" t="s">
        <v>157</v>
      </c>
      <c r="B10" s="221" t="s">
        <v>160</v>
      </c>
      <c r="C10" s="1"/>
      <c r="D10" s="1">
        <v>10</v>
      </c>
      <c r="E10" s="1">
        <v>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ht="25.95" customHeight="1" spans="1:16">
      <c r="A11" s="1" t="s">
        <v>157</v>
      </c>
      <c r="B11" s="221" t="s">
        <v>161</v>
      </c>
      <c r="C11" s="1"/>
      <c r="D11" s="1">
        <v>10</v>
      </c>
      <c r="E11" s="1"/>
      <c r="F11" s="1"/>
      <c r="G11" s="1">
        <v>4</v>
      </c>
      <c r="H11" s="1"/>
      <c r="I11" s="1"/>
      <c r="J11" s="1"/>
      <c r="K11" s="1"/>
      <c r="L11" s="1"/>
      <c r="M11" s="1"/>
      <c r="N11" s="1"/>
      <c r="O11" s="1"/>
      <c r="P11" s="1"/>
    </row>
    <row r="12" ht="25.95" customHeight="1" spans="1:16">
      <c r="A12" s="1" t="s">
        <v>162</v>
      </c>
      <c r="B12" s="221" t="s">
        <v>163</v>
      </c>
      <c r="C12" s="1"/>
      <c r="D12" s="1">
        <v>10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ht="25.95" customHeight="1" spans="1:16">
      <c r="A13" s="1" t="s">
        <v>162</v>
      </c>
      <c r="B13" s="221" t="s">
        <v>164</v>
      </c>
      <c r="C13" s="1"/>
      <c r="D13" s="1">
        <v>8</v>
      </c>
      <c r="E13" s="1">
        <v>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ht="25.95" customHeight="1" spans="1:16">
      <c r="A14" s="1" t="s">
        <v>162</v>
      </c>
      <c r="B14" s="221" t="s">
        <v>165</v>
      </c>
      <c r="C14" s="1"/>
      <c r="D14" s="1">
        <v>8</v>
      </c>
      <c r="E14" s="1"/>
      <c r="F14" s="1"/>
      <c r="G14" s="1"/>
      <c r="H14" s="1"/>
      <c r="I14" s="1"/>
      <c r="J14" s="1"/>
      <c r="K14" s="1">
        <v>2</v>
      </c>
      <c r="L14" s="1"/>
      <c r="M14" s="1"/>
      <c r="N14" s="1"/>
      <c r="O14" s="1"/>
      <c r="P14" s="1"/>
    </row>
    <row r="15" ht="25.95" customHeight="1" spans="1:16">
      <c r="A15" s="1" t="s">
        <v>151</v>
      </c>
      <c r="B15" s="221" t="s">
        <v>166</v>
      </c>
      <c r="C15" s="1"/>
      <c r="D15" s="1">
        <v>6</v>
      </c>
      <c r="E15" s="1">
        <v>16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ht="25.95" customHeight="1" spans="1:16">
      <c r="A16" s="1" t="s">
        <v>167</v>
      </c>
      <c r="B16" s="221" t="s">
        <v>168</v>
      </c>
      <c r="C16" s="1"/>
      <c r="D16" s="1">
        <v>6</v>
      </c>
      <c r="E16" s="1">
        <v>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ht="25.95" customHeight="1" spans="1:16">
      <c r="A17" s="1" t="s">
        <v>167</v>
      </c>
      <c r="B17" s="221" t="s">
        <v>169</v>
      </c>
      <c r="C17" s="1"/>
      <c r="D17" s="1">
        <v>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customFormat="1" ht="25.95" customHeight="1" spans="1:16384">
      <c r="A18" s="1" t="s">
        <v>157</v>
      </c>
      <c r="B18" s="221" t="s">
        <v>170</v>
      </c>
      <c r="C18" s="1"/>
      <c r="D18" s="1">
        <v>4</v>
      </c>
      <c r="E18" s="1">
        <v>10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75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  <c r="GE18" s="64"/>
      <c r="GF18" s="64"/>
      <c r="GG18" s="64"/>
      <c r="GH18" s="64"/>
      <c r="GI18" s="64"/>
      <c r="GJ18" s="64"/>
      <c r="GK18" s="64"/>
      <c r="GL18" s="64"/>
      <c r="GM18" s="64"/>
      <c r="GN18" s="64"/>
      <c r="GO18" s="64"/>
      <c r="GP18" s="64"/>
      <c r="GQ18" s="64"/>
      <c r="GR18" s="64"/>
      <c r="GS18" s="64"/>
      <c r="GT18" s="64"/>
      <c r="GU18" s="64"/>
      <c r="GV18" s="64"/>
      <c r="GW18" s="64"/>
      <c r="GX18" s="64"/>
      <c r="GY18" s="64"/>
      <c r="GZ18" s="64"/>
      <c r="HA18" s="64"/>
      <c r="HB18" s="64"/>
      <c r="HC18" s="64"/>
      <c r="HD18" s="64"/>
      <c r="HE18" s="64"/>
      <c r="HF18" s="64"/>
      <c r="HG18" s="64"/>
      <c r="HH18" s="64"/>
      <c r="HI18" s="64"/>
      <c r="HJ18" s="64"/>
      <c r="HK18" s="64"/>
      <c r="HL18" s="64"/>
      <c r="HM18" s="64"/>
      <c r="HN18" s="64"/>
      <c r="HO18" s="64"/>
      <c r="HP18" s="64"/>
      <c r="HQ18" s="64"/>
      <c r="HR18" s="64"/>
      <c r="HS18" s="64"/>
      <c r="HT18" s="64"/>
      <c r="HU18" s="64"/>
      <c r="HV18" s="64"/>
      <c r="HW18" s="64"/>
      <c r="HX18" s="64"/>
      <c r="HY18" s="64"/>
      <c r="HZ18" s="64"/>
      <c r="IA18" s="64"/>
      <c r="IB18" s="64"/>
      <c r="IC18" s="64"/>
      <c r="ID18" s="64"/>
      <c r="IE18" s="64"/>
      <c r="IF18" s="64"/>
      <c r="IG18" s="64"/>
      <c r="IH18" s="64"/>
      <c r="II18" s="64"/>
      <c r="IJ18" s="64"/>
      <c r="IK18" s="64"/>
      <c r="IL18" s="64"/>
      <c r="IM18" s="64"/>
      <c r="IN18" s="64"/>
      <c r="IO18" s="64"/>
      <c r="IP18" s="64"/>
      <c r="IQ18" s="64"/>
      <c r="IR18" s="64"/>
      <c r="IS18" s="64"/>
      <c r="IT18" s="64"/>
      <c r="IU18" s="64"/>
      <c r="IV18" s="64"/>
      <c r="IW18" s="64"/>
      <c r="IX18" s="64"/>
      <c r="IY18" s="64"/>
      <c r="IZ18" s="64"/>
      <c r="JA18" s="64"/>
      <c r="JB18" s="64"/>
      <c r="JC18" s="64"/>
      <c r="JD18" s="64"/>
      <c r="JE18" s="64"/>
      <c r="JF18" s="64"/>
      <c r="JG18" s="64"/>
      <c r="JH18" s="64"/>
      <c r="JI18" s="64"/>
      <c r="JJ18" s="64"/>
      <c r="JK18" s="64"/>
      <c r="JL18" s="64"/>
      <c r="JM18" s="64"/>
      <c r="JN18" s="64"/>
      <c r="JO18" s="64"/>
      <c r="JP18" s="64"/>
      <c r="JQ18" s="64"/>
      <c r="JR18" s="64"/>
      <c r="JS18" s="64"/>
      <c r="JT18" s="64"/>
      <c r="JU18" s="64"/>
      <c r="JV18" s="64"/>
      <c r="JW18" s="64"/>
      <c r="JX18" s="64"/>
      <c r="JY18" s="64"/>
      <c r="JZ18" s="64"/>
      <c r="KA18" s="64"/>
      <c r="KB18" s="64"/>
      <c r="KC18" s="64"/>
      <c r="KD18" s="64"/>
      <c r="KE18" s="64"/>
      <c r="KF18" s="64"/>
      <c r="KG18" s="64"/>
      <c r="KH18" s="64"/>
      <c r="KI18" s="64"/>
      <c r="KJ18" s="64"/>
      <c r="KK18" s="64"/>
      <c r="KL18" s="64"/>
      <c r="KM18" s="64"/>
      <c r="KN18" s="64"/>
      <c r="KO18" s="64"/>
      <c r="KP18" s="64"/>
      <c r="KQ18" s="64"/>
      <c r="KR18" s="64"/>
      <c r="KS18" s="64"/>
      <c r="KT18" s="64"/>
      <c r="KU18" s="64"/>
      <c r="KV18" s="64"/>
      <c r="KW18" s="64"/>
      <c r="KX18" s="64"/>
      <c r="KY18" s="64"/>
      <c r="KZ18" s="64"/>
      <c r="LA18" s="64"/>
      <c r="LB18" s="64"/>
      <c r="LC18" s="64"/>
      <c r="LD18" s="64"/>
      <c r="LE18" s="64"/>
      <c r="LF18" s="64"/>
      <c r="LG18" s="64"/>
      <c r="LH18" s="64"/>
      <c r="LI18" s="64"/>
      <c r="LJ18" s="64"/>
      <c r="LK18" s="64"/>
      <c r="LL18" s="64"/>
      <c r="LM18" s="64"/>
      <c r="LN18" s="64"/>
      <c r="LO18" s="64"/>
      <c r="LP18" s="64"/>
      <c r="LQ18" s="64"/>
      <c r="LR18" s="64"/>
      <c r="LS18" s="64"/>
      <c r="LT18" s="64"/>
      <c r="LU18" s="64"/>
      <c r="LV18" s="64"/>
      <c r="LW18" s="64"/>
      <c r="LX18" s="64"/>
      <c r="LY18" s="64"/>
      <c r="LZ18" s="64"/>
      <c r="MA18" s="64"/>
      <c r="MB18" s="64"/>
      <c r="MC18" s="64"/>
      <c r="MD18" s="64"/>
      <c r="ME18" s="64"/>
      <c r="MF18" s="64"/>
      <c r="MG18" s="64"/>
      <c r="MH18" s="64"/>
      <c r="MI18" s="64"/>
      <c r="MJ18" s="64"/>
      <c r="MK18" s="64"/>
      <c r="ML18" s="64"/>
      <c r="MM18" s="64"/>
      <c r="MN18" s="64"/>
      <c r="MO18" s="64"/>
      <c r="MP18" s="64"/>
      <c r="MQ18" s="64"/>
      <c r="MR18" s="64"/>
      <c r="MS18" s="64"/>
      <c r="MT18" s="64"/>
      <c r="MU18" s="64"/>
      <c r="MV18" s="64"/>
      <c r="MW18" s="64"/>
      <c r="MX18" s="64"/>
      <c r="MY18" s="64"/>
      <c r="MZ18" s="64"/>
      <c r="NA18" s="64"/>
      <c r="NB18" s="64"/>
      <c r="NC18" s="64"/>
      <c r="ND18" s="64"/>
      <c r="NE18" s="64"/>
      <c r="NF18" s="64"/>
      <c r="NG18" s="64"/>
      <c r="NH18" s="64"/>
      <c r="NI18" s="64"/>
      <c r="NJ18" s="64"/>
      <c r="NK18" s="64"/>
      <c r="NL18" s="64"/>
      <c r="NM18" s="64"/>
      <c r="NN18" s="64"/>
      <c r="NO18" s="64"/>
      <c r="NP18" s="64"/>
      <c r="NQ18" s="64"/>
      <c r="NR18" s="64"/>
      <c r="NS18" s="64"/>
      <c r="NT18" s="64"/>
      <c r="NU18" s="64"/>
      <c r="NV18" s="64"/>
      <c r="NW18" s="64"/>
      <c r="NX18" s="64"/>
      <c r="NY18" s="64"/>
      <c r="NZ18" s="64"/>
      <c r="OA18" s="64"/>
      <c r="OB18" s="64"/>
      <c r="OC18" s="64"/>
      <c r="OD18" s="64"/>
      <c r="OE18" s="64"/>
      <c r="OF18" s="64"/>
      <c r="OG18" s="64"/>
      <c r="OH18" s="64"/>
      <c r="OI18" s="64"/>
      <c r="OJ18" s="64"/>
      <c r="OK18" s="64"/>
      <c r="OL18" s="64"/>
      <c r="OM18" s="64"/>
      <c r="ON18" s="64"/>
      <c r="OO18" s="64"/>
      <c r="OP18" s="64"/>
      <c r="OQ18" s="64"/>
      <c r="OR18" s="64"/>
      <c r="OS18" s="64"/>
      <c r="OT18" s="64"/>
      <c r="OU18" s="64"/>
      <c r="OV18" s="64"/>
      <c r="OW18" s="64"/>
      <c r="OX18" s="64"/>
      <c r="OY18" s="64"/>
      <c r="OZ18" s="64"/>
      <c r="PA18" s="64"/>
      <c r="PB18" s="64"/>
      <c r="PC18" s="64"/>
      <c r="PD18" s="64"/>
      <c r="PE18" s="64"/>
      <c r="PF18" s="64"/>
      <c r="PG18" s="64"/>
      <c r="PH18" s="64"/>
      <c r="PI18" s="64"/>
      <c r="PJ18" s="64"/>
      <c r="PK18" s="64"/>
      <c r="PL18" s="64"/>
      <c r="PM18" s="64"/>
      <c r="PN18" s="64"/>
      <c r="PO18" s="64"/>
      <c r="PP18" s="64"/>
      <c r="PQ18" s="64"/>
      <c r="PR18" s="64"/>
      <c r="PS18" s="64"/>
      <c r="PT18" s="64"/>
      <c r="PU18" s="64"/>
      <c r="PV18" s="64"/>
      <c r="PW18" s="64"/>
      <c r="PX18" s="64"/>
      <c r="PY18" s="64"/>
      <c r="PZ18" s="64"/>
      <c r="QA18" s="64"/>
      <c r="QB18" s="64"/>
      <c r="QC18" s="64"/>
      <c r="QD18" s="64"/>
      <c r="QE18" s="64"/>
      <c r="QF18" s="64"/>
      <c r="QG18" s="64"/>
      <c r="QH18" s="64"/>
      <c r="QI18" s="64"/>
      <c r="QJ18" s="64"/>
      <c r="QK18" s="64"/>
      <c r="QL18" s="64"/>
      <c r="QM18" s="64"/>
      <c r="QN18" s="64"/>
      <c r="QO18" s="64"/>
      <c r="QP18" s="64"/>
      <c r="QQ18" s="64"/>
      <c r="QR18" s="64"/>
      <c r="QS18" s="64"/>
      <c r="QT18" s="64"/>
      <c r="QU18" s="64"/>
      <c r="QV18" s="64"/>
      <c r="QW18" s="64"/>
      <c r="QX18" s="64"/>
      <c r="QY18" s="64"/>
      <c r="QZ18" s="64"/>
      <c r="RA18" s="64"/>
      <c r="RB18" s="64"/>
      <c r="RC18" s="64"/>
      <c r="RD18" s="64"/>
      <c r="RE18" s="64"/>
      <c r="RF18" s="64"/>
      <c r="RG18" s="64"/>
      <c r="RH18" s="64"/>
      <c r="RI18" s="64"/>
      <c r="RJ18" s="64"/>
      <c r="RK18" s="64"/>
      <c r="RL18" s="64"/>
      <c r="RM18" s="64"/>
      <c r="RN18" s="64"/>
      <c r="RO18" s="64"/>
      <c r="RP18" s="64"/>
      <c r="RQ18" s="64"/>
      <c r="RR18" s="64"/>
      <c r="RS18" s="64"/>
      <c r="RT18" s="64"/>
      <c r="RU18" s="64"/>
      <c r="RV18" s="64"/>
      <c r="RW18" s="64"/>
      <c r="RX18" s="64"/>
      <c r="RY18" s="64"/>
      <c r="RZ18" s="64"/>
      <c r="SA18" s="64"/>
      <c r="SB18" s="64"/>
      <c r="SC18" s="64"/>
      <c r="SD18" s="64"/>
      <c r="SE18" s="64"/>
      <c r="SF18" s="64"/>
      <c r="SG18" s="64"/>
      <c r="SH18" s="64"/>
      <c r="SI18" s="64"/>
      <c r="SJ18" s="64"/>
      <c r="SK18" s="64"/>
      <c r="SL18" s="64"/>
      <c r="SM18" s="64"/>
      <c r="SN18" s="64"/>
      <c r="SO18" s="64"/>
      <c r="SP18" s="64"/>
      <c r="SQ18" s="64"/>
      <c r="SR18" s="64"/>
      <c r="SS18" s="64"/>
      <c r="ST18" s="64"/>
      <c r="SU18" s="64"/>
      <c r="SV18" s="64"/>
      <c r="SW18" s="64"/>
      <c r="SX18" s="64"/>
      <c r="SY18" s="64"/>
      <c r="SZ18" s="64"/>
      <c r="TA18" s="64"/>
      <c r="TB18" s="64"/>
      <c r="TC18" s="64"/>
      <c r="TD18" s="64"/>
      <c r="TE18" s="64"/>
      <c r="TF18" s="64"/>
      <c r="TG18" s="64"/>
      <c r="TH18" s="64"/>
      <c r="TI18" s="64"/>
      <c r="TJ18" s="64"/>
      <c r="TK18" s="64"/>
      <c r="TL18" s="64"/>
      <c r="TM18" s="64"/>
      <c r="TN18" s="64"/>
      <c r="TO18" s="64"/>
      <c r="TP18" s="64"/>
      <c r="TQ18" s="64"/>
      <c r="TR18" s="64"/>
      <c r="TS18" s="64"/>
      <c r="TT18" s="64"/>
      <c r="TU18" s="64"/>
      <c r="TV18" s="64"/>
      <c r="TW18" s="64"/>
      <c r="TX18" s="64"/>
      <c r="TY18" s="64"/>
      <c r="TZ18" s="64"/>
      <c r="UA18" s="64"/>
      <c r="UB18" s="64"/>
      <c r="UC18" s="64"/>
      <c r="UD18" s="64"/>
      <c r="UE18" s="64"/>
      <c r="UF18" s="64"/>
      <c r="UG18" s="64"/>
      <c r="UH18" s="64"/>
      <c r="UI18" s="64"/>
      <c r="UJ18" s="64"/>
      <c r="UK18" s="64"/>
      <c r="UL18" s="64"/>
      <c r="UM18" s="64"/>
      <c r="UN18" s="64"/>
      <c r="UO18" s="64"/>
      <c r="UP18" s="64"/>
      <c r="UQ18" s="64"/>
      <c r="UR18" s="64"/>
      <c r="US18" s="64"/>
      <c r="UT18" s="64"/>
      <c r="UU18" s="64"/>
      <c r="UV18" s="64"/>
      <c r="UW18" s="64"/>
      <c r="UX18" s="64"/>
      <c r="UY18" s="64"/>
      <c r="UZ18" s="64"/>
      <c r="VA18" s="64"/>
      <c r="VB18" s="64"/>
      <c r="VC18" s="64"/>
      <c r="VD18" s="64"/>
      <c r="VE18" s="64"/>
      <c r="VF18" s="64"/>
      <c r="VG18" s="64"/>
      <c r="VH18" s="64"/>
      <c r="VI18" s="64"/>
      <c r="VJ18" s="64"/>
      <c r="VK18" s="64"/>
      <c r="VL18" s="64"/>
      <c r="VM18" s="64"/>
      <c r="VN18" s="64"/>
      <c r="VO18" s="64"/>
      <c r="VP18" s="64"/>
      <c r="VQ18" s="64"/>
      <c r="VR18" s="64"/>
      <c r="VS18" s="64"/>
      <c r="VT18" s="64"/>
      <c r="VU18" s="64"/>
      <c r="VV18" s="64"/>
      <c r="VW18" s="64"/>
      <c r="VX18" s="64"/>
      <c r="VY18" s="64"/>
      <c r="VZ18" s="64"/>
      <c r="WA18" s="64"/>
      <c r="WB18" s="64"/>
      <c r="WC18" s="64"/>
      <c r="WD18" s="64"/>
      <c r="WE18" s="64"/>
      <c r="WF18" s="64"/>
      <c r="WG18" s="64"/>
      <c r="WH18" s="64"/>
      <c r="WI18" s="64"/>
      <c r="WJ18" s="64"/>
      <c r="WK18" s="64"/>
      <c r="WL18" s="64"/>
      <c r="WM18" s="64"/>
      <c r="WN18" s="64"/>
      <c r="WO18" s="64"/>
      <c r="WP18" s="64"/>
      <c r="WQ18" s="64"/>
      <c r="WR18" s="64"/>
      <c r="WS18" s="64"/>
      <c r="WT18" s="64"/>
      <c r="WU18" s="64"/>
      <c r="WV18" s="64"/>
      <c r="WW18" s="64"/>
      <c r="WX18" s="64"/>
      <c r="WY18" s="64"/>
      <c r="WZ18" s="64"/>
      <c r="XA18" s="64"/>
      <c r="XB18" s="64"/>
      <c r="XC18" s="64"/>
      <c r="XD18" s="64"/>
      <c r="XE18" s="64"/>
      <c r="XF18" s="64"/>
      <c r="XG18" s="64"/>
      <c r="XH18" s="64"/>
      <c r="XI18" s="64"/>
      <c r="XJ18" s="64"/>
      <c r="XK18" s="64"/>
      <c r="XL18" s="64"/>
      <c r="XM18" s="64"/>
      <c r="XN18" s="64"/>
      <c r="XO18" s="64"/>
      <c r="XP18" s="64"/>
      <c r="XQ18" s="64"/>
      <c r="XR18" s="64"/>
      <c r="XS18" s="64"/>
      <c r="XT18" s="64"/>
      <c r="XU18" s="64"/>
      <c r="XV18" s="64"/>
      <c r="XW18" s="64"/>
      <c r="XX18" s="64"/>
      <c r="XY18" s="64"/>
      <c r="XZ18" s="64"/>
      <c r="YA18" s="64"/>
      <c r="YB18" s="64"/>
      <c r="YC18" s="64"/>
      <c r="YD18" s="64"/>
      <c r="YE18" s="64"/>
      <c r="YF18" s="64"/>
      <c r="YG18" s="64"/>
      <c r="YH18" s="64"/>
      <c r="YI18" s="64"/>
      <c r="YJ18" s="64"/>
      <c r="YK18" s="64"/>
      <c r="YL18" s="64"/>
      <c r="YM18" s="64"/>
      <c r="YN18" s="64"/>
      <c r="YO18" s="64"/>
      <c r="YP18" s="64"/>
      <c r="YQ18" s="64"/>
      <c r="YR18" s="64"/>
      <c r="YS18" s="64"/>
      <c r="YT18" s="64"/>
      <c r="YU18" s="64"/>
      <c r="YV18" s="64"/>
      <c r="YW18" s="64"/>
      <c r="YX18" s="64"/>
      <c r="YY18" s="64"/>
      <c r="YZ18" s="64"/>
      <c r="ZA18" s="64"/>
      <c r="ZB18" s="64"/>
      <c r="ZC18" s="64"/>
      <c r="ZD18" s="64"/>
      <c r="ZE18" s="64"/>
      <c r="ZF18" s="64"/>
      <c r="ZG18" s="64"/>
      <c r="ZH18" s="64"/>
      <c r="ZI18" s="64"/>
      <c r="ZJ18" s="64"/>
      <c r="ZK18" s="64"/>
      <c r="ZL18" s="64"/>
      <c r="ZM18" s="64"/>
      <c r="ZN18" s="64"/>
      <c r="ZO18" s="64"/>
      <c r="ZP18" s="64"/>
      <c r="ZQ18" s="64"/>
      <c r="ZR18" s="64"/>
      <c r="ZS18" s="64"/>
      <c r="ZT18" s="64"/>
      <c r="ZU18" s="64"/>
      <c r="ZV18" s="64"/>
      <c r="ZW18" s="64"/>
      <c r="ZX18" s="64"/>
      <c r="ZY18" s="64"/>
      <c r="ZZ18" s="64"/>
      <c r="AAA18" s="64"/>
      <c r="AAB18" s="64"/>
      <c r="AAC18" s="64"/>
      <c r="AAD18" s="64"/>
      <c r="AAE18" s="64"/>
      <c r="AAF18" s="64"/>
      <c r="AAG18" s="64"/>
      <c r="AAH18" s="64"/>
      <c r="AAI18" s="64"/>
      <c r="AAJ18" s="64"/>
      <c r="AAK18" s="64"/>
      <c r="AAL18" s="64"/>
      <c r="AAM18" s="64"/>
      <c r="AAN18" s="64"/>
      <c r="AAO18" s="64"/>
      <c r="AAP18" s="64"/>
      <c r="AAQ18" s="64"/>
      <c r="AAR18" s="64"/>
      <c r="AAS18" s="64"/>
      <c r="AAT18" s="64"/>
      <c r="AAU18" s="64"/>
      <c r="AAV18" s="64"/>
      <c r="AAW18" s="64"/>
      <c r="AAX18" s="64"/>
      <c r="AAY18" s="64"/>
      <c r="AAZ18" s="64"/>
      <c r="ABA18" s="64"/>
      <c r="ABB18" s="64"/>
      <c r="ABC18" s="64"/>
      <c r="ABD18" s="64"/>
      <c r="ABE18" s="64"/>
      <c r="ABF18" s="64"/>
      <c r="ABG18" s="64"/>
      <c r="ABH18" s="64"/>
      <c r="ABI18" s="64"/>
      <c r="ABJ18" s="64"/>
      <c r="ABK18" s="64"/>
      <c r="ABL18" s="64"/>
      <c r="ABM18" s="64"/>
      <c r="ABN18" s="64"/>
      <c r="ABO18" s="64"/>
      <c r="ABP18" s="64"/>
      <c r="ABQ18" s="64"/>
      <c r="ABR18" s="64"/>
      <c r="ABS18" s="64"/>
      <c r="ABT18" s="64"/>
      <c r="ABU18" s="64"/>
      <c r="ABV18" s="64"/>
      <c r="ABW18" s="64"/>
      <c r="ABX18" s="64"/>
      <c r="ABY18" s="64"/>
      <c r="ABZ18" s="64"/>
      <c r="ACA18" s="64"/>
      <c r="ACB18" s="64"/>
      <c r="ACC18" s="64"/>
      <c r="ACD18" s="64"/>
      <c r="ACE18" s="64"/>
      <c r="ACF18" s="64"/>
      <c r="ACG18" s="64"/>
      <c r="ACH18" s="64"/>
      <c r="ACI18" s="64"/>
      <c r="ACJ18" s="64"/>
      <c r="ACK18" s="64"/>
      <c r="ACL18" s="64"/>
      <c r="ACM18" s="64"/>
      <c r="ACN18" s="64"/>
      <c r="ACO18" s="64"/>
      <c r="ACP18" s="64"/>
      <c r="ACQ18" s="64"/>
      <c r="ACR18" s="64"/>
      <c r="ACS18" s="64"/>
      <c r="ACT18" s="64"/>
      <c r="ACU18" s="64"/>
      <c r="ACV18" s="64"/>
      <c r="ACW18" s="64"/>
      <c r="ACX18" s="64"/>
      <c r="ACY18" s="64"/>
      <c r="ACZ18" s="64"/>
      <c r="ADA18" s="64"/>
      <c r="ADB18" s="64"/>
      <c r="ADC18" s="64"/>
      <c r="ADD18" s="64"/>
      <c r="ADE18" s="64"/>
      <c r="ADF18" s="64"/>
      <c r="ADG18" s="64"/>
      <c r="ADH18" s="64"/>
      <c r="ADI18" s="64"/>
      <c r="ADJ18" s="64"/>
      <c r="ADK18" s="64"/>
      <c r="ADL18" s="64"/>
      <c r="ADM18" s="64"/>
      <c r="ADN18" s="64"/>
      <c r="ADO18" s="64"/>
      <c r="ADP18" s="64"/>
      <c r="ADQ18" s="64"/>
      <c r="ADR18" s="64"/>
      <c r="ADS18" s="64"/>
      <c r="ADT18" s="64"/>
      <c r="ADU18" s="64"/>
      <c r="ADV18" s="64"/>
      <c r="ADW18" s="64"/>
      <c r="ADX18" s="64"/>
      <c r="ADY18" s="64"/>
      <c r="ADZ18" s="64"/>
      <c r="AEA18" s="64"/>
      <c r="AEB18" s="64"/>
      <c r="AEC18" s="64"/>
      <c r="AED18" s="64"/>
      <c r="AEE18" s="64"/>
      <c r="AEF18" s="64"/>
      <c r="AEG18" s="64"/>
      <c r="AEH18" s="64"/>
      <c r="AEI18" s="64"/>
      <c r="AEJ18" s="64"/>
      <c r="AEK18" s="64"/>
      <c r="AEL18" s="64"/>
      <c r="AEM18" s="64"/>
      <c r="AEN18" s="64"/>
      <c r="AEO18" s="64"/>
      <c r="AEP18" s="64"/>
      <c r="AEQ18" s="64"/>
      <c r="AER18" s="64"/>
      <c r="AES18" s="64"/>
      <c r="AET18" s="64"/>
      <c r="AEU18" s="64"/>
      <c r="AEV18" s="64"/>
      <c r="AEW18" s="64"/>
      <c r="AEX18" s="64"/>
      <c r="AEY18" s="64"/>
      <c r="AEZ18" s="64"/>
      <c r="AFA18" s="64"/>
      <c r="AFB18" s="64"/>
      <c r="AFC18" s="64"/>
      <c r="AFD18" s="64"/>
      <c r="AFE18" s="64"/>
      <c r="AFF18" s="64"/>
      <c r="AFG18" s="64"/>
      <c r="AFH18" s="64"/>
      <c r="AFI18" s="64"/>
      <c r="AFJ18" s="64"/>
      <c r="AFK18" s="64"/>
      <c r="AFL18" s="64"/>
      <c r="AFM18" s="64"/>
      <c r="AFN18" s="64"/>
      <c r="AFO18" s="64"/>
      <c r="AFP18" s="64"/>
      <c r="AFQ18" s="64"/>
      <c r="AFR18" s="64"/>
      <c r="AFS18" s="64"/>
      <c r="AFT18" s="64"/>
      <c r="AFU18" s="64"/>
      <c r="AFV18" s="64"/>
      <c r="AFW18" s="64"/>
      <c r="AFX18" s="64"/>
      <c r="AFY18" s="64"/>
      <c r="AFZ18" s="64"/>
      <c r="AGA18" s="64"/>
      <c r="AGB18" s="64"/>
      <c r="AGC18" s="64"/>
      <c r="AGD18" s="64"/>
      <c r="AGE18" s="64"/>
      <c r="AGF18" s="64"/>
      <c r="AGG18" s="64"/>
      <c r="AGH18" s="64"/>
      <c r="AGI18" s="64"/>
      <c r="AGJ18" s="64"/>
      <c r="AGK18" s="64"/>
      <c r="AGL18" s="64"/>
      <c r="AGM18" s="64"/>
      <c r="AGN18" s="64"/>
      <c r="AGO18" s="64"/>
      <c r="AGP18" s="64"/>
      <c r="AGQ18" s="64"/>
      <c r="AGR18" s="64"/>
      <c r="AGS18" s="64"/>
      <c r="AGT18" s="64"/>
      <c r="AGU18" s="64"/>
      <c r="AGV18" s="64"/>
      <c r="AGW18" s="64"/>
      <c r="AGX18" s="64"/>
      <c r="AGY18" s="64"/>
      <c r="AGZ18" s="64"/>
      <c r="AHA18" s="64"/>
      <c r="AHB18" s="64"/>
      <c r="AHC18" s="64"/>
      <c r="AHD18" s="64"/>
      <c r="AHE18" s="64"/>
      <c r="AHF18" s="64"/>
      <c r="AHG18" s="64"/>
      <c r="AHH18" s="64"/>
      <c r="AHI18" s="64"/>
      <c r="AHJ18" s="64"/>
      <c r="AHK18" s="64"/>
      <c r="AHL18" s="64"/>
      <c r="AHM18" s="64"/>
      <c r="AHN18" s="64"/>
      <c r="AHO18" s="64"/>
      <c r="AHP18" s="64"/>
      <c r="AHQ18" s="64"/>
      <c r="AHR18" s="64"/>
      <c r="AHS18" s="64"/>
      <c r="AHT18" s="64"/>
      <c r="AHU18" s="64"/>
      <c r="AHV18" s="64"/>
      <c r="AHW18" s="64"/>
      <c r="AHX18" s="64"/>
      <c r="AHY18" s="64"/>
      <c r="AHZ18" s="64"/>
      <c r="AIA18" s="64"/>
      <c r="AIB18" s="64"/>
      <c r="AIC18" s="64"/>
      <c r="AID18" s="64"/>
      <c r="AIE18" s="64"/>
      <c r="AIF18" s="64"/>
      <c r="AIG18" s="64"/>
      <c r="AIH18" s="64"/>
      <c r="AII18" s="64"/>
      <c r="AIJ18" s="64"/>
      <c r="AIK18" s="64"/>
      <c r="AIL18" s="64"/>
      <c r="AIM18" s="64"/>
      <c r="AIN18" s="64"/>
      <c r="AIO18" s="64"/>
      <c r="AIP18" s="64"/>
      <c r="AIQ18" s="64"/>
      <c r="AIR18" s="64"/>
      <c r="AIS18" s="64"/>
      <c r="AIT18" s="64"/>
      <c r="AIU18" s="64"/>
      <c r="AIV18" s="64"/>
      <c r="AIW18" s="64"/>
      <c r="AIX18" s="64"/>
      <c r="AIY18" s="64"/>
      <c r="AIZ18" s="64"/>
      <c r="AJA18" s="64"/>
      <c r="AJB18" s="64"/>
      <c r="AJC18" s="64"/>
      <c r="AJD18" s="64"/>
      <c r="AJE18" s="64"/>
      <c r="AJF18" s="64"/>
      <c r="AJG18" s="64"/>
      <c r="AJH18" s="64"/>
      <c r="AJI18" s="64"/>
      <c r="AJJ18" s="64"/>
      <c r="AJK18" s="64"/>
      <c r="AJL18" s="64"/>
      <c r="AJM18" s="64"/>
      <c r="AJN18" s="64"/>
      <c r="AJO18" s="64"/>
      <c r="AJP18" s="64"/>
      <c r="AJQ18" s="64"/>
      <c r="AJR18" s="64"/>
      <c r="AJS18" s="64"/>
      <c r="AJT18" s="64"/>
      <c r="AJU18" s="64"/>
      <c r="AJV18" s="64"/>
      <c r="AJW18" s="64"/>
      <c r="AJX18" s="64"/>
      <c r="AJY18" s="64"/>
      <c r="AJZ18" s="64"/>
      <c r="AKA18" s="64"/>
      <c r="AKB18" s="64"/>
      <c r="AKC18" s="64"/>
      <c r="AKD18" s="64"/>
      <c r="AKE18" s="64"/>
      <c r="AKF18" s="64"/>
      <c r="AKG18" s="64"/>
      <c r="AKH18" s="64"/>
      <c r="AKI18" s="64"/>
      <c r="AKJ18" s="64"/>
      <c r="AKK18" s="64"/>
      <c r="AKL18" s="64"/>
      <c r="AKM18" s="64"/>
      <c r="AKN18" s="64"/>
      <c r="AKO18" s="64"/>
      <c r="AKP18" s="64"/>
      <c r="AKQ18" s="64"/>
      <c r="AKR18" s="64"/>
      <c r="AKS18" s="64"/>
      <c r="AKT18" s="64"/>
      <c r="AKU18" s="64"/>
      <c r="AKV18" s="64"/>
      <c r="AKW18" s="64"/>
      <c r="AKX18" s="64"/>
      <c r="AKY18" s="64"/>
      <c r="AKZ18" s="64"/>
      <c r="ALA18" s="64"/>
      <c r="ALB18" s="64"/>
      <c r="ALC18" s="64"/>
      <c r="ALD18" s="64"/>
      <c r="ALE18" s="64"/>
      <c r="ALF18" s="64"/>
      <c r="ALG18" s="64"/>
      <c r="ALH18" s="64"/>
      <c r="ALI18" s="64"/>
      <c r="ALJ18" s="64"/>
      <c r="ALK18" s="64"/>
      <c r="ALL18" s="64"/>
      <c r="ALM18" s="64"/>
      <c r="ALN18" s="64"/>
      <c r="ALO18" s="64"/>
      <c r="ALP18" s="64"/>
      <c r="ALQ18" s="64"/>
      <c r="ALR18" s="64"/>
      <c r="ALS18" s="64"/>
      <c r="ALT18" s="64"/>
      <c r="ALU18" s="64"/>
      <c r="ALV18" s="64"/>
      <c r="ALW18" s="64"/>
      <c r="ALX18" s="64"/>
      <c r="ALY18" s="64"/>
      <c r="ALZ18" s="64"/>
      <c r="AMA18" s="64"/>
      <c r="AMB18" s="64"/>
      <c r="AMC18" s="64"/>
      <c r="AMD18" s="64"/>
      <c r="AME18" s="64"/>
      <c r="AMF18" s="64"/>
      <c r="AMG18" s="64"/>
      <c r="AMH18" s="64"/>
      <c r="AMI18" s="64"/>
      <c r="AMJ18" s="64"/>
      <c r="AMK18" s="64"/>
      <c r="AML18" s="64"/>
      <c r="AMM18" s="64"/>
      <c r="AMN18" s="64"/>
      <c r="AMO18" s="64"/>
      <c r="AMP18" s="64"/>
      <c r="AMQ18" s="64"/>
      <c r="AMR18" s="64"/>
      <c r="AMS18" s="64"/>
      <c r="AMT18" s="64"/>
      <c r="AMU18" s="64"/>
      <c r="AMV18" s="64"/>
      <c r="AMW18" s="64"/>
      <c r="AMX18" s="64"/>
      <c r="AMY18" s="64"/>
      <c r="AMZ18" s="64"/>
      <c r="ANA18" s="64"/>
      <c r="ANB18" s="64"/>
      <c r="ANC18" s="64"/>
      <c r="AND18" s="64"/>
      <c r="ANE18" s="64"/>
      <c r="ANF18" s="64"/>
      <c r="ANG18" s="64"/>
      <c r="ANH18" s="64"/>
      <c r="ANI18" s="64"/>
      <c r="ANJ18" s="64"/>
      <c r="ANK18" s="64"/>
      <c r="ANL18" s="64"/>
      <c r="ANM18" s="64"/>
      <c r="ANN18" s="64"/>
      <c r="ANO18" s="64"/>
      <c r="ANP18" s="64"/>
      <c r="ANQ18" s="64"/>
      <c r="ANR18" s="64"/>
      <c r="ANS18" s="64"/>
      <c r="ANT18" s="64"/>
      <c r="ANU18" s="64"/>
      <c r="ANV18" s="64"/>
      <c r="ANW18" s="64"/>
      <c r="ANX18" s="64"/>
      <c r="ANY18" s="64"/>
      <c r="ANZ18" s="64"/>
      <c r="AOA18" s="64"/>
      <c r="AOB18" s="64"/>
      <c r="AOC18" s="64"/>
      <c r="AOD18" s="64"/>
      <c r="AOE18" s="64"/>
      <c r="AOF18" s="64"/>
      <c r="AOG18" s="64"/>
      <c r="AOH18" s="64"/>
      <c r="AOI18" s="64"/>
      <c r="AOJ18" s="64"/>
      <c r="AOK18" s="64"/>
      <c r="AOL18" s="64"/>
      <c r="AOM18" s="64"/>
      <c r="AON18" s="64"/>
      <c r="AOO18" s="64"/>
      <c r="AOP18" s="64"/>
      <c r="AOQ18" s="64"/>
      <c r="AOR18" s="64"/>
      <c r="AOS18" s="64"/>
      <c r="AOT18" s="64"/>
      <c r="AOU18" s="64"/>
      <c r="AOV18" s="64"/>
      <c r="AOW18" s="64"/>
      <c r="AOX18" s="64"/>
      <c r="AOY18" s="64"/>
      <c r="AOZ18" s="64"/>
      <c r="APA18" s="64"/>
      <c r="APB18" s="64"/>
      <c r="APC18" s="64"/>
      <c r="APD18" s="64"/>
      <c r="APE18" s="64"/>
      <c r="APF18" s="64"/>
      <c r="APG18" s="64"/>
      <c r="APH18" s="64"/>
      <c r="API18" s="64"/>
      <c r="APJ18" s="64"/>
      <c r="APK18" s="64"/>
      <c r="APL18" s="64"/>
      <c r="APM18" s="64"/>
      <c r="APN18" s="64"/>
      <c r="APO18" s="64"/>
      <c r="APP18" s="64"/>
      <c r="APQ18" s="64"/>
      <c r="APR18" s="64"/>
      <c r="APS18" s="64"/>
      <c r="APT18" s="64"/>
      <c r="APU18" s="64"/>
      <c r="APV18" s="64"/>
      <c r="APW18" s="64"/>
      <c r="APX18" s="64"/>
      <c r="APY18" s="64"/>
      <c r="APZ18" s="64"/>
      <c r="AQA18" s="64"/>
      <c r="AQB18" s="64"/>
      <c r="AQC18" s="64"/>
      <c r="AQD18" s="64"/>
      <c r="AQE18" s="64"/>
      <c r="AQF18" s="64"/>
      <c r="AQG18" s="64"/>
      <c r="AQH18" s="64"/>
      <c r="AQI18" s="64"/>
      <c r="AQJ18" s="64"/>
      <c r="AQK18" s="64"/>
      <c r="AQL18" s="64"/>
      <c r="AQM18" s="64"/>
      <c r="AQN18" s="64"/>
      <c r="AQO18" s="64"/>
      <c r="AQP18" s="64"/>
      <c r="AQQ18" s="64"/>
      <c r="AQR18" s="64"/>
      <c r="AQS18" s="64"/>
      <c r="AQT18" s="64"/>
      <c r="AQU18" s="64"/>
      <c r="AQV18" s="64"/>
      <c r="AQW18" s="64"/>
      <c r="AQX18" s="64"/>
      <c r="AQY18" s="64"/>
      <c r="AQZ18" s="64"/>
      <c r="ARA18" s="64"/>
      <c r="ARB18" s="64"/>
      <c r="ARC18" s="64"/>
      <c r="ARD18" s="64"/>
      <c r="ARE18" s="64"/>
      <c r="ARF18" s="64"/>
      <c r="ARG18" s="64"/>
      <c r="ARH18" s="64"/>
      <c r="ARI18" s="64"/>
      <c r="ARJ18" s="64"/>
      <c r="ARK18" s="64"/>
      <c r="ARL18" s="64"/>
      <c r="ARM18" s="64"/>
      <c r="ARN18" s="64"/>
      <c r="ARO18" s="64"/>
      <c r="ARP18" s="64"/>
      <c r="ARQ18" s="64"/>
      <c r="ARR18" s="64"/>
      <c r="ARS18" s="64"/>
      <c r="ART18" s="64"/>
      <c r="ARU18" s="64"/>
      <c r="ARV18" s="64"/>
      <c r="ARW18" s="64"/>
      <c r="ARX18" s="64"/>
      <c r="ARY18" s="64"/>
      <c r="ARZ18" s="64"/>
      <c r="ASA18" s="64"/>
      <c r="ASB18" s="64"/>
      <c r="ASC18" s="64"/>
      <c r="ASD18" s="64"/>
      <c r="ASE18" s="64"/>
      <c r="ASF18" s="64"/>
      <c r="ASG18" s="64"/>
      <c r="ASH18" s="64"/>
      <c r="ASI18" s="64"/>
      <c r="ASJ18" s="64"/>
      <c r="ASK18" s="64"/>
      <c r="ASL18" s="64"/>
      <c r="ASM18" s="64"/>
      <c r="ASN18" s="64"/>
      <c r="ASO18" s="64"/>
      <c r="ASP18" s="64"/>
      <c r="ASQ18" s="64"/>
      <c r="ASR18" s="64"/>
      <c r="ASS18" s="64"/>
      <c r="AST18" s="64"/>
      <c r="ASU18" s="64"/>
      <c r="ASV18" s="64"/>
      <c r="ASW18" s="64"/>
      <c r="ASX18" s="64"/>
      <c r="ASY18" s="64"/>
      <c r="ASZ18" s="64"/>
      <c r="ATA18" s="64"/>
      <c r="ATB18" s="64"/>
      <c r="ATC18" s="64"/>
      <c r="ATD18" s="64"/>
      <c r="ATE18" s="64"/>
      <c r="ATF18" s="64"/>
      <c r="ATG18" s="64"/>
      <c r="ATH18" s="64"/>
      <c r="ATI18" s="64"/>
      <c r="ATJ18" s="64"/>
      <c r="ATK18" s="64"/>
      <c r="ATL18" s="64"/>
      <c r="ATM18" s="64"/>
      <c r="ATN18" s="64"/>
      <c r="ATO18" s="64"/>
      <c r="ATP18" s="64"/>
      <c r="ATQ18" s="64"/>
      <c r="ATR18" s="64"/>
      <c r="ATS18" s="64"/>
      <c r="ATT18" s="64"/>
      <c r="ATU18" s="64"/>
      <c r="ATV18" s="64"/>
      <c r="ATW18" s="64"/>
      <c r="ATX18" s="64"/>
      <c r="ATY18" s="64"/>
      <c r="ATZ18" s="64"/>
      <c r="AUA18" s="64"/>
      <c r="AUB18" s="64"/>
      <c r="AUC18" s="64"/>
      <c r="AUD18" s="64"/>
      <c r="AUE18" s="64"/>
      <c r="AUF18" s="64"/>
      <c r="AUG18" s="64"/>
      <c r="AUH18" s="64"/>
      <c r="AUI18" s="64"/>
      <c r="AUJ18" s="64"/>
      <c r="AUK18" s="64"/>
      <c r="AUL18" s="64"/>
      <c r="AUM18" s="64"/>
      <c r="AUN18" s="64"/>
      <c r="AUO18" s="64"/>
      <c r="AUP18" s="64"/>
      <c r="AUQ18" s="64"/>
      <c r="AUR18" s="64"/>
      <c r="AUS18" s="64"/>
      <c r="AUT18" s="64"/>
      <c r="AUU18" s="64"/>
      <c r="AUV18" s="64"/>
      <c r="AUW18" s="64"/>
      <c r="AUX18" s="64"/>
      <c r="AUY18" s="64"/>
      <c r="AUZ18" s="64"/>
      <c r="AVA18" s="64"/>
      <c r="AVB18" s="64"/>
      <c r="AVC18" s="64"/>
      <c r="AVD18" s="64"/>
      <c r="AVE18" s="64"/>
      <c r="AVF18" s="64"/>
      <c r="AVG18" s="64"/>
      <c r="AVH18" s="64"/>
      <c r="AVI18" s="64"/>
      <c r="AVJ18" s="64"/>
      <c r="AVK18" s="64"/>
      <c r="AVL18" s="64"/>
      <c r="AVM18" s="64"/>
      <c r="AVN18" s="64"/>
      <c r="AVO18" s="64"/>
      <c r="AVP18" s="64"/>
      <c r="AVQ18" s="64"/>
      <c r="AVR18" s="64"/>
      <c r="AVS18" s="64"/>
      <c r="AVT18" s="64"/>
      <c r="AVU18" s="64"/>
      <c r="AVV18" s="64"/>
      <c r="AVW18" s="64"/>
      <c r="AVX18" s="64"/>
      <c r="AVY18" s="64"/>
      <c r="AVZ18" s="64"/>
      <c r="AWA18" s="64"/>
      <c r="AWB18" s="64"/>
      <c r="AWC18" s="64"/>
      <c r="AWD18" s="64"/>
      <c r="AWE18" s="64"/>
      <c r="AWF18" s="64"/>
      <c r="AWG18" s="64"/>
      <c r="AWH18" s="64"/>
      <c r="AWI18" s="64"/>
      <c r="AWJ18" s="64"/>
      <c r="AWK18" s="64"/>
      <c r="AWL18" s="64"/>
      <c r="AWM18" s="64"/>
      <c r="AWN18" s="64"/>
      <c r="AWO18" s="64"/>
      <c r="AWP18" s="64"/>
      <c r="AWQ18" s="64"/>
      <c r="AWR18" s="64"/>
      <c r="AWS18" s="64"/>
      <c r="AWT18" s="64"/>
      <c r="AWU18" s="64"/>
      <c r="AWV18" s="64"/>
      <c r="AWW18" s="64"/>
      <c r="AWX18" s="64"/>
      <c r="AWY18" s="64"/>
      <c r="AWZ18" s="64"/>
      <c r="AXA18" s="64"/>
      <c r="AXB18" s="64"/>
      <c r="AXC18" s="64"/>
      <c r="AXD18" s="64"/>
      <c r="AXE18" s="64"/>
      <c r="AXF18" s="64"/>
      <c r="AXG18" s="64"/>
      <c r="AXH18" s="64"/>
      <c r="AXI18" s="64"/>
      <c r="AXJ18" s="64"/>
      <c r="AXK18" s="64"/>
      <c r="AXL18" s="64"/>
      <c r="AXM18" s="64"/>
      <c r="AXN18" s="64"/>
      <c r="AXO18" s="64"/>
      <c r="AXP18" s="64"/>
      <c r="AXQ18" s="64"/>
      <c r="AXR18" s="64"/>
      <c r="AXS18" s="64"/>
      <c r="AXT18" s="64"/>
      <c r="AXU18" s="64"/>
      <c r="AXV18" s="64"/>
      <c r="AXW18" s="64"/>
      <c r="AXX18" s="64"/>
      <c r="AXY18" s="64"/>
      <c r="AXZ18" s="64"/>
      <c r="AYA18" s="64"/>
      <c r="AYB18" s="64"/>
      <c r="AYC18" s="64"/>
      <c r="AYD18" s="64"/>
      <c r="AYE18" s="64"/>
      <c r="AYF18" s="64"/>
      <c r="AYG18" s="64"/>
      <c r="AYH18" s="64"/>
      <c r="AYI18" s="64"/>
      <c r="AYJ18" s="64"/>
      <c r="AYK18" s="64"/>
      <c r="AYL18" s="64"/>
      <c r="AYM18" s="64"/>
      <c r="AYN18" s="64"/>
      <c r="AYO18" s="64"/>
      <c r="AYP18" s="64"/>
      <c r="AYQ18" s="64"/>
      <c r="AYR18" s="64"/>
      <c r="AYS18" s="64"/>
      <c r="AYT18" s="64"/>
      <c r="AYU18" s="64"/>
      <c r="AYV18" s="64"/>
      <c r="AYW18" s="64"/>
      <c r="AYX18" s="64"/>
      <c r="AYY18" s="64"/>
      <c r="AYZ18" s="64"/>
      <c r="AZA18" s="64"/>
      <c r="AZB18" s="64"/>
      <c r="AZC18" s="64"/>
      <c r="AZD18" s="64"/>
      <c r="AZE18" s="64"/>
      <c r="AZF18" s="64"/>
      <c r="AZG18" s="64"/>
      <c r="AZH18" s="64"/>
      <c r="AZI18" s="64"/>
      <c r="AZJ18" s="64"/>
      <c r="AZK18" s="64"/>
      <c r="AZL18" s="64"/>
      <c r="AZM18" s="64"/>
      <c r="AZN18" s="64"/>
      <c r="AZO18" s="64"/>
      <c r="AZP18" s="64"/>
      <c r="AZQ18" s="64"/>
      <c r="AZR18" s="64"/>
      <c r="AZS18" s="64"/>
      <c r="AZT18" s="64"/>
      <c r="AZU18" s="64"/>
      <c r="AZV18" s="64"/>
      <c r="AZW18" s="64"/>
      <c r="AZX18" s="64"/>
      <c r="AZY18" s="64"/>
      <c r="AZZ18" s="64"/>
      <c r="BAA18" s="64"/>
      <c r="BAB18" s="64"/>
      <c r="BAC18" s="64"/>
      <c r="BAD18" s="64"/>
      <c r="BAE18" s="64"/>
      <c r="BAF18" s="64"/>
      <c r="BAG18" s="64"/>
      <c r="BAH18" s="64"/>
      <c r="BAI18" s="64"/>
      <c r="BAJ18" s="64"/>
      <c r="BAK18" s="64"/>
      <c r="BAL18" s="64"/>
      <c r="BAM18" s="64"/>
      <c r="BAN18" s="64"/>
      <c r="BAO18" s="64"/>
      <c r="BAP18" s="64"/>
      <c r="BAQ18" s="64"/>
      <c r="BAR18" s="64"/>
      <c r="BAS18" s="64"/>
      <c r="BAT18" s="64"/>
      <c r="BAU18" s="64"/>
      <c r="BAV18" s="64"/>
      <c r="BAW18" s="64"/>
      <c r="BAX18" s="64"/>
      <c r="BAY18" s="64"/>
      <c r="BAZ18" s="64"/>
      <c r="BBA18" s="64"/>
      <c r="BBB18" s="64"/>
      <c r="BBC18" s="64"/>
      <c r="BBD18" s="64"/>
      <c r="BBE18" s="64"/>
      <c r="BBF18" s="64"/>
      <c r="BBG18" s="64"/>
      <c r="BBH18" s="64"/>
      <c r="BBI18" s="64"/>
      <c r="BBJ18" s="64"/>
      <c r="BBK18" s="64"/>
      <c r="BBL18" s="64"/>
      <c r="BBM18" s="64"/>
      <c r="BBN18" s="64"/>
      <c r="BBO18" s="64"/>
      <c r="BBP18" s="64"/>
      <c r="BBQ18" s="64"/>
      <c r="BBR18" s="64"/>
      <c r="BBS18" s="64"/>
      <c r="BBT18" s="64"/>
      <c r="BBU18" s="64"/>
      <c r="BBV18" s="64"/>
      <c r="BBW18" s="64"/>
      <c r="BBX18" s="64"/>
      <c r="BBY18" s="64"/>
      <c r="BBZ18" s="64"/>
      <c r="BCA18" s="64"/>
      <c r="BCB18" s="64"/>
      <c r="BCC18" s="64"/>
      <c r="BCD18" s="64"/>
      <c r="BCE18" s="64"/>
      <c r="BCF18" s="64"/>
      <c r="BCG18" s="64"/>
      <c r="BCH18" s="64"/>
      <c r="BCI18" s="64"/>
      <c r="BCJ18" s="64"/>
      <c r="BCK18" s="64"/>
      <c r="BCL18" s="64"/>
      <c r="BCM18" s="64"/>
      <c r="BCN18" s="64"/>
      <c r="BCO18" s="64"/>
      <c r="BCP18" s="64"/>
      <c r="BCQ18" s="64"/>
      <c r="BCR18" s="64"/>
      <c r="BCS18" s="64"/>
      <c r="BCT18" s="64"/>
      <c r="BCU18" s="64"/>
      <c r="BCV18" s="64"/>
      <c r="BCW18" s="64"/>
      <c r="BCX18" s="64"/>
      <c r="BCY18" s="64"/>
      <c r="BCZ18" s="64"/>
      <c r="BDA18" s="64"/>
      <c r="BDB18" s="64"/>
      <c r="BDC18" s="64"/>
      <c r="BDD18" s="64"/>
      <c r="BDE18" s="64"/>
      <c r="BDF18" s="64"/>
      <c r="BDG18" s="64"/>
      <c r="BDH18" s="64"/>
      <c r="BDI18" s="64"/>
      <c r="BDJ18" s="64"/>
      <c r="BDK18" s="64"/>
      <c r="BDL18" s="64"/>
      <c r="BDM18" s="64"/>
      <c r="BDN18" s="64"/>
      <c r="BDO18" s="64"/>
      <c r="BDP18" s="64"/>
      <c r="BDQ18" s="64"/>
      <c r="BDR18" s="64"/>
      <c r="BDS18" s="64"/>
      <c r="BDT18" s="64"/>
      <c r="BDU18" s="64"/>
      <c r="BDV18" s="64"/>
      <c r="BDW18" s="64"/>
      <c r="BDX18" s="64"/>
      <c r="BDY18" s="64"/>
      <c r="BDZ18" s="64"/>
      <c r="BEA18" s="64"/>
      <c r="BEB18" s="64"/>
      <c r="BEC18" s="64"/>
      <c r="BED18" s="64"/>
      <c r="BEE18" s="64"/>
      <c r="BEF18" s="64"/>
      <c r="BEG18" s="64"/>
      <c r="BEH18" s="64"/>
      <c r="BEI18" s="64"/>
      <c r="BEJ18" s="64"/>
      <c r="BEK18" s="64"/>
      <c r="BEL18" s="64"/>
      <c r="BEM18" s="64"/>
      <c r="BEN18" s="64"/>
      <c r="BEO18" s="64"/>
      <c r="BEP18" s="64"/>
      <c r="BEQ18" s="64"/>
      <c r="BER18" s="64"/>
      <c r="BES18" s="64"/>
      <c r="BET18" s="64"/>
      <c r="BEU18" s="64"/>
      <c r="BEV18" s="64"/>
      <c r="BEW18" s="64"/>
      <c r="BEX18" s="64"/>
      <c r="BEY18" s="64"/>
      <c r="BEZ18" s="64"/>
      <c r="BFA18" s="64"/>
      <c r="BFB18" s="64"/>
      <c r="BFC18" s="64"/>
      <c r="BFD18" s="64"/>
      <c r="BFE18" s="64"/>
      <c r="BFF18" s="64"/>
      <c r="BFG18" s="64"/>
      <c r="BFH18" s="64"/>
      <c r="BFI18" s="64"/>
      <c r="BFJ18" s="64"/>
      <c r="BFK18" s="64"/>
      <c r="BFL18" s="64"/>
      <c r="BFM18" s="64"/>
      <c r="BFN18" s="64"/>
      <c r="BFO18" s="64"/>
      <c r="BFP18" s="64"/>
      <c r="BFQ18" s="64"/>
      <c r="BFR18" s="64"/>
      <c r="BFS18" s="64"/>
      <c r="BFT18" s="64"/>
      <c r="BFU18" s="64"/>
      <c r="BFV18" s="64"/>
      <c r="BFW18" s="64"/>
      <c r="BFX18" s="64"/>
      <c r="BFY18" s="64"/>
      <c r="BFZ18" s="64"/>
      <c r="BGA18" s="64"/>
      <c r="BGB18" s="64"/>
      <c r="BGC18" s="64"/>
      <c r="BGD18" s="64"/>
      <c r="BGE18" s="64"/>
      <c r="BGF18" s="64"/>
      <c r="BGG18" s="64"/>
      <c r="BGH18" s="64"/>
      <c r="BGI18" s="64"/>
      <c r="BGJ18" s="64"/>
      <c r="BGK18" s="64"/>
      <c r="BGL18" s="64"/>
      <c r="BGM18" s="64"/>
      <c r="BGN18" s="64"/>
      <c r="BGO18" s="64"/>
      <c r="BGP18" s="64"/>
      <c r="BGQ18" s="64"/>
      <c r="BGR18" s="64"/>
      <c r="BGS18" s="64"/>
      <c r="BGT18" s="64"/>
      <c r="BGU18" s="64"/>
      <c r="BGV18" s="64"/>
      <c r="BGW18" s="64"/>
      <c r="BGX18" s="64"/>
      <c r="BGY18" s="64"/>
      <c r="BGZ18" s="64"/>
      <c r="BHA18" s="64"/>
      <c r="BHB18" s="64"/>
      <c r="BHC18" s="64"/>
      <c r="BHD18" s="64"/>
      <c r="BHE18" s="64"/>
      <c r="BHF18" s="64"/>
      <c r="BHG18" s="64"/>
      <c r="BHH18" s="64"/>
      <c r="BHI18" s="64"/>
      <c r="BHJ18" s="64"/>
      <c r="BHK18" s="64"/>
      <c r="BHL18" s="64"/>
      <c r="BHM18" s="64"/>
      <c r="BHN18" s="64"/>
      <c r="BHO18" s="64"/>
      <c r="BHP18" s="64"/>
      <c r="BHQ18" s="64"/>
      <c r="BHR18" s="64"/>
      <c r="BHS18" s="64"/>
      <c r="BHT18" s="64"/>
      <c r="BHU18" s="64"/>
      <c r="BHV18" s="64"/>
      <c r="BHW18" s="64"/>
      <c r="BHX18" s="64"/>
      <c r="BHY18" s="64"/>
      <c r="BHZ18" s="64"/>
      <c r="BIA18" s="64"/>
      <c r="BIB18" s="64"/>
      <c r="BIC18" s="64"/>
      <c r="BID18" s="64"/>
      <c r="BIE18" s="64"/>
      <c r="BIF18" s="64"/>
      <c r="BIG18" s="64"/>
      <c r="BIH18" s="64"/>
      <c r="BII18" s="64"/>
      <c r="BIJ18" s="64"/>
      <c r="BIK18" s="64"/>
      <c r="BIL18" s="64"/>
      <c r="BIM18" s="64"/>
      <c r="BIN18" s="64"/>
      <c r="BIO18" s="64"/>
      <c r="BIP18" s="64"/>
      <c r="BIQ18" s="64"/>
      <c r="BIR18" s="64"/>
      <c r="BIS18" s="64"/>
      <c r="BIT18" s="64"/>
      <c r="BIU18" s="64"/>
      <c r="BIV18" s="64"/>
      <c r="BIW18" s="64"/>
      <c r="BIX18" s="64"/>
      <c r="BIY18" s="64"/>
      <c r="BIZ18" s="64"/>
      <c r="BJA18" s="64"/>
      <c r="BJB18" s="64"/>
      <c r="BJC18" s="64"/>
      <c r="BJD18" s="64"/>
      <c r="BJE18" s="64"/>
      <c r="BJF18" s="64"/>
      <c r="BJG18" s="64"/>
      <c r="BJH18" s="64"/>
      <c r="BJI18" s="64"/>
      <c r="BJJ18" s="64"/>
      <c r="BJK18" s="64"/>
      <c r="BJL18" s="64"/>
      <c r="BJM18" s="64"/>
      <c r="BJN18" s="64"/>
      <c r="BJO18" s="64"/>
      <c r="BJP18" s="64"/>
      <c r="BJQ18" s="64"/>
      <c r="BJR18" s="64"/>
      <c r="BJS18" s="64"/>
      <c r="BJT18" s="64"/>
      <c r="BJU18" s="64"/>
      <c r="BJV18" s="64"/>
      <c r="BJW18" s="64"/>
      <c r="BJX18" s="64"/>
      <c r="BJY18" s="64"/>
      <c r="BJZ18" s="64"/>
      <c r="BKA18" s="64"/>
      <c r="BKB18" s="64"/>
      <c r="BKC18" s="64"/>
      <c r="BKD18" s="64"/>
      <c r="BKE18" s="64"/>
      <c r="BKF18" s="64"/>
      <c r="BKG18" s="64"/>
      <c r="BKH18" s="64"/>
      <c r="BKI18" s="64"/>
      <c r="BKJ18" s="64"/>
      <c r="BKK18" s="64"/>
      <c r="BKL18" s="64"/>
      <c r="BKM18" s="64"/>
      <c r="BKN18" s="64"/>
      <c r="BKO18" s="64"/>
      <c r="BKP18" s="64"/>
      <c r="BKQ18" s="64"/>
      <c r="BKR18" s="64"/>
      <c r="BKS18" s="64"/>
      <c r="BKT18" s="64"/>
      <c r="BKU18" s="64"/>
      <c r="BKV18" s="64"/>
      <c r="BKW18" s="64"/>
      <c r="BKX18" s="64"/>
      <c r="BKY18" s="64"/>
      <c r="BKZ18" s="64"/>
      <c r="BLA18" s="64"/>
      <c r="BLB18" s="64"/>
      <c r="BLC18" s="64"/>
      <c r="BLD18" s="64"/>
      <c r="BLE18" s="64"/>
      <c r="BLF18" s="64"/>
      <c r="BLG18" s="64"/>
      <c r="BLH18" s="64"/>
      <c r="BLI18" s="64"/>
      <c r="BLJ18" s="64"/>
      <c r="BLK18" s="64"/>
      <c r="BLL18" s="64"/>
      <c r="BLM18" s="64"/>
      <c r="BLN18" s="64"/>
      <c r="BLO18" s="64"/>
      <c r="BLP18" s="64"/>
      <c r="BLQ18" s="64"/>
      <c r="BLR18" s="64"/>
      <c r="BLS18" s="64"/>
      <c r="BLT18" s="64"/>
      <c r="BLU18" s="64"/>
      <c r="BLV18" s="64"/>
      <c r="BLW18" s="64"/>
      <c r="BLX18" s="64"/>
      <c r="BLY18" s="64"/>
      <c r="BLZ18" s="64"/>
      <c r="BMA18" s="64"/>
      <c r="BMB18" s="64"/>
      <c r="BMC18" s="64"/>
      <c r="BMD18" s="64"/>
      <c r="BME18" s="64"/>
      <c r="BMF18" s="64"/>
      <c r="BMG18" s="64"/>
      <c r="BMH18" s="64"/>
      <c r="BMI18" s="64"/>
      <c r="BMJ18" s="64"/>
      <c r="BMK18" s="64"/>
      <c r="BML18" s="64"/>
      <c r="BMM18" s="64"/>
      <c r="BMN18" s="64"/>
      <c r="BMO18" s="64"/>
      <c r="BMP18" s="64"/>
      <c r="BMQ18" s="64"/>
      <c r="BMR18" s="64"/>
      <c r="BMS18" s="64"/>
      <c r="BMT18" s="64"/>
      <c r="BMU18" s="64"/>
      <c r="BMV18" s="64"/>
      <c r="BMW18" s="64"/>
      <c r="BMX18" s="64"/>
      <c r="BMY18" s="64"/>
      <c r="BMZ18" s="64"/>
      <c r="BNA18" s="64"/>
      <c r="BNB18" s="64"/>
      <c r="BNC18" s="64"/>
      <c r="BND18" s="64"/>
      <c r="BNE18" s="64"/>
      <c r="BNF18" s="64"/>
      <c r="BNG18" s="64"/>
      <c r="BNH18" s="64"/>
      <c r="BNI18" s="64"/>
      <c r="BNJ18" s="64"/>
      <c r="BNK18" s="64"/>
      <c r="BNL18" s="64"/>
      <c r="BNM18" s="64"/>
      <c r="BNN18" s="64"/>
      <c r="BNO18" s="64"/>
      <c r="BNP18" s="64"/>
      <c r="BNQ18" s="64"/>
      <c r="BNR18" s="64"/>
      <c r="BNS18" s="64"/>
      <c r="BNT18" s="64"/>
      <c r="BNU18" s="64"/>
      <c r="BNV18" s="64"/>
      <c r="BNW18" s="64"/>
      <c r="BNX18" s="64"/>
      <c r="BNY18" s="64"/>
      <c r="BNZ18" s="64"/>
      <c r="BOA18" s="64"/>
      <c r="BOB18" s="64"/>
      <c r="BOC18" s="64"/>
      <c r="BOD18" s="64"/>
      <c r="BOE18" s="64"/>
      <c r="BOF18" s="64"/>
      <c r="BOG18" s="64"/>
      <c r="BOH18" s="64"/>
      <c r="BOI18" s="64"/>
      <c r="BOJ18" s="64"/>
      <c r="BOK18" s="64"/>
      <c r="BOL18" s="64"/>
      <c r="BOM18" s="64"/>
      <c r="BON18" s="64"/>
      <c r="BOO18" s="64"/>
      <c r="BOP18" s="64"/>
      <c r="BOQ18" s="64"/>
      <c r="BOR18" s="64"/>
      <c r="BOS18" s="64"/>
      <c r="BOT18" s="64"/>
      <c r="BOU18" s="64"/>
      <c r="BOV18" s="64"/>
      <c r="BOW18" s="64"/>
      <c r="BOX18" s="64"/>
      <c r="BOY18" s="64"/>
      <c r="BOZ18" s="64"/>
      <c r="BPA18" s="64"/>
      <c r="BPB18" s="64"/>
      <c r="BPC18" s="64"/>
      <c r="BPD18" s="64"/>
      <c r="BPE18" s="64"/>
      <c r="BPF18" s="64"/>
      <c r="BPG18" s="64"/>
      <c r="BPH18" s="64"/>
      <c r="BPI18" s="64"/>
      <c r="BPJ18" s="64"/>
      <c r="BPK18" s="64"/>
      <c r="BPL18" s="64"/>
      <c r="BPM18" s="64"/>
      <c r="BPN18" s="64"/>
      <c r="BPO18" s="64"/>
      <c r="BPP18" s="64"/>
      <c r="BPQ18" s="64"/>
      <c r="BPR18" s="64"/>
      <c r="BPS18" s="64"/>
      <c r="BPT18" s="64"/>
      <c r="BPU18" s="64"/>
      <c r="BPV18" s="64"/>
      <c r="BPW18" s="64"/>
      <c r="BPX18" s="64"/>
      <c r="BPY18" s="64"/>
      <c r="BPZ18" s="64"/>
      <c r="BQA18" s="64"/>
      <c r="BQB18" s="64"/>
      <c r="BQC18" s="64"/>
      <c r="BQD18" s="64"/>
      <c r="BQE18" s="64"/>
      <c r="BQF18" s="64"/>
      <c r="BQG18" s="64"/>
      <c r="BQH18" s="64"/>
      <c r="BQI18" s="64"/>
      <c r="BQJ18" s="64"/>
      <c r="BQK18" s="64"/>
      <c r="BQL18" s="64"/>
      <c r="BQM18" s="64"/>
      <c r="BQN18" s="64"/>
      <c r="BQO18" s="64"/>
      <c r="BQP18" s="64"/>
      <c r="BQQ18" s="64"/>
      <c r="BQR18" s="64"/>
      <c r="BQS18" s="64"/>
      <c r="BQT18" s="64"/>
      <c r="BQU18" s="64"/>
      <c r="BQV18" s="64"/>
      <c r="BQW18" s="64"/>
      <c r="BQX18" s="64"/>
      <c r="BQY18" s="64"/>
      <c r="BQZ18" s="64"/>
      <c r="BRA18" s="64"/>
      <c r="BRB18" s="64"/>
      <c r="BRC18" s="64"/>
      <c r="BRD18" s="64"/>
      <c r="BRE18" s="64"/>
      <c r="BRF18" s="64"/>
      <c r="BRG18" s="64"/>
      <c r="BRH18" s="64"/>
      <c r="BRI18" s="64"/>
      <c r="BRJ18" s="64"/>
      <c r="BRK18" s="64"/>
      <c r="BRL18" s="64"/>
      <c r="BRM18" s="64"/>
      <c r="BRN18" s="64"/>
      <c r="BRO18" s="64"/>
      <c r="BRP18" s="64"/>
      <c r="BRQ18" s="64"/>
      <c r="BRR18" s="64"/>
      <c r="BRS18" s="64"/>
      <c r="BRT18" s="64"/>
      <c r="BRU18" s="64"/>
      <c r="BRV18" s="64"/>
      <c r="BRW18" s="64"/>
      <c r="BRX18" s="64"/>
      <c r="BRY18" s="64"/>
      <c r="BRZ18" s="64"/>
      <c r="BSA18" s="64"/>
      <c r="BSB18" s="64"/>
      <c r="BSC18" s="64"/>
      <c r="BSD18" s="64"/>
      <c r="BSE18" s="64"/>
      <c r="BSF18" s="64"/>
      <c r="BSG18" s="64"/>
      <c r="BSH18" s="64"/>
      <c r="BSI18" s="64"/>
      <c r="BSJ18" s="64"/>
      <c r="BSK18" s="64"/>
      <c r="BSL18" s="64"/>
      <c r="BSM18" s="64"/>
      <c r="BSN18" s="64"/>
      <c r="BSO18" s="64"/>
      <c r="BSP18" s="64"/>
      <c r="BSQ18" s="64"/>
      <c r="BSR18" s="64"/>
      <c r="BSS18" s="64"/>
      <c r="BST18" s="64"/>
      <c r="BSU18" s="64"/>
      <c r="BSV18" s="64"/>
      <c r="BSW18" s="64"/>
      <c r="BSX18" s="64"/>
      <c r="BSY18" s="64"/>
      <c r="BSZ18" s="64"/>
      <c r="BTA18" s="64"/>
      <c r="BTB18" s="64"/>
      <c r="BTC18" s="64"/>
      <c r="BTD18" s="64"/>
      <c r="BTE18" s="64"/>
      <c r="BTF18" s="64"/>
      <c r="BTG18" s="64"/>
      <c r="BTH18" s="64"/>
      <c r="BTI18" s="64"/>
      <c r="BTJ18" s="64"/>
      <c r="BTK18" s="64"/>
      <c r="BTL18" s="64"/>
      <c r="BTM18" s="64"/>
      <c r="BTN18" s="64"/>
      <c r="BTO18" s="64"/>
      <c r="BTP18" s="64"/>
      <c r="BTQ18" s="64"/>
      <c r="BTR18" s="64"/>
      <c r="BTS18" s="64"/>
      <c r="BTT18" s="64"/>
      <c r="BTU18" s="64"/>
      <c r="BTV18" s="64"/>
      <c r="BTW18" s="64"/>
      <c r="BTX18" s="64"/>
      <c r="BTY18" s="64"/>
      <c r="BTZ18" s="64"/>
      <c r="BUA18" s="64"/>
      <c r="BUB18" s="64"/>
      <c r="BUC18" s="64"/>
      <c r="BUD18" s="64"/>
      <c r="BUE18" s="64"/>
      <c r="BUF18" s="64"/>
      <c r="BUG18" s="64"/>
      <c r="BUH18" s="64"/>
      <c r="BUI18" s="64"/>
      <c r="BUJ18" s="64"/>
      <c r="BUK18" s="64"/>
      <c r="BUL18" s="64"/>
      <c r="BUM18" s="64"/>
      <c r="BUN18" s="64"/>
      <c r="BUO18" s="64"/>
      <c r="BUP18" s="64"/>
      <c r="BUQ18" s="64"/>
      <c r="BUR18" s="64"/>
      <c r="BUS18" s="64"/>
      <c r="BUT18" s="64"/>
      <c r="BUU18" s="64"/>
      <c r="BUV18" s="64"/>
      <c r="BUW18" s="64"/>
      <c r="BUX18" s="64"/>
      <c r="BUY18" s="64"/>
      <c r="BUZ18" s="64"/>
      <c r="BVA18" s="64"/>
      <c r="BVB18" s="64"/>
      <c r="BVC18" s="64"/>
      <c r="BVD18" s="64"/>
      <c r="BVE18" s="64"/>
      <c r="BVF18" s="64"/>
      <c r="BVG18" s="64"/>
      <c r="BVH18" s="64"/>
      <c r="BVI18" s="64"/>
      <c r="BVJ18" s="64"/>
      <c r="BVK18" s="64"/>
      <c r="BVL18" s="64"/>
      <c r="BVM18" s="64"/>
      <c r="BVN18" s="64"/>
      <c r="BVO18" s="64"/>
      <c r="BVP18" s="64"/>
      <c r="BVQ18" s="64"/>
      <c r="BVR18" s="64"/>
      <c r="BVS18" s="64"/>
      <c r="BVT18" s="64"/>
      <c r="BVU18" s="64"/>
      <c r="BVV18" s="64"/>
      <c r="BVW18" s="64"/>
      <c r="BVX18" s="64"/>
      <c r="BVY18" s="64"/>
      <c r="BVZ18" s="64"/>
      <c r="BWA18" s="64"/>
      <c r="BWB18" s="64"/>
      <c r="BWC18" s="64"/>
      <c r="BWD18" s="64"/>
      <c r="BWE18" s="64"/>
      <c r="BWF18" s="64"/>
      <c r="BWG18" s="64"/>
      <c r="BWH18" s="64"/>
      <c r="BWI18" s="64"/>
      <c r="BWJ18" s="64"/>
      <c r="BWK18" s="64"/>
      <c r="BWL18" s="64"/>
      <c r="BWM18" s="64"/>
      <c r="BWN18" s="64"/>
      <c r="BWO18" s="64"/>
      <c r="BWP18" s="64"/>
      <c r="BWQ18" s="64"/>
      <c r="BWR18" s="64"/>
      <c r="BWS18" s="64"/>
      <c r="BWT18" s="64"/>
      <c r="BWU18" s="64"/>
      <c r="BWV18" s="64"/>
      <c r="BWW18" s="64"/>
      <c r="BWX18" s="64"/>
      <c r="BWY18" s="64"/>
      <c r="BWZ18" s="64"/>
      <c r="BXA18" s="64"/>
      <c r="BXB18" s="64"/>
      <c r="BXC18" s="64"/>
      <c r="BXD18" s="64"/>
      <c r="BXE18" s="64"/>
      <c r="BXF18" s="64"/>
      <c r="BXG18" s="64"/>
      <c r="BXH18" s="64"/>
      <c r="BXI18" s="64"/>
      <c r="BXJ18" s="64"/>
      <c r="BXK18" s="64"/>
      <c r="BXL18" s="64"/>
      <c r="BXM18" s="64"/>
      <c r="BXN18" s="64"/>
      <c r="BXO18" s="64"/>
      <c r="BXP18" s="64"/>
      <c r="BXQ18" s="64"/>
      <c r="BXR18" s="64"/>
      <c r="BXS18" s="64"/>
      <c r="BXT18" s="64"/>
      <c r="BXU18" s="64"/>
      <c r="BXV18" s="64"/>
      <c r="BXW18" s="64"/>
      <c r="BXX18" s="64"/>
      <c r="BXY18" s="64"/>
      <c r="BXZ18" s="64"/>
      <c r="BYA18" s="64"/>
      <c r="BYB18" s="64"/>
      <c r="BYC18" s="64"/>
      <c r="BYD18" s="64"/>
      <c r="BYE18" s="64"/>
      <c r="BYF18" s="64"/>
      <c r="BYG18" s="64"/>
      <c r="BYH18" s="64"/>
      <c r="BYI18" s="64"/>
      <c r="BYJ18" s="64"/>
      <c r="BYK18" s="64"/>
      <c r="BYL18" s="64"/>
      <c r="BYM18" s="64"/>
      <c r="BYN18" s="64"/>
      <c r="BYO18" s="64"/>
      <c r="BYP18" s="64"/>
      <c r="BYQ18" s="64"/>
      <c r="BYR18" s="64"/>
      <c r="BYS18" s="64"/>
      <c r="BYT18" s="64"/>
      <c r="BYU18" s="64"/>
      <c r="BYV18" s="64"/>
      <c r="BYW18" s="64"/>
      <c r="BYX18" s="64"/>
      <c r="BYY18" s="64"/>
      <c r="BYZ18" s="64"/>
      <c r="BZA18" s="64"/>
      <c r="BZB18" s="64"/>
      <c r="BZC18" s="64"/>
      <c r="BZD18" s="64"/>
      <c r="BZE18" s="64"/>
      <c r="BZF18" s="64"/>
      <c r="BZG18" s="64"/>
      <c r="BZH18" s="64"/>
      <c r="BZI18" s="64"/>
      <c r="BZJ18" s="64"/>
      <c r="BZK18" s="64"/>
      <c r="BZL18" s="64"/>
      <c r="BZM18" s="64"/>
      <c r="BZN18" s="64"/>
      <c r="BZO18" s="64"/>
      <c r="BZP18" s="64"/>
      <c r="BZQ18" s="64"/>
      <c r="BZR18" s="64"/>
      <c r="BZS18" s="64"/>
      <c r="BZT18" s="64"/>
      <c r="BZU18" s="64"/>
      <c r="BZV18" s="64"/>
      <c r="BZW18" s="64"/>
      <c r="BZX18" s="64"/>
      <c r="BZY18" s="64"/>
      <c r="BZZ18" s="64"/>
      <c r="CAA18" s="64"/>
      <c r="CAB18" s="64"/>
      <c r="CAC18" s="64"/>
      <c r="CAD18" s="64"/>
      <c r="CAE18" s="64"/>
      <c r="CAF18" s="64"/>
      <c r="CAG18" s="64"/>
      <c r="CAH18" s="64"/>
      <c r="CAI18" s="64"/>
      <c r="CAJ18" s="64"/>
      <c r="CAK18" s="64"/>
      <c r="CAL18" s="64"/>
      <c r="CAM18" s="64"/>
      <c r="CAN18" s="64"/>
      <c r="CAO18" s="64"/>
      <c r="CAP18" s="64"/>
      <c r="CAQ18" s="64"/>
      <c r="CAR18" s="64"/>
      <c r="CAS18" s="64"/>
      <c r="CAT18" s="64"/>
      <c r="CAU18" s="64"/>
      <c r="CAV18" s="64"/>
      <c r="CAW18" s="64"/>
      <c r="CAX18" s="64"/>
      <c r="CAY18" s="64"/>
      <c r="CAZ18" s="64"/>
      <c r="CBA18" s="64"/>
      <c r="CBB18" s="64"/>
      <c r="CBC18" s="64"/>
      <c r="CBD18" s="64"/>
      <c r="CBE18" s="64"/>
      <c r="CBF18" s="64"/>
      <c r="CBG18" s="64"/>
      <c r="CBH18" s="64"/>
      <c r="CBI18" s="64"/>
      <c r="CBJ18" s="64"/>
      <c r="CBK18" s="64"/>
      <c r="CBL18" s="64"/>
      <c r="CBM18" s="64"/>
      <c r="CBN18" s="64"/>
      <c r="CBO18" s="64"/>
      <c r="CBP18" s="64"/>
      <c r="CBQ18" s="64"/>
      <c r="CBR18" s="64"/>
      <c r="CBS18" s="64"/>
      <c r="CBT18" s="64"/>
      <c r="CBU18" s="64"/>
      <c r="CBV18" s="64"/>
      <c r="CBW18" s="64"/>
      <c r="CBX18" s="64"/>
      <c r="CBY18" s="64"/>
      <c r="CBZ18" s="64"/>
      <c r="CCA18" s="64"/>
      <c r="CCB18" s="64"/>
      <c r="CCC18" s="64"/>
      <c r="CCD18" s="64"/>
      <c r="CCE18" s="64"/>
      <c r="CCF18" s="64"/>
      <c r="CCG18" s="64"/>
      <c r="CCH18" s="64"/>
      <c r="CCI18" s="64"/>
      <c r="CCJ18" s="64"/>
      <c r="CCK18" s="64"/>
      <c r="CCL18" s="64"/>
      <c r="CCM18" s="64"/>
      <c r="CCN18" s="64"/>
      <c r="CCO18" s="64"/>
      <c r="CCP18" s="64"/>
      <c r="CCQ18" s="64"/>
      <c r="CCR18" s="64"/>
      <c r="CCS18" s="64"/>
      <c r="CCT18" s="64"/>
      <c r="CCU18" s="64"/>
      <c r="CCV18" s="64"/>
      <c r="CCW18" s="64"/>
      <c r="CCX18" s="64"/>
      <c r="CCY18" s="64"/>
      <c r="CCZ18" s="64"/>
      <c r="CDA18" s="64"/>
      <c r="CDB18" s="64"/>
      <c r="CDC18" s="64"/>
      <c r="CDD18" s="64"/>
      <c r="CDE18" s="64"/>
      <c r="CDF18" s="64"/>
      <c r="CDG18" s="64"/>
      <c r="CDH18" s="64"/>
      <c r="CDI18" s="64"/>
      <c r="CDJ18" s="64"/>
      <c r="CDK18" s="64"/>
      <c r="CDL18" s="64"/>
      <c r="CDM18" s="64"/>
      <c r="CDN18" s="64"/>
      <c r="CDO18" s="64"/>
      <c r="CDP18" s="64"/>
      <c r="CDQ18" s="64"/>
      <c r="CDR18" s="64"/>
      <c r="CDS18" s="64"/>
      <c r="CDT18" s="64"/>
      <c r="CDU18" s="64"/>
      <c r="CDV18" s="64"/>
      <c r="CDW18" s="64"/>
      <c r="CDX18" s="64"/>
      <c r="CDY18" s="64"/>
      <c r="CDZ18" s="64"/>
      <c r="CEA18" s="64"/>
      <c r="CEB18" s="64"/>
      <c r="CEC18" s="64"/>
      <c r="CED18" s="64"/>
      <c r="CEE18" s="64"/>
      <c r="CEF18" s="64"/>
      <c r="CEG18" s="64"/>
      <c r="CEH18" s="64"/>
      <c r="CEI18" s="64"/>
      <c r="CEJ18" s="64"/>
      <c r="CEK18" s="64"/>
      <c r="CEL18" s="64"/>
      <c r="CEM18" s="64"/>
      <c r="CEN18" s="64"/>
      <c r="CEO18" s="64"/>
      <c r="CEP18" s="64"/>
      <c r="CEQ18" s="64"/>
      <c r="CER18" s="64"/>
      <c r="CES18" s="64"/>
      <c r="CET18" s="64"/>
      <c r="CEU18" s="64"/>
      <c r="CEV18" s="64"/>
      <c r="CEW18" s="64"/>
      <c r="CEX18" s="64"/>
      <c r="CEY18" s="64"/>
      <c r="CEZ18" s="64"/>
      <c r="CFA18" s="64"/>
      <c r="CFB18" s="64"/>
      <c r="CFC18" s="64"/>
      <c r="CFD18" s="64"/>
      <c r="CFE18" s="64"/>
      <c r="CFF18" s="64"/>
      <c r="CFG18" s="64"/>
      <c r="CFH18" s="64"/>
      <c r="CFI18" s="64"/>
      <c r="CFJ18" s="64"/>
      <c r="CFK18" s="64"/>
      <c r="CFL18" s="64"/>
      <c r="CFM18" s="64"/>
      <c r="CFN18" s="64"/>
      <c r="CFO18" s="64"/>
      <c r="CFP18" s="64"/>
      <c r="CFQ18" s="64"/>
      <c r="CFR18" s="64"/>
      <c r="CFS18" s="64"/>
      <c r="CFT18" s="64"/>
      <c r="CFU18" s="64"/>
      <c r="CFV18" s="64"/>
      <c r="CFW18" s="64"/>
      <c r="CFX18" s="64"/>
      <c r="CFY18" s="64"/>
      <c r="CFZ18" s="64"/>
      <c r="CGA18" s="64"/>
      <c r="CGB18" s="64"/>
      <c r="CGC18" s="64"/>
      <c r="CGD18" s="64"/>
      <c r="CGE18" s="64"/>
      <c r="CGF18" s="64"/>
      <c r="CGG18" s="64"/>
      <c r="CGH18" s="64"/>
      <c r="CGI18" s="64"/>
      <c r="CGJ18" s="64"/>
      <c r="CGK18" s="64"/>
      <c r="CGL18" s="64"/>
      <c r="CGM18" s="64"/>
      <c r="CGN18" s="64"/>
      <c r="CGO18" s="64"/>
      <c r="CGP18" s="64"/>
      <c r="CGQ18" s="64"/>
      <c r="CGR18" s="64"/>
      <c r="CGS18" s="64"/>
      <c r="CGT18" s="64"/>
      <c r="CGU18" s="64"/>
      <c r="CGV18" s="64"/>
      <c r="CGW18" s="64"/>
      <c r="CGX18" s="64"/>
      <c r="CGY18" s="64"/>
      <c r="CGZ18" s="64"/>
      <c r="CHA18" s="64"/>
      <c r="CHB18" s="64"/>
      <c r="CHC18" s="64"/>
      <c r="CHD18" s="64"/>
      <c r="CHE18" s="64"/>
      <c r="CHF18" s="64"/>
      <c r="CHG18" s="64"/>
      <c r="CHH18" s="64"/>
      <c r="CHI18" s="64"/>
      <c r="CHJ18" s="64"/>
      <c r="CHK18" s="64"/>
      <c r="CHL18" s="64"/>
      <c r="CHM18" s="64"/>
      <c r="CHN18" s="64"/>
      <c r="CHO18" s="64"/>
      <c r="CHP18" s="64"/>
      <c r="CHQ18" s="64"/>
      <c r="CHR18" s="64"/>
      <c r="CHS18" s="64"/>
      <c r="CHT18" s="64"/>
      <c r="CHU18" s="64"/>
      <c r="CHV18" s="64"/>
      <c r="CHW18" s="64"/>
      <c r="CHX18" s="64"/>
      <c r="CHY18" s="64"/>
      <c r="CHZ18" s="64"/>
      <c r="CIA18" s="64"/>
      <c r="CIB18" s="64"/>
      <c r="CIC18" s="64"/>
      <c r="CID18" s="64"/>
      <c r="CIE18" s="64"/>
      <c r="CIF18" s="64"/>
      <c r="CIG18" s="64"/>
      <c r="CIH18" s="64"/>
      <c r="CII18" s="64"/>
      <c r="CIJ18" s="64"/>
      <c r="CIK18" s="64"/>
      <c r="CIL18" s="64"/>
      <c r="CIM18" s="64"/>
      <c r="CIN18" s="64"/>
      <c r="CIO18" s="64"/>
      <c r="CIP18" s="64"/>
      <c r="CIQ18" s="64"/>
      <c r="CIR18" s="64"/>
      <c r="CIS18" s="64"/>
      <c r="CIT18" s="64"/>
      <c r="CIU18" s="64"/>
      <c r="CIV18" s="64"/>
      <c r="CIW18" s="64"/>
      <c r="CIX18" s="64"/>
      <c r="CIY18" s="64"/>
      <c r="CIZ18" s="64"/>
      <c r="CJA18" s="64"/>
      <c r="CJB18" s="64"/>
      <c r="CJC18" s="64"/>
      <c r="CJD18" s="64"/>
      <c r="CJE18" s="64"/>
      <c r="CJF18" s="64"/>
      <c r="CJG18" s="64"/>
      <c r="CJH18" s="64"/>
      <c r="CJI18" s="64"/>
      <c r="CJJ18" s="64"/>
      <c r="CJK18" s="64"/>
      <c r="CJL18" s="64"/>
      <c r="CJM18" s="64"/>
      <c r="CJN18" s="64"/>
      <c r="CJO18" s="64"/>
      <c r="CJP18" s="64"/>
      <c r="CJQ18" s="64"/>
      <c r="CJR18" s="64"/>
      <c r="CJS18" s="64"/>
      <c r="CJT18" s="64"/>
      <c r="CJU18" s="64"/>
      <c r="CJV18" s="64"/>
      <c r="CJW18" s="64"/>
      <c r="CJX18" s="64"/>
      <c r="CJY18" s="64"/>
      <c r="CJZ18" s="64"/>
      <c r="CKA18" s="64"/>
      <c r="CKB18" s="64"/>
      <c r="CKC18" s="64"/>
      <c r="CKD18" s="64"/>
      <c r="CKE18" s="64"/>
      <c r="CKF18" s="64"/>
      <c r="CKG18" s="64"/>
      <c r="CKH18" s="64"/>
      <c r="CKI18" s="64"/>
      <c r="CKJ18" s="64"/>
      <c r="CKK18" s="64"/>
      <c r="CKL18" s="64"/>
      <c r="CKM18" s="64"/>
      <c r="CKN18" s="64"/>
      <c r="CKO18" s="64"/>
      <c r="CKP18" s="64"/>
      <c r="CKQ18" s="64"/>
      <c r="CKR18" s="64"/>
      <c r="CKS18" s="64"/>
      <c r="CKT18" s="64"/>
      <c r="CKU18" s="64"/>
      <c r="CKV18" s="64"/>
      <c r="CKW18" s="64"/>
      <c r="CKX18" s="64"/>
      <c r="CKY18" s="64"/>
      <c r="CKZ18" s="64"/>
      <c r="CLA18" s="64"/>
      <c r="CLB18" s="64"/>
      <c r="CLC18" s="64"/>
      <c r="CLD18" s="64"/>
      <c r="CLE18" s="64"/>
      <c r="CLF18" s="64"/>
      <c r="CLG18" s="64"/>
      <c r="CLH18" s="64"/>
      <c r="CLI18" s="64"/>
      <c r="CLJ18" s="64"/>
      <c r="CLK18" s="64"/>
      <c r="CLL18" s="64"/>
      <c r="CLM18" s="64"/>
      <c r="CLN18" s="64"/>
      <c r="CLO18" s="64"/>
      <c r="CLP18" s="64"/>
      <c r="CLQ18" s="64"/>
      <c r="CLR18" s="64"/>
      <c r="CLS18" s="64"/>
      <c r="CLT18" s="64"/>
      <c r="CLU18" s="64"/>
      <c r="CLV18" s="64"/>
      <c r="CLW18" s="64"/>
      <c r="CLX18" s="64"/>
      <c r="CLY18" s="64"/>
      <c r="CLZ18" s="64"/>
      <c r="CMA18" s="64"/>
      <c r="CMB18" s="64"/>
      <c r="CMC18" s="64"/>
      <c r="CMD18" s="64"/>
      <c r="CME18" s="64"/>
      <c r="CMF18" s="64"/>
      <c r="CMG18" s="64"/>
      <c r="CMH18" s="64"/>
      <c r="CMI18" s="64"/>
      <c r="CMJ18" s="64"/>
      <c r="CMK18" s="64"/>
      <c r="CML18" s="64"/>
      <c r="CMM18" s="64"/>
      <c r="CMN18" s="64"/>
      <c r="CMO18" s="64"/>
      <c r="CMP18" s="64"/>
      <c r="CMQ18" s="64"/>
      <c r="CMR18" s="64"/>
      <c r="CMS18" s="64"/>
      <c r="CMT18" s="64"/>
      <c r="CMU18" s="64"/>
      <c r="CMV18" s="64"/>
      <c r="CMW18" s="64"/>
      <c r="CMX18" s="64"/>
      <c r="CMY18" s="64"/>
      <c r="CMZ18" s="64"/>
      <c r="CNA18" s="64"/>
      <c r="CNB18" s="64"/>
      <c r="CNC18" s="64"/>
      <c r="CND18" s="64"/>
      <c r="CNE18" s="64"/>
      <c r="CNF18" s="64"/>
      <c r="CNG18" s="64"/>
      <c r="CNH18" s="64"/>
      <c r="CNI18" s="64"/>
      <c r="CNJ18" s="64"/>
      <c r="CNK18" s="64"/>
      <c r="CNL18" s="64"/>
      <c r="CNM18" s="64"/>
      <c r="CNN18" s="64"/>
      <c r="CNO18" s="64"/>
      <c r="CNP18" s="64"/>
      <c r="CNQ18" s="64"/>
      <c r="CNR18" s="64"/>
      <c r="CNS18" s="64"/>
      <c r="CNT18" s="64"/>
      <c r="CNU18" s="64"/>
      <c r="CNV18" s="64"/>
      <c r="CNW18" s="64"/>
      <c r="CNX18" s="64"/>
      <c r="CNY18" s="64"/>
      <c r="CNZ18" s="64"/>
      <c r="COA18" s="64"/>
      <c r="COB18" s="64"/>
      <c r="COC18" s="64"/>
      <c r="COD18" s="64"/>
      <c r="COE18" s="64"/>
      <c r="COF18" s="64"/>
      <c r="COG18" s="64"/>
      <c r="COH18" s="64"/>
      <c r="COI18" s="64"/>
      <c r="COJ18" s="64"/>
      <c r="COK18" s="64"/>
      <c r="COL18" s="64"/>
      <c r="COM18" s="64"/>
      <c r="CON18" s="64"/>
      <c r="COO18" s="64"/>
      <c r="COP18" s="64"/>
      <c r="COQ18" s="64"/>
      <c r="COR18" s="64"/>
      <c r="COS18" s="64"/>
      <c r="COT18" s="64"/>
      <c r="COU18" s="64"/>
      <c r="COV18" s="64"/>
      <c r="COW18" s="64"/>
      <c r="COX18" s="64"/>
      <c r="COY18" s="64"/>
      <c r="COZ18" s="64"/>
      <c r="CPA18" s="64"/>
      <c r="CPB18" s="64"/>
      <c r="CPC18" s="64"/>
      <c r="CPD18" s="64"/>
      <c r="CPE18" s="64"/>
      <c r="CPF18" s="64"/>
      <c r="CPG18" s="64"/>
      <c r="CPH18" s="64"/>
      <c r="CPI18" s="64"/>
      <c r="CPJ18" s="64"/>
      <c r="CPK18" s="64"/>
      <c r="CPL18" s="64"/>
      <c r="CPM18" s="64"/>
      <c r="CPN18" s="64"/>
      <c r="CPO18" s="64"/>
      <c r="CPP18" s="64"/>
      <c r="CPQ18" s="64"/>
      <c r="CPR18" s="64"/>
      <c r="CPS18" s="64"/>
      <c r="CPT18" s="64"/>
      <c r="CPU18" s="64"/>
      <c r="CPV18" s="64"/>
      <c r="CPW18" s="64"/>
      <c r="CPX18" s="64"/>
      <c r="CPY18" s="64"/>
      <c r="CPZ18" s="64"/>
      <c r="CQA18" s="64"/>
      <c r="CQB18" s="64"/>
      <c r="CQC18" s="64"/>
      <c r="CQD18" s="64"/>
      <c r="CQE18" s="64"/>
      <c r="CQF18" s="64"/>
      <c r="CQG18" s="64"/>
      <c r="CQH18" s="64"/>
      <c r="CQI18" s="64"/>
      <c r="CQJ18" s="64"/>
      <c r="CQK18" s="64"/>
      <c r="CQL18" s="64"/>
      <c r="CQM18" s="64"/>
      <c r="CQN18" s="64"/>
      <c r="CQO18" s="64"/>
      <c r="CQP18" s="64"/>
      <c r="CQQ18" s="64"/>
      <c r="CQR18" s="64"/>
      <c r="CQS18" s="64"/>
      <c r="CQT18" s="64"/>
      <c r="CQU18" s="64"/>
      <c r="CQV18" s="64"/>
      <c r="CQW18" s="64"/>
      <c r="CQX18" s="64"/>
      <c r="CQY18" s="64"/>
      <c r="CQZ18" s="64"/>
      <c r="CRA18" s="64"/>
      <c r="CRB18" s="64"/>
      <c r="CRC18" s="64"/>
      <c r="CRD18" s="64"/>
      <c r="CRE18" s="64"/>
      <c r="CRF18" s="64"/>
      <c r="CRG18" s="64"/>
      <c r="CRH18" s="64"/>
      <c r="CRI18" s="64"/>
      <c r="CRJ18" s="64"/>
      <c r="CRK18" s="64"/>
      <c r="CRL18" s="64"/>
      <c r="CRM18" s="64"/>
      <c r="CRN18" s="64"/>
      <c r="CRO18" s="64"/>
      <c r="CRP18" s="64"/>
      <c r="CRQ18" s="64"/>
      <c r="CRR18" s="64"/>
      <c r="CRS18" s="64"/>
      <c r="CRT18" s="64"/>
      <c r="CRU18" s="64"/>
      <c r="CRV18" s="64"/>
      <c r="CRW18" s="64"/>
      <c r="CRX18" s="64"/>
      <c r="CRY18" s="64"/>
      <c r="CRZ18" s="64"/>
      <c r="CSA18" s="64"/>
      <c r="CSB18" s="64"/>
      <c r="CSC18" s="64"/>
      <c r="CSD18" s="64"/>
      <c r="CSE18" s="64"/>
      <c r="CSF18" s="64"/>
      <c r="CSG18" s="64"/>
      <c r="CSH18" s="64"/>
      <c r="CSI18" s="64"/>
      <c r="CSJ18" s="64"/>
      <c r="CSK18" s="64"/>
      <c r="CSL18" s="64"/>
      <c r="CSM18" s="64"/>
      <c r="CSN18" s="64"/>
      <c r="CSO18" s="64"/>
      <c r="CSP18" s="64"/>
      <c r="CSQ18" s="64"/>
      <c r="CSR18" s="64"/>
      <c r="CSS18" s="64"/>
      <c r="CST18" s="64"/>
      <c r="CSU18" s="64"/>
      <c r="CSV18" s="64"/>
      <c r="CSW18" s="64"/>
      <c r="CSX18" s="64"/>
      <c r="CSY18" s="64"/>
      <c r="CSZ18" s="64"/>
      <c r="CTA18" s="64"/>
      <c r="CTB18" s="64"/>
      <c r="CTC18" s="64"/>
      <c r="CTD18" s="64"/>
      <c r="CTE18" s="64"/>
      <c r="CTF18" s="64"/>
      <c r="CTG18" s="64"/>
      <c r="CTH18" s="64"/>
      <c r="CTI18" s="64"/>
      <c r="CTJ18" s="64"/>
      <c r="CTK18" s="64"/>
      <c r="CTL18" s="64"/>
      <c r="CTM18" s="64"/>
      <c r="CTN18" s="64"/>
      <c r="CTO18" s="64"/>
      <c r="CTP18" s="64"/>
      <c r="CTQ18" s="64"/>
      <c r="CTR18" s="64"/>
      <c r="CTS18" s="64"/>
      <c r="CTT18" s="64"/>
      <c r="CTU18" s="64"/>
      <c r="CTV18" s="64"/>
      <c r="CTW18" s="64"/>
      <c r="CTX18" s="64"/>
      <c r="CTY18" s="64"/>
      <c r="CTZ18" s="64"/>
      <c r="CUA18" s="64"/>
      <c r="CUB18" s="64"/>
      <c r="CUC18" s="64"/>
      <c r="CUD18" s="64"/>
      <c r="CUE18" s="64"/>
      <c r="CUF18" s="64"/>
      <c r="CUG18" s="64"/>
      <c r="CUH18" s="64"/>
      <c r="CUI18" s="64"/>
      <c r="CUJ18" s="64"/>
      <c r="CUK18" s="64"/>
      <c r="CUL18" s="64"/>
      <c r="CUM18" s="64"/>
      <c r="CUN18" s="64"/>
      <c r="CUO18" s="64"/>
      <c r="CUP18" s="64"/>
      <c r="CUQ18" s="64"/>
      <c r="CUR18" s="64"/>
      <c r="CUS18" s="64"/>
      <c r="CUT18" s="64"/>
      <c r="CUU18" s="64"/>
      <c r="CUV18" s="64"/>
      <c r="CUW18" s="64"/>
      <c r="CUX18" s="64"/>
      <c r="CUY18" s="64"/>
      <c r="CUZ18" s="64"/>
      <c r="CVA18" s="64"/>
      <c r="CVB18" s="64"/>
      <c r="CVC18" s="64"/>
      <c r="CVD18" s="64"/>
      <c r="CVE18" s="64"/>
      <c r="CVF18" s="64"/>
      <c r="CVG18" s="64"/>
      <c r="CVH18" s="64"/>
      <c r="CVI18" s="64"/>
      <c r="CVJ18" s="64"/>
      <c r="CVK18" s="64"/>
      <c r="CVL18" s="64"/>
      <c r="CVM18" s="64"/>
      <c r="CVN18" s="64"/>
      <c r="CVO18" s="64"/>
      <c r="CVP18" s="64"/>
      <c r="CVQ18" s="64"/>
      <c r="CVR18" s="64"/>
      <c r="CVS18" s="64"/>
      <c r="CVT18" s="64"/>
      <c r="CVU18" s="64"/>
      <c r="CVV18" s="64"/>
      <c r="CVW18" s="64"/>
      <c r="CVX18" s="64"/>
      <c r="CVY18" s="64"/>
      <c r="CVZ18" s="64"/>
      <c r="CWA18" s="64"/>
      <c r="CWB18" s="64"/>
      <c r="CWC18" s="64"/>
      <c r="CWD18" s="64"/>
      <c r="CWE18" s="64"/>
      <c r="CWF18" s="64"/>
      <c r="CWG18" s="64"/>
      <c r="CWH18" s="64"/>
      <c r="CWI18" s="64"/>
      <c r="CWJ18" s="64"/>
      <c r="CWK18" s="64"/>
      <c r="CWL18" s="64"/>
      <c r="CWM18" s="64"/>
      <c r="CWN18" s="64"/>
      <c r="CWO18" s="64"/>
      <c r="CWP18" s="64"/>
      <c r="CWQ18" s="64"/>
      <c r="CWR18" s="64"/>
      <c r="CWS18" s="64"/>
      <c r="CWT18" s="64"/>
      <c r="CWU18" s="64"/>
      <c r="CWV18" s="64"/>
      <c r="CWW18" s="64"/>
      <c r="CWX18" s="64"/>
      <c r="CWY18" s="64"/>
      <c r="CWZ18" s="64"/>
      <c r="CXA18" s="64"/>
      <c r="CXB18" s="64"/>
      <c r="CXC18" s="64"/>
      <c r="CXD18" s="64"/>
      <c r="CXE18" s="64"/>
      <c r="CXF18" s="64"/>
      <c r="CXG18" s="64"/>
      <c r="CXH18" s="64"/>
      <c r="CXI18" s="64"/>
      <c r="CXJ18" s="64"/>
      <c r="CXK18" s="64"/>
      <c r="CXL18" s="64"/>
      <c r="CXM18" s="64"/>
      <c r="CXN18" s="64"/>
      <c r="CXO18" s="64"/>
      <c r="CXP18" s="64"/>
      <c r="CXQ18" s="64"/>
      <c r="CXR18" s="64"/>
      <c r="CXS18" s="64"/>
      <c r="CXT18" s="64"/>
      <c r="CXU18" s="64"/>
      <c r="CXV18" s="64"/>
      <c r="CXW18" s="64"/>
      <c r="CXX18" s="64"/>
      <c r="CXY18" s="64"/>
      <c r="CXZ18" s="64"/>
      <c r="CYA18" s="64"/>
      <c r="CYB18" s="64"/>
      <c r="CYC18" s="64"/>
      <c r="CYD18" s="64"/>
      <c r="CYE18" s="64"/>
      <c r="CYF18" s="64"/>
      <c r="CYG18" s="64"/>
      <c r="CYH18" s="64"/>
      <c r="CYI18" s="64"/>
      <c r="CYJ18" s="64"/>
      <c r="CYK18" s="64"/>
      <c r="CYL18" s="64"/>
      <c r="CYM18" s="64"/>
      <c r="CYN18" s="64"/>
      <c r="CYO18" s="64"/>
      <c r="CYP18" s="64"/>
      <c r="CYQ18" s="64"/>
      <c r="CYR18" s="64"/>
      <c r="CYS18" s="64"/>
      <c r="CYT18" s="64"/>
      <c r="CYU18" s="64"/>
      <c r="CYV18" s="64"/>
      <c r="CYW18" s="64"/>
      <c r="CYX18" s="64"/>
      <c r="CYY18" s="64"/>
      <c r="CYZ18" s="64"/>
      <c r="CZA18" s="64"/>
      <c r="CZB18" s="64"/>
      <c r="CZC18" s="64"/>
      <c r="CZD18" s="64"/>
      <c r="CZE18" s="64"/>
      <c r="CZF18" s="64"/>
      <c r="CZG18" s="64"/>
      <c r="CZH18" s="64"/>
      <c r="CZI18" s="64"/>
      <c r="CZJ18" s="64"/>
      <c r="CZK18" s="64"/>
      <c r="CZL18" s="64"/>
      <c r="CZM18" s="64"/>
      <c r="CZN18" s="64"/>
      <c r="CZO18" s="64"/>
      <c r="CZP18" s="64"/>
      <c r="CZQ18" s="64"/>
      <c r="CZR18" s="64"/>
      <c r="CZS18" s="64"/>
      <c r="CZT18" s="64"/>
      <c r="CZU18" s="64"/>
      <c r="CZV18" s="64"/>
      <c r="CZW18" s="64"/>
      <c r="CZX18" s="64"/>
      <c r="CZY18" s="64"/>
      <c r="CZZ18" s="64"/>
      <c r="DAA18" s="64"/>
      <c r="DAB18" s="64"/>
      <c r="DAC18" s="64"/>
      <c r="DAD18" s="64"/>
      <c r="DAE18" s="64"/>
      <c r="DAF18" s="64"/>
      <c r="DAG18" s="64"/>
      <c r="DAH18" s="64"/>
      <c r="DAI18" s="64"/>
      <c r="DAJ18" s="64"/>
      <c r="DAK18" s="64"/>
      <c r="DAL18" s="64"/>
      <c r="DAM18" s="64"/>
      <c r="DAN18" s="64"/>
      <c r="DAO18" s="64"/>
      <c r="DAP18" s="64"/>
      <c r="DAQ18" s="64"/>
      <c r="DAR18" s="64"/>
      <c r="DAS18" s="64"/>
      <c r="DAT18" s="64"/>
      <c r="DAU18" s="64"/>
      <c r="DAV18" s="64"/>
      <c r="DAW18" s="64"/>
      <c r="DAX18" s="64"/>
      <c r="DAY18" s="64"/>
      <c r="DAZ18" s="64"/>
      <c r="DBA18" s="64"/>
      <c r="DBB18" s="64"/>
      <c r="DBC18" s="64"/>
      <c r="DBD18" s="64"/>
      <c r="DBE18" s="64"/>
      <c r="DBF18" s="64"/>
      <c r="DBG18" s="64"/>
      <c r="DBH18" s="64"/>
      <c r="DBI18" s="64"/>
      <c r="DBJ18" s="64"/>
      <c r="DBK18" s="64"/>
      <c r="DBL18" s="64"/>
      <c r="DBM18" s="64"/>
      <c r="DBN18" s="64"/>
      <c r="DBO18" s="64"/>
      <c r="DBP18" s="64"/>
      <c r="DBQ18" s="64"/>
      <c r="DBR18" s="64"/>
      <c r="DBS18" s="64"/>
      <c r="DBT18" s="64"/>
      <c r="DBU18" s="64"/>
      <c r="DBV18" s="64"/>
      <c r="DBW18" s="64"/>
      <c r="DBX18" s="64"/>
      <c r="DBY18" s="64"/>
      <c r="DBZ18" s="64"/>
      <c r="DCA18" s="64"/>
      <c r="DCB18" s="64"/>
      <c r="DCC18" s="64"/>
      <c r="DCD18" s="64"/>
      <c r="DCE18" s="64"/>
      <c r="DCF18" s="64"/>
      <c r="DCG18" s="64"/>
      <c r="DCH18" s="64"/>
      <c r="DCI18" s="64"/>
      <c r="DCJ18" s="64"/>
      <c r="DCK18" s="64"/>
      <c r="DCL18" s="64"/>
      <c r="DCM18" s="64"/>
      <c r="DCN18" s="64"/>
      <c r="DCO18" s="64"/>
      <c r="DCP18" s="64"/>
      <c r="DCQ18" s="64"/>
      <c r="DCR18" s="64"/>
      <c r="DCS18" s="64"/>
      <c r="DCT18" s="64"/>
      <c r="DCU18" s="64"/>
      <c r="DCV18" s="64"/>
      <c r="DCW18" s="64"/>
      <c r="DCX18" s="64"/>
      <c r="DCY18" s="64"/>
      <c r="DCZ18" s="64"/>
      <c r="DDA18" s="64"/>
      <c r="DDB18" s="64"/>
      <c r="DDC18" s="64"/>
      <c r="DDD18" s="64"/>
      <c r="DDE18" s="64"/>
      <c r="DDF18" s="64"/>
      <c r="DDG18" s="64"/>
      <c r="DDH18" s="64"/>
      <c r="DDI18" s="64"/>
      <c r="DDJ18" s="64"/>
      <c r="DDK18" s="64"/>
      <c r="DDL18" s="64"/>
      <c r="DDM18" s="64"/>
      <c r="DDN18" s="64"/>
      <c r="DDO18" s="64"/>
      <c r="DDP18" s="64"/>
      <c r="DDQ18" s="64"/>
      <c r="DDR18" s="64"/>
      <c r="DDS18" s="64"/>
      <c r="DDT18" s="64"/>
      <c r="DDU18" s="64"/>
      <c r="DDV18" s="64"/>
      <c r="DDW18" s="64"/>
      <c r="DDX18" s="64"/>
      <c r="DDY18" s="64"/>
      <c r="DDZ18" s="64"/>
      <c r="DEA18" s="64"/>
      <c r="DEB18" s="64"/>
      <c r="DEC18" s="64"/>
      <c r="DED18" s="64"/>
      <c r="DEE18" s="64"/>
      <c r="DEF18" s="64"/>
      <c r="DEG18" s="64"/>
      <c r="DEH18" s="64"/>
      <c r="DEI18" s="64"/>
      <c r="DEJ18" s="64"/>
      <c r="DEK18" s="64"/>
      <c r="DEL18" s="64"/>
      <c r="DEM18" s="64"/>
      <c r="DEN18" s="64"/>
      <c r="DEO18" s="64"/>
      <c r="DEP18" s="64"/>
      <c r="DEQ18" s="64"/>
      <c r="DER18" s="64"/>
      <c r="DES18" s="64"/>
      <c r="DET18" s="64"/>
      <c r="DEU18" s="64"/>
      <c r="DEV18" s="64"/>
      <c r="DEW18" s="64"/>
      <c r="DEX18" s="64"/>
      <c r="DEY18" s="64"/>
      <c r="DEZ18" s="64"/>
      <c r="DFA18" s="64"/>
      <c r="DFB18" s="64"/>
      <c r="DFC18" s="64"/>
      <c r="DFD18" s="64"/>
      <c r="DFE18" s="64"/>
      <c r="DFF18" s="64"/>
      <c r="DFG18" s="64"/>
      <c r="DFH18" s="64"/>
      <c r="DFI18" s="64"/>
      <c r="DFJ18" s="64"/>
      <c r="DFK18" s="64"/>
      <c r="DFL18" s="64"/>
      <c r="DFM18" s="64"/>
      <c r="DFN18" s="64"/>
      <c r="DFO18" s="64"/>
      <c r="DFP18" s="64"/>
      <c r="DFQ18" s="64"/>
      <c r="DFR18" s="64"/>
      <c r="DFS18" s="64"/>
      <c r="DFT18" s="64"/>
      <c r="DFU18" s="64"/>
      <c r="DFV18" s="64"/>
      <c r="DFW18" s="64"/>
      <c r="DFX18" s="64"/>
      <c r="DFY18" s="64"/>
      <c r="DFZ18" s="64"/>
      <c r="DGA18" s="64"/>
      <c r="DGB18" s="64"/>
      <c r="DGC18" s="64"/>
      <c r="DGD18" s="64"/>
      <c r="DGE18" s="64"/>
      <c r="DGF18" s="64"/>
      <c r="DGG18" s="64"/>
      <c r="DGH18" s="64"/>
      <c r="DGI18" s="64"/>
      <c r="DGJ18" s="64"/>
      <c r="DGK18" s="64"/>
      <c r="DGL18" s="64"/>
      <c r="DGM18" s="64"/>
      <c r="DGN18" s="64"/>
      <c r="DGO18" s="64"/>
      <c r="DGP18" s="64"/>
      <c r="DGQ18" s="64"/>
      <c r="DGR18" s="64"/>
      <c r="DGS18" s="64"/>
      <c r="DGT18" s="64"/>
      <c r="DGU18" s="64"/>
      <c r="DGV18" s="64"/>
      <c r="DGW18" s="64"/>
      <c r="DGX18" s="64"/>
      <c r="DGY18" s="64"/>
      <c r="DGZ18" s="64"/>
      <c r="DHA18" s="64"/>
      <c r="DHB18" s="64"/>
      <c r="DHC18" s="64"/>
      <c r="DHD18" s="64"/>
      <c r="DHE18" s="64"/>
      <c r="DHF18" s="64"/>
      <c r="DHG18" s="64"/>
      <c r="DHH18" s="64"/>
      <c r="DHI18" s="64"/>
      <c r="DHJ18" s="64"/>
      <c r="DHK18" s="64"/>
      <c r="DHL18" s="64"/>
      <c r="DHM18" s="64"/>
      <c r="DHN18" s="64"/>
      <c r="DHO18" s="64"/>
      <c r="DHP18" s="64"/>
      <c r="DHQ18" s="64"/>
      <c r="DHR18" s="64"/>
      <c r="DHS18" s="64"/>
      <c r="DHT18" s="64"/>
      <c r="DHU18" s="64"/>
      <c r="DHV18" s="64"/>
      <c r="DHW18" s="64"/>
      <c r="DHX18" s="64"/>
      <c r="DHY18" s="64"/>
      <c r="DHZ18" s="64"/>
      <c r="DIA18" s="64"/>
      <c r="DIB18" s="64"/>
      <c r="DIC18" s="64"/>
      <c r="DID18" s="64"/>
      <c r="DIE18" s="64"/>
      <c r="DIF18" s="64"/>
      <c r="DIG18" s="64"/>
      <c r="DIH18" s="64"/>
      <c r="DII18" s="64"/>
      <c r="DIJ18" s="64"/>
      <c r="DIK18" s="64"/>
      <c r="DIL18" s="64"/>
      <c r="DIM18" s="64"/>
      <c r="DIN18" s="64"/>
      <c r="DIO18" s="64"/>
      <c r="DIP18" s="64"/>
      <c r="DIQ18" s="64"/>
      <c r="DIR18" s="64"/>
      <c r="DIS18" s="64"/>
      <c r="DIT18" s="64"/>
      <c r="DIU18" s="64"/>
      <c r="DIV18" s="64"/>
      <c r="DIW18" s="64"/>
      <c r="DIX18" s="64"/>
      <c r="DIY18" s="64"/>
      <c r="DIZ18" s="64"/>
      <c r="DJA18" s="64"/>
      <c r="DJB18" s="64"/>
      <c r="DJC18" s="64"/>
      <c r="DJD18" s="64"/>
      <c r="DJE18" s="64"/>
      <c r="DJF18" s="64"/>
      <c r="DJG18" s="64"/>
      <c r="DJH18" s="64"/>
      <c r="DJI18" s="64"/>
      <c r="DJJ18" s="64"/>
      <c r="DJK18" s="64"/>
      <c r="DJL18" s="64"/>
      <c r="DJM18" s="64"/>
      <c r="DJN18" s="64"/>
      <c r="DJO18" s="64"/>
      <c r="DJP18" s="64"/>
      <c r="DJQ18" s="64"/>
      <c r="DJR18" s="64"/>
      <c r="DJS18" s="64"/>
      <c r="DJT18" s="64"/>
      <c r="DJU18" s="64"/>
      <c r="DJV18" s="64"/>
      <c r="DJW18" s="64"/>
      <c r="DJX18" s="64"/>
      <c r="DJY18" s="64"/>
      <c r="DJZ18" s="64"/>
      <c r="DKA18" s="64"/>
      <c r="DKB18" s="64"/>
      <c r="DKC18" s="64"/>
      <c r="DKD18" s="64"/>
      <c r="DKE18" s="64"/>
      <c r="DKF18" s="64"/>
      <c r="DKG18" s="64"/>
      <c r="DKH18" s="64"/>
      <c r="DKI18" s="64"/>
      <c r="DKJ18" s="64"/>
      <c r="DKK18" s="64"/>
      <c r="DKL18" s="64"/>
      <c r="DKM18" s="64"/>
      <c r="DKN18" s="64"/>
      <c r="DKO18" s="64"/>
      <c r="DKP18" s="64"/>
      <c r="DKQ18" s="64"/>
      <c r="DKR18" s="64"/>
      <c r="DKS18" s="64"/>
      <c r="DKT18" s="64"/>
      <c r="DKU18" s="64"/>
      <c r="DKV18" s="64"/>
      <c r="DKW18" s="64"/>
      <c r="DKX18" s="64"/>
      <c r="DKY18" s="64"/>
      <c r="DKZ18" s="64"/>
      <c r="DLA18" s="64"/>
      <c r="DLB18" s="64"/>
      <c r="DLC18" s="64"/>
      <c r="DLD18" s="64"/>
      <c r="DLE18" s="64"/>
      <c r="DLF18" s="64"/>
      <c r="DLG18" s="64"/>
      <c r="DLH18" s="64"/>
      <c r="DLI18" s="64"/>
      <c r="DLJ18" s="64"/>
      <c r="DLK18" s="64"/>
      <c r="DLL18" s="64"/>
      <c r="DLM18" s="64"/>
      <c r="DLN18" s="64"/>
      <c r="DLO18" s="64"/>
      <c r="DLP18" s="64"/>
      <c r="DLQ18" s="64"/>
      <c r="DLR18" s="64"/>
      <c r="DLS18" s="64"/>
      <c r="DLT18" s="64"/>
      <c r="DLU18" s="64"/>
      <c r="DLV18" s="64"/>
      <c r="DLW18" s="64"/>
      <c r="DLX18" s="64"/>
      <c r="DLY18" s="64"/>
      <c r="DLZ18" s="64"/>
      <c r="DMA18" s="64"/>
      <c r="DMB18" s="64"/>
      <c r="DMC18" s="64"/>
      <c r="DMD18" s="64"/>
      <c r="DME18" s="64"/>
      <c r="DMF18" s="64"/>
      <c r="DMG18" s="64"/>
      <c r="DMH18" s="64"/>
      <c r="DMI18" s="64"/>
      <c r="DMJ18" s="64"/>
      <c r="DMK18" s="64"/>
      <c r="DML18" s="64"/>
      <c r="DMM18" s="64"/>
      <c r="DMN18" s="64"/>
      <c r="DMO18" s="64"/>
      <c r="DMP18" s="64"/>
      <c r="DMQ18" s="64"/>
      <c r="DMR18" s="64"/>
      <c r="DMS18" s="64"/>
      <c r="DMT18" s="64"/>
      <c r="DMU18" s="64"/>
      <c r="DMV18" s="64"/>
      <c r="DMW18" s="64"/>
      <c r="DMX18" s="64"/>
      <c r="DMY18" s="64"/>
      <c r="DMZ18" s="64"/>
      <c r="DNA18" s="64"/>
      <c r="DNB18" s="64"/>
      <c r="DNC18" s="64"/>
      <c r="DND18" s="64"/>
      <c r="DNE18" s="64"/>
      <c r="DNF18" s="64"/>
      <c r="DNG18" s="64"/>
      <c r="DNH18" s="64"/>
      <c r="DNI18" s="64"/>
      <c r="DNJ18" s="64"/>
      <c r="DNK18" s="64"/>
      <c r="DNL18" s="64"/>
      <c r="DNM18" s="64"/>
      <c r="DNN18" s="64"/>
      <c r="DNO18" s="64"/>
      <c r="DNP18" s="64"/>
      <c r="DNQ18" s="64"/>
      <c r="DNR18" s="64"/>
      <c r="DNS18" s="64"/>
      <c r="DNT18" s="64"/>
      <c r="DNU18" s="64"/>
      <c r="DNV18" s="64"/>
      <c r="DNW18" s="64"/>
      <c r="DNX18" s="64"/>
      <c r="DNY18" s="64"/>
      <c r="DNZ18" s="64"/>
      <c r="DOA18" s="64"/>
      <c r="DOB18" s="64"/>
      <c r="DOC18" s="64"/>
      <c r="DOD18" s="64"/>
      <c r="DOE18" s="64"/>
      <c r="DOF18" s="64"/>
      <c r="DOG18" s="64"/>
      <c r="DOH18" s="64"/>
      <c r="DOI18" s="64"/>
      <c r="DOJ18" s="64"/>
      <c r="DOK18" s="64"/>
      <c r="DOL18" s="64"/>
      <c r="DOM18" s="64"/>
      <c r="DON18" s="64"/>
      <c r="DOO18" s="64"/>
      <c r="DOP18" s="64"/>
      <c r="DOQ18" s="64"/>
      <c r="DOR18" s="64"/>
      <c r="DOS18" s="64"/>
      <c r="DOT18" s="64"/>
      <c r="DOU18" s="64"/>
      <c r="DOV18" s="64"/>
      <c r="DOW18" s="64"/>
      <c r="DOX18" s="64"/>
      <c r="DOY18" s="64"/>
      <c r="DOZ18" s="64"/>
      <c r="DPA18" s="64"/>
      <c r="DPB18" s="64"/>
      <c r="DPC18" s="64"/>
      <c r="DPD18" s="64"/>
      <c r="DPE18" s="64"/>
      <c r="DPF18" s="64"/>
      <c r="DPG18" s="64"/>
      <c r="DPH18" s="64"/>
      <c r="DPI18" s="64"/>
      <c r="DPJ18" s="64"/>
      <c r="DPK18" s="64"/>
      <c r="DPL18" s="64"/>
      <c r="DPM18" s="64"/>
      <c r="DPN18" s="64"/>
      <c r="DPO18" s="64"/>
      <c r="DPP18" s="64"/>
      <c r="DPQ18" s="64"/>
      <c r="DPR18" s="64"/>
      <c r="DPS18" s="64"/>
      <c r="DPT18" s="64"/>
      <c r="DPU18" s="64"/>
      <c r="DPV18" s="64"/>
      <c r="DPW18" s="64"/>
      <c r="DPX18" s="64"/>
      <c r="DPY18" s="64"/>
      <c r="DPZ18" s="64"/>
      <c r="DQA18" s="64"/>
      <c r="DQB18" s="64"/>
      <c r="DQC18" s="64"/>
      <c r="DQD18" s="64"/>
      <c r="DQE18" s="64"/>
      <c r="DQF18" s="64"/>
      <c r="DQG18" s="64"/>
      <c r="DQH18" s="64"/>
      <c r="DQI18" s="64"/>
      <c r="DQJ18" s="64"/>
      <c r="DQK18" s="64"/>
      <c r="DQL18" s="64"/>
      <c r="DQM18" s="64"/>
      <c r="DQN18" s="64"/>
      <c r="DQO18" s="64"/>
      <c r="DQP18" s="64"/>
      <c r="DQQ18" s="64"/>
      <c r="DQR18" s="64"/>
      <c r="DQS18" s="64"/>
      <c r="DQT18" s="64"/>
      <c r="DQU18" s="64"/>
      <c r="DQV18" s="64"/>
      <c r="DQW18" s="64"/>
      <c r="DQX18" s="64"/>
      <c r="DQY18" s="64"/>
      <c r="DQZ18" s="64"/>
      <c r="DRA18" s="64"/>
      <c r="DRB18" s="64"/>
      <c r="DRC18" s="64"/>
      <c r="DRD18" s="64"/>
      <c r="DRE18" s="64"/>
      <c r="DRF18" s="64"/>
      <c r="DRG18" s="64"/>
      <c r="DRH18" s="64"/>
      <c r="DRI18" s="64"/>
      <c r="DRJ18" s="64"/>
      <c r="DRK18" s="64"/>
      <c r="DRL18" s="64"/>
      <c r="DRM18" s="64"/>
      <c r="DRN18" s="64"/>
      <c r="DRO18" s="64"/>
      <c r="DRP18" s="64"/>
      <c r="DRQ18" s="64"/>
      <c r="DRR18" s="64"/>
      <c r="DRS18" s="64"/>
      <c r="DRT18" s="64"/>
      <c r="DRU18" s="64"/>
      <c r="DRV18" s="64"/>
      <c r="DRW18" s="64"/>
      <c r="DRX18" s="64"/>
      <c r="DRY18" s="64"/>
      <c r="DRZ18" s="64"/>
      <c r="DSA18" s="64"/>
      <c r="DSB18" s="64"/>
      <c r="DSC18" s="64"/>
      <c r="DSD18" s="64"/>
      <c r="DSE18" s="64"/>
      <c r="DSF18" s="64"/>
      <c r="DSG18" s="64"/>
      <c r="DSH18" s="64"/>
      <c r="DSI18" s="64"/>
      <c r="DSJ18" s="64"/>
      <c r="DSK18" s="64"/>
      <c r="DSL18" s="64"/>
      <c r="DSM18" s="64"/>
      <c r="DSN18" s="64"/>
      <c r="DSO18" s="64"/>
      <c r="DSP18" s="64"/>
      <c r="DSQ18" s="64"/>
      <c r="DSR18" s="64"/>
      <c r="DSS18" s="64"/>
      <c r="DST18" s="64"/>
      <c r="DSU18" s="64"/>
      <c r="DSV18" s="64"/>
      <c r="DSW18" s="64"/>
      <c r="DSX18" s="64"/>
      <c r="DSY18" s="64"/>
      <c r="DSZ18" s="64"/>
      <c r="DTA18" s="64"/>
      <c r="DTB18" s="64"/>
      <c r="DTC18" s="64"/>
      <c r="DTD18" s="64"/>
      <c r="DTE18" s="64"/>
      <c r="DTF18" s="64"/>
      <c r="DTG18" s="64"/>
      <c r="DTH18" s="64"/>
      <c r="DTI18" s="64"/>
      <c r="DTJ18" s="64"/>
      <c r="DTK18" s="64"/>
      <c r="DTL18" s="64"/>
      <c r="DTM18" s="64"/>
      <c r="DTN18" s="64"/>
      <c r="DTO18" s="64"/>
      <c r="DTP18" s="64"/>
      <c r="DTQ18" s="64"/>
      <c r="DTR18" s="64"/>
      <c r="DTS18" s="64"/>
      <c r="DTT18" s="64"/>
      <c r="DTU18" s="64"/>
      <c r="DTV18" s="64"/>
      <c r="DTW18" s="64"/>
      <c r="DTX18" s="64"/>
      <c r="DTY18" s="64"/>
      <c r="DTZ18" s="64"/>
      <c r="DUA18" s="64"/>
      <c r="DUB18" s="64"/>
      <c r="DUC18" s="64"/>
      <c r="DUD18" s="64"/>
      <c r="DUE18" s="64"/>
      <c r="DUF18" s="64"/>
      <c r="DUG18" s="64"/>
      <c r="DUH18" s="64"/>
      <c r="DUI18" s="64"/>
      <c r="DUJ18" s="64"/>
      <c r="DUK18" s="64"/>
      <c r="DUL18" s="64"/>
      <c r="DUM18" s="64"/>
      <c r="DUN18" s="64"/>
      <c r="DUO18" s="64"/>
      <c r="DUP18" s="64"/>
      <c r="DUQ18" s="64"/>
      <c r="DUR18" s="64"/>
      <c r="DUS18" s="64"/>
      <c r="DUT18" s="64"/>
      <c r="DUU18" s="64"/>
      <c r="DUV18" s="64"/>
      <c r="DUW18" s="64"/>
      <c r="DUX18" s="64"/>
      <c r="DUY18" s="64"/>
      <c r="DUZ18" s="64"/>
      <c r="DVA18" s="64"/>
      <c r="DVB18" s="64"/>
      <c r="DVC18" s="64"/>
      <c r="DVD18" s="64"/>
      <c r="DVE18" s="64"/>
      <c r="DVF18" s="64"/>
      <c r="DVG18" s="64"/>
      <c r="DVH18" s="64"/>
      <c r="DVI18" s="64"/>
      <c r="DVJ18" s="64"/>
      <c r="DVK18" s="64"/>
      <c r="DVL18" s="64"/>
      <c r="DVM18" s="64"/>
      <c r="DVN18" s="64"/>
      <c r="DVO18" s="64"/>
      <c r="DVP18" s="64"/>
      <c r="DVQ18" s="64"/>
      <c r="DVR18" s="64"/>
      <c r="DVS18" s="64"/>
      <c r="DVT18" s="64"/>
      <c r="DVU18" s="64"/>
      <c r="DVV18" s="64"/>
      <c r="DVW18" s="64"/>
      <c r="DVX18" s="64"/>
      <c r="DVY18" s="64"/>
      <c r="DVZ18" s="64"/>
      <c r="DWA18" s="64"/>
      <c r="DWB18" s="64"/>
      <c r="DWC18" s="64"/>
      <c r="DWD18" s="64"/>
      <c r="DWE18" s="64"/>
      <c r="DWF18" s="64"/>
      <c r="DWG18" s="64"/>
      <c r="DWH18" s="64"/>
      <c r="DWI18" s="64"/>
      <c r="DWJ18" s="64"/>
      <c r="DWK18" s="64"/>
      <c r="DWL18" s="64"/>
      <c r="DWM18" s="64"/>
      <c r="DWN18" s="64"/>
      <c r="DWO18" s="64"/>
      <c r="DWP18" s="64"/>
      <c r="DWQ18" s="64"/>
      <c r="DWR18" s="64"/>
      <c r="DWS18" s="64"/>
      <c r="DWT18" s="64"/>
      <c r="DWU18" s="64"/>
      <c r="DWV18" s="64"/>
      <c r="DWW18" s="64"/>
      <c r="DWX18" s="64"/>
      <c r="DWY18" s="64"/>
      <c r="DWZ18" s="64"/>
      <c r="DXA18" s="64"/>
      <c r="DXB18" s="64"/>
      <c r="DXC18" s="64"/>
      <c r="DXD18" s="64"/>
      <c r="DXE18" s="64"/>
      <c r="DXF18" s="64"/>
      <c r="DXG18" s="64"/>
      <c r="DXH18" s="64"/>
      <c r="DXI18" s="64"/>
      <c r="DXJ18" s="64"/>
      <c r="DXK18" s="64"/>
      <c r="DXL18" s="64"/>
      <c r="DXM18" s="64"/>
      <c r="DXN18" s="64"/>
      <c r="DXO18" s="64"/>
      <c r="DXP18" s="64"/>
      <c r="DXQ18" s="64"/>
      <c r="DXR18" s="64"/>
      <c r="DXS18" s="64"/>
      <c r="DXT18" s="64"/>
      <c r="DXU18" s="64"/>
      <c r="DXV18" s="64"/>
      <c r="DXW18" s="64"/>
      <c r="DXX18" s="64"/>
      <c r="DXY18" s="64"/>
      <c r="DXZ18" s="64"/>
      <c r="DYA18" s="64"/>
      <c r="DYB18" s="64"/>
      <c r="DYC18" s="64"/>
      <c r="DYD18" s="64"/>
      <c r="DYE18" s="64"/>
      <c r="DYF18" s="64"/>
      <c r="DYG18" s="64"/>
      <c r="DYH18" s="64"/>
      <c r="DYI18" s="64"/>
      <c r="DYJ18" s="64"/>
      <c r="DYK18" s="64"/>
      <c r="DYL18" s="64"/>
      <c r="DYM18" s="64"/>
      <c r="DYN18" s="64"/>
      <c r="DYO18" s="64"/>
      <c r="DYP18" s="64"/>
      <c r="DYQ18" s="64"/>
      <c r="DYR18" s="64"/>
      <c r="DYS18" s="64"/>
      <c r="DYT18" s="64"/>
      <c r="DYU18" s="64"/>
      <c r="DYV18" s="64"/>
      <c r="DYW18" s="64"/>
      <c r="DYX18" s="64"/>
      <c r="DYY18" s="64"/>
      <c r="DYZ18" s="64"/>
      <c r="DZA18" s="64"/>
      <c r="DZB18" s="64"/>
      <c r="DZC18" s="64"/>
      <c r="DZD18" s="64"/>
      <c r="DZE18" s="64"/>
      <c r="DZF18" s="64"/>
      <c r="DZG18" s="64"/>
      <c r="DZH18" s="64"/>
      <c r="DZI18" s="64"/>
      <c r="DZJ18" s="64"/>
      <c r="DZK18" s="64"/>
      <c r="DZL18" s="64"/>
      <c r="DZM18" s="64"/>
      <c r="DZN18" s="64"/>
      <c r="DZO18" s="64"/>
      <c r="DZP18" s="64"/>
      <c r="DZQ18" s="64"/>
      <c r="DZR18" s="64"/>
      <c r="DZS18" s="64"/>
      <c r="DZT18" s="64"/>
      <c r="DZU18" s="64"/>
      <c r="DZV18" s="64"/>
      <c r="DZW18" s="64"/>
      <c r="DZX18" s="64"/>
      <c r="DZY18" s="64"/>
      <c r="DZZ18" s="64"/>
      <c r="EAA18" s="64"/>
      <c r="EAB18" s="64"/>
      <c r="EAC18" s="64"/>
      <c r="EAD18" s="64"/>
      <c r="EAE18" s="64"/>
      <c r="EAF18" s="64"/>
      <c r="EAG18" s="64"/>
      <c r="EAH18" s="64"/>
      <c r="EAI18" s="64"/>
      <c r="EAJ18" s="64"/>
      <c r="EAK18" s="64"/>
      <c r="EAL18" s="64"/>
      <c r="EAM18" s="64"/>
      <c r="EAN18" s="64"/>
      <c r="EAO18" s="64"/>
      <c r="EAP18" s="64"/>
      <c r="EAQ18" s="64"/>
      <c r="EAR18" s="64"/>
      <c r="EAS18" s="64"/>
      <c r="EAT18" s="64"/>
      <c r="EAU18" s="64"/>
      <c r="EAV18" s="64"/>
      <c r="EAW18" s="64"/>
      <c r="EAX18" s="64"/>
      <c r="EAY18" s="64"/>
      <c r="EAZ18" s="64"/>
      <c r="EBA18" s="64"/>
      <c r="EBB18" s="64"/>
      <c r="EBC18" s="64"/>
      <c r="EBD18" s="64"/>
      <c r="EBE18" s="64"/>
      <c r="EBF18" s="64"/>
      <c r="EBG18" s="64"/>
      <c r="EBH18" s="64"/>
      <c r="EBI18" s="64"/>
      <c r="EBJ18" s="64"/>
      <c r="EBK18" s="64"/>
      <c r="EBL18" s="64"/>
      <c r="EBM18" s="64"/>
      <c r="EBN18" s="64"/>
      <c r="EBO18" s="64"/>
      <c r="EBP18" s="64"/>
      <c r="EBQ18" s="64"/>
      <c r="EBR18" s="64"/>
      <c r="EBS18" s="64"/>
      <c r="EBT18" s="64"/>
      <c r="EBU18" s="64"/>
      <c r="EBV18" s="64"/>
      <c r="EBW18" s="64"/>
      <c r="EBX18" s="64"/>
      <c r="EBY18" s="64"/>
      <c r="EBZ18" s="64"/>
      <c r="ECA18" s="64"/>
      <c r="ECB18" s="64"/>
      <c r="ECC18" s="64"/>
      <c r="ECD18" s="64"/>
      <c r="ECE18" s="64"/>
      <c r="ECF18" s="64"/>
      <c r="ECG18" s="64"/>
      <c r="ECH18" s="64"/>
      <c r="ECI18" s="64"/>
      <c r="ECJ18" s="64"/>
      <c r="ECK18" s="64"/>
      <c r="ECL18" s="64"/>
      <c r="ECM18" s="64"/>
      <c r="ECN18" s="64"/>
      <c r="ECO18" s="64"/>
      <c r="ECP18" s="64"/>
      <c r="ECQ18" s="64"/>
      <c r="ECR18" s="64"/>
      <c r="ECS18" s="64"/>
      <c r="ECT18" s="64"/>
      <c r="ECU18" s="64"/>
      <c r="ECV18" s="64"/>
      <c r="ECW18" s="64"/>
      <c r="ECX18" s="64"/>
      <c r="ECY18" s="64"/>
      <c r="ECZ18" s="64"/>
      <c r="EDA18" s="64"/>
      <c r="EDB18" s="64"/>
      <c r="EDC18" s="64"/>
      <c r="EDD18" s="64"/>
      <c r="EDE18" s="64"/>
      <c r="EDF18" s="64"/>
      <c r="EDG18" s="64"/>
      <c r="EDH18" s="64"/>
      <c r="EDI18" s="64"/>
      <c r="EDJ18" s="64"/>
      <c r="EDK18" s="64"/>
      <c r="EDL18" s="64"/>
      <c r="EDM18" s="64"/>
      <c r="EDN18" s="64"/>
      <c r="EDO18" s="64"/>
      <c r="EDP18" s="64"/>
      <c r="EDQ18" s="64"/>
      <c r="EDR18" s="64"/>
      <c r="EDS18" s="64"/>
      <c r="EDT18" s="64"/>
      <c r="EDU18" s="64"/>
      <c r="EDV18" s="64"/>
      <c r="EDW18" s="64"/>
      <c r="EDX18" s="64"/>
      <c r="EDY18" s="64"/>
      <c r="EDZ18" s="64"/>
      <c r="EEA18" s="64"/>
      <c r="EEB18" s="64"/>
      <c r="EEC18" s="64"/>
      <c r="EED18" s="64"/>
      <c r="EEE18" s="64"/>
      <c r="EEF18" s="64"/>
      <c r="EEG18" s="64"/>
      <c r="EEH18" s="64"/>
      <c r="EEI18" s="64"/>
      <c r="EEJ18" s="64"/>
      <c r="EEK18" s="64"/>
      <c r="EEL18" s="64"/>
      <c r="EEM18" s="64"/>
      <c r="EEN18" s="64"/>
      <c r="EEO18" s="64"/>
      <c r="EEP18" s="64"/>
      <c r="EEQ18" s="64"/>
      <c r="EER18" s="64"/>
      <c r="EES18" s="64"/>
      <c r="EET18" s="64"/>
      <c r="EEU18" s="64"/>
      <c r="EEV18" s="64"/>
      <c r="EEW18" s="64"/>
      <c r="EEX18" s="64"/>
      <c r="EEY18" s="64"/>
      <c r="EEZ18" s="64"/>
      <c r="EFA18" s="64"/>
      <c r="EFB18" s="64"/>
      <c r="EFC18" s="64"/>
      <c r="EFD18" s="64"/>
      <c r="EFE18" s="64"/>
      <c r="EFF18" s="64"/>
      <c r="EFG18" s="64"/>
      <c r="EFH18" s="64"/>
      <c r="EFI18" s="64"/>
      <c r="EFJ18" s="64"/>
      <c r="EFK18" s="64"/>
      <c r="EFL18" s="64"/>
      <c r="EFM18" s="64"/>
      <c r="EFN18" s="64"/>
      <c r="EFO18" s="64"/>
      <c r="EFP18" s="64"/>
      <c r="EFQ18" s="64"/>
      <c r="EFR18" s="64"/>
      <c r="EFS18" s="64"/>
      <c r="EFT18" s="64"/>
      <c r="EFU18" s="64"/>
      <c r="EFV18" s="64"/>
      <c r="EFW18" s="64"/>
      <c r="EFX18" s="64"/>
      <c r="EFY18" s="64"/>
      <c r="EFZ18" s="64"/>
      <c r="EGA18" s="64"/>
      <c r="EGB18" s="64"/>
      <c r="EGC18" s="64"/>
      <c r="EGD18" s="64"/>
      <c r="EGE18" s="64"/>
      <c r="EGF18" s="64"/>
      <c r="EGG18" s="64"/>
      <c r="EGH18" s="64"/>
      <c r="EGI18" s="64"/>
      <c r="EGJ18" s="64"/>
      <c r="EGK18" s="64"/>
      <c r="EGL18" s="64"/>
      <c r="EGM18" s="64"/>
      <c r="EGN18" s="64"/>
      <c r="EGO18" s="64"/>
      <c r="EGP18" s="64"/>
      <c r="EGQ18" s="64"/>
      <c r="EGR18" s="64"/>
      <c r="EGS18" s="64"/>
      <c r="EGT18" s="64"/>
      <c r="EGU18" s="64"/>
      <c r="EGV18" s="64"/>
      <c r="EGW18" s="64"/>
      <c r="EGX18" s="64"/>
      <c r="EGY18" s="64"/>
      <c r="EGZ18" s="64"/>
      <c r="EHA18" s="64"/>
      <c r="EHB18" s="64"/>
      <c r="EHC18" s="64"/>
      <c r="EHD18" s="64"/>
      <c r="EHE18" s="64"/>
      <c r="EHF18" s="64"/>
      <c r="EHG18" s="64"/>
      <c r="EHH18" s="64"/>
      <c r="EHI18" s="64"/>
      <c r="EHJ18" s="64"/>
      <c r="EHK18" s="64"/>
      <c r="EHL18" s="64"/>
      <c r="EHM18" s="64"/>
      <c r="EHN18" s="64"/>
      <c r="EHO18" s="64"/>
      <c r="EHP18" s="64"/>
      <c r="EHQ18" s="64"/>
      <c r="EHR18" s="64"/>
      <c r="EHS18" s="64"/>
      <c r="EHT18" s="64"/>
      <c r="EHU18" s="64"/>
      <c r="EHV18" s="64"/>
      <c r="EHW18" s="64"/>
      <c r="EHX18" s="64"/>
      <c r="EHY18" s="64"/>
      <c r="EHZ18" s="64"/>
      <c r="EIA18" s="64"/>
      <c r="EIB18" s="64"/>
      <c r="EIC18" s="64"/>
      <c r="EID18" s="64"/>
      <c r="EIE18" s="64"/>
      <c r="EIF18" s="64"/>
      <c r="EIG18" s="64"/>
      <c r="EIH18" s="64"/>
      <c r="EII18" s="64"/>
      <c r="EIJ18" s="64"/>
      <c r="EIK18" s="64"/>
      <c r="EIL18" s="64"/>
      <c r="EIM18" s="64"/>
      <c r="EIN18" s="64"/>
      <c r="EIO18" s="64"/>
      <c r="EIP18" s="64"/>
      <c r="EIQ18" s="64"/>
      <c r="EIR18" s="64"/>
      <c r="EIS18" s="64"/>
      <c r="EIT18" s="64"/>
      <c r="EIU18" s="64"/>
      <c r="EIV18" s="64"/>
      <c r="EIW18" s="64"/>
      <c r="EIX18" s="64"/>
      <c r="EIY18" s="64"/>
      <c r="EIZ18" s="64"/>
      <c r="EJA18" s="64"/>
      <c r="EJB18" s="64"/>
      <c r="EJC18" s="64"/>
      <c r="EJD18" s="64"/>
      <c r="EJE18" s="64"/>
      <c r="EJF18" s="64"/>
      <c r="EJG18" s="64"/>
      <c r="EJH18" s="64"/>
      <c r="EJI18" s="64"/>
      <c r="EJJ18" s="64"/>
      <c r="EJK18" s="64"/>
      <c r="EJL18" s="64"/>
      <c r="EJM18" s="64"/>
      <c r="EJN18" s="64"/>
      <c r="EJO18" s="64"/>
      <c r="EJP18" s="64"/>
      <c r="EJQ18" s="64"/>
      <c r="EJR18" s="64"/>
      <c r="EJS18" s="64"/>
      <c r="EJT18" s="64"/>
      <c r="EJU18" s="64"/>
      <c r="EJV18" s="64"/>
      <c r="EJW18" s="64"/>
      <c r="EJX18" s="64"/>
      <c r="EJY18" s="64"/>
      <c r="EJZ18" s="64"/>
      <c r="EKA18" s="64"/>
      <c r="EKB18" s="64"/>
      <c r="EKC18" s="64"/>
      <c r="EKD18" s="64"/>
      <c r="EKE18" s="64"/>
      <c r="EKF18" s="64"/>
      <c r="EKG18" s="64"/>
      <c r="EKH18" s="64"/>
      <c r="EKI18" s="64"/>
      <c r="EKJ18" s="64"/>
      <c r="EKK18" s="64"/>
      <c r="EKL18" s="64"/>
      <c r="EKM18" s="64"/>
      <c r="EKN18" s="64"/>
      <c r="EKO18" s="64"/>
      <c r="EKP18" s="64"/>
      <c r="EKQ18" s="64"/>
      <c r="EKR18" s="64"/>
      <c r="EKS18" s="64"/>
      <c r="EKT18" s="64"/>
      <c r="EKU18" s="64"/>
      <c r="EKV18" s="64"/>
      <c r="EKW18" s="64"/>
      <c r="EKX18" s="64"/>
      <c r="EKY18" s="64"/>
      <c r="EKZ18" s="64"/>
      <c r="ELA18" s="64"/>
      <c r="ELB18" s="64"/>
      <c r="ELC18" s="64"/>
      <c r="ELD18" s="64"/>
      <c r="ELE18" s="64"/>
      <c r="ELF18" s="64"/>
      <c r="ELG18" s="64"/>
      <c r="ELH18" s="64"/>
      <c r="ELI18" s="64"/>
      <c r="ELJ18" s="64"/>
      <c r="ELK18" s="64"/>
      <c r="ELL18" s="64"/>
      <c r="ELM18" s="64"/>
      <c r="ELN18" s="64"/>
      <c r="ELO18" s="64"/>
      <c r="ELP18" s="64"/>
      <c r="ELQ18" s="64"/>
      <c r="ELR18" s="64"/>
      <c r="ELS18" s="64"/>
      <c r="ELT18" s="64"/>
      <c r="ELU18" s="64"/>
      <c r="ELV18" s="64"/>
      <c r="ELW18" s="64"/>
      <c r="ELX18" s="64"/>
      <c r="ELY18" s="64"/>
      <c r="ELZ18" s="64"/>
      <c r="EMA18" s="64"/>
      <c r="EMB18" s="64"/>
      <c r="EMC18" s="64"/>
      <c r="EMD18" s="64"/>
      <c r="EME18" s="64"/>
      <c r="EMF18" s="64"/>
      <c r="EMG18" s="64"/>
      <c r="EMH18" s="64"/>
      <c r="EMI18" s="64"/>
      <c r="EMJ18" s="64"/>
      <c r="EMK18" s="64"/>
      <c r="EML18" s="64"/>
      <c r="EMM18" s="64"/>
      <c r="EMN18" s="64"/>
      <c r="EMO18" s="64"/>
      <c r="EMP18" s="64"/>
      <c r="EMQ18" s="64"/>
      <c r="EMR18" s="64"/>
      <c r="EMS18" s="64"/>
      <c r="EMT18" s="64"/>
      <c r="EMU18" s="64"/>
      <c r="EMV18" s="64"/>
      <c r="EMW18" s="64"/>
      <c r="EMX18" s="64"/>
      <c r="EMY18" s="64"/>
      <c r="EMZ18" s="64"/>
      <c r="ENA18" s="64"/>
      <c r="ENB18" s="64"/>
      <c r="ENC18" s="64"/>
      <c r="END18" s="64"/>
      <c r="ENE18" s="64"/>
      <c r="ENF18" s="64"/>
      <c r="ENG18" s="64"/>
      <c r="ENH18" s="64"/>
      <c r="ENI18" s="64"/>
      <c r="ENJ18" s="64"/>
      <c r="ENK18" s="64"/>
      <c r="ENL18" s="64"/>
      <c r="ENM18" s="64"/>
      <c r="ENN18" s="64"/>
      <c r="ENO18" s="64"/>
      <c r="ENP18" s="64"/>
      <c r="ENQ18" s="64"/>
      <c r="ENR18" s="64"/>
      <c r="ENS18" s="64"/>
      <c r="ENT18" s="64"/>
      <c r="ENU18" s="64"/>
      <c r="ENV18" s="64"/>
      <c r="ENW18" s="64"/>
      <c r="ENX18" s="64"/>
      <c r="ENY18" s="64"/>
      <c r="ENZ18" s="64"/>
      <c r="EOA18" s="64"/>
      <c r="EOB18" s="64"/>
      <c r="EOC18" s="64"/>
      <c r="EOD18" s="64"/>
      <c r="EOE18" s="64"/>
      <c r="EOF18" s="64"/>
      <c r="EOG18" s="64"/>
      <c r="EOH18" s="64"/>
      <c r="EOI18" s="64"/>
      <c r="EOJ18" s="64"/>
      <c r="EOK18" s="64"/>
      <c r="EOL18" s="64"/>
      <c r="EOM18" s="64"/>
      <c r="EON18" s="64"/>
      <c r="EOO18" s="64"/>
      <c r="EOP18" s="64"/>
      <c r="EOQ18" s="64"/>
      <c r="EOR18" s="64"/>
      <c r="EOS18" s="64"/>
      <c r="EOT18" s="64"/>
      <c r="EOU18" s="64"/>
      <c r="EOV18" s="64"/>
      <c r="EOW18" s="64"/>
      <c r="EOX18" s="64"/>
      <c r="EOY18" s="64"/>
      <c r="EOZ18" s="64"/>
      <c r="EPA18" s="64"/>
      <c r="EPB18" s="64"/>
      <c r="EPC18" s="64"/>
      <c r="EPD18" s="64"/>
      <c r="EPE18" s="64"/>
      <c r="EPF18" s="64"/>
      <c r="EPG18" s="64"/>
      <c r="EPH18" s="64"/>
      <c r="EPI18" s="64"/>
      <c r="EPJ18" s="64"/>
      <c r="EPK18" s="64"/>
      <c r="EPL18" s="64"/>
      <c r="EPM18" s="64"/>
      <c r="EPN18" s="64"/>
      <c r="EPO18" s="64"/>
      <c r="EPP18" s="64"/>
      <c r="EPQ18" s="64"/>
      <c r="EPR18" s="64"/>
      <c r="EPS18" s="64"/>
      <c r="EPT18" s="64"/>
      <c r="EPU18" s="64"/>
      <c r="EPV18" s="64"/>
      <c r="EPW18" s="64"/>
      <c r="EPX18" s="64"/>
      <c r="EPY18" s="64"/>
      <c r="EPZ18" s="64"/>
      <c r="EQA18" s="64"/>
      <c r="EQB18" s="64"/>
      <c r="EQC18" s="64"/>
      <c r="EQD18" s="64"/>
      <c r="EQE18" s="64"/>
      <c r="EQF18" s="64"/>
      <c r="EQG18" s="64"/>
      <c r="EQH18" s="64"/>
      <c r="EQI18" s="64"/>
      <c r="EQJ18" s="64"/>
      <c r="EQK18" s="64"/>
      <c r="EQL18" s="64"/>
      <c r="EQM18" s="64"/>
      <c r="EQN18" s="64"/>
      <c r="EQO18" s="64"/>
      <c r="EQP18" s="64"/>
      <c r="EQQ18" s="64"/>
      <c r="EQR18" s="64"/>
      <c r="EQS18" s="64"/>
      <c r="EQT18" s="64"/>
      <c r="EQU18" s="64"/>
      <c r="EQV18" s="64"/>
      <c r="EQW18" s="64"/>
      <c r="EQX18" s="64"/>
      <c r="EQY18" s="64"/>
      <c r="EQZ18" s="64"/>
      <c r="ERA18" s="64"/>
      <c r="ERB18" s="64"/>
      <c r="ERC18" s="64"/>
      <c r="ERD18" s="64"/>
      <c r="ERE18" s="64"/>
      <c r="ERF18" s="64"/>
      <c r="ERG18" s="64"/>
      <c r="ERH18" s="64"/>
      <c r="ERI18" s="64"/>
      <c r="ERJ18" s="64"/>
      <c r="ERK18" s="64"/>
      <c r="ERL18" s="64"/>
      <c r="ERM18" s="64"/>
      <c r="ERN18" s="64"/>
      <c r="ERO18" s="64"/>
      <c r="ERP18" s="64"/>
      <c r="ERQ18" s="64"/>
      <c r="ERR18" s="64"/>
      <c r="ERS18" s="64"/>
      <c r="ERT18" s="64"/>
      <c r="ERU18" s="64"/>
      <c r="ERV18" s="64"/>
      <c r="ERW18" s="64"/>
      <c r="ERX18" s="64"/>
      <c r="ERY18" s="64"/>
      <c r="ERZ18" s="64"/>
      <c r="ESA18" s="64"/>
      <c r="ESB18" s="64"/>
      <c r="ESC18" s="64"/>
      <c r="ESD18" s="64"/>
      <c r="ESE18" s="64"/>
      <c r="ESF18" s="64"/>
      <c r="ESG18" s="64"/>
      <c r="ESH18" s="64"/>
      <c r="ESI18" s="64"/>
      <c r="ESJ18" s="64"/>
      <c r="ESK18" s="64"/>
      <c r="ESL18" s="64"/>
      <c r="ESM18" s="64"/>
      <c r="ESN18" s="64"/>
      <c r="ESO18" s="64"/>
      <c r="ESP18" s="64"/>
      <c r="ESQ18" s="64"/>
      <c r="ESR18" s="64"/>
      <c r="ESS18" s="64"/>
      <c r="EST18" s="64"/>
      <c r="ESU18" s="64"/>
      <c r="ESV18" s="64"/>
      <c r="ESW18" s="64"/>
      <c r="ESX18" s="64"/>
      <c r="ESY18" s="64"/>
      <c r="ESZ18" s="64"/>
      <c r="ETA18" s="64"/>
      <c r="ETB18" s="64"/>
      <c r="ETC18" s="64"/>
      <c r="ETD18" s="64"/>
      <c r="ETE18" s="64"/>
      <c r="ETF18" s="64"/>
      <c r="ETG18" s="64"/>
      <c r="ETH18" s="64"/>
      <c r="ETI18" s="64"/>
      <c r="ETJ18" s="64"/>
      <c r="ETK18" s="64"/>
      <c r="ETL18" s="64"/>
      <c r="ETM18" s="64"/>
      <c r="ETN18" s="64"/>
      <c r="ETO18" s="64"/>
      <c r="ETP18" s="64"/>
      <c r="ETQ18" s="64"/>
      <c r="ETR18" s="64"/>
      <c r="ETS18" s="64"/>
      <c r="ETT18" s="64"/>
      <c r="ETU18" s="64"/>
      <c r="ETV18" s="64"/>
      <c r="ETW18" s="64"/>
      <c r="ETX18" s="64"/>
      <c r="ETY18" s="64"/>
      <c r="ETZ18" s="64"/>
      <c r="EUA18" s="64"/>
      <c r="EUB18" s="64"/>
      <c r="EUC18" s="64"/>
      <c r="EUD18" s="64"/>
      <c r="EUE18" s="64"/>
      <c r="EUF18" s="64"/>
      <c r="EUG18" s="64"/>
      <c r="EUH18" s="64"/>
      <c r="EUI18" s="64"/>
      <c r="EUJ18" s="64"/>
      <c r="EUK18" s="64"/>
      <c r="EUL18" s="64"/>
      <c r="EUM18" s="64"/>
      <c r="EUN18" s="64"/>
      <c r="EUO18" s="64"/>
      <c r="EUP18" s="64"/>
      <c r="EUQ18" s="64"/>
      <c r="EUR18" s="64"/>
      <c r="EUS18" s="64"/>
      <c r="EUT18" s="64"/>
      <c r="EUU18" s="64"/>
      <c r="EUV18" s="64"/>
      <c r="EUW18" s="64"/>
      <c r="EUX18" s="64"/>
      <c r="EUY18" s="64"/>
      <c r="EUZ18" s="64"/>
      <c r="EVA18" s="64"/>
      <c r="EVB18" s="64"/>
      <c r="EVC18" s="64"/>
      <c r="EVD18" s="64"/>
      <c r="EVE18" s="64"/>
      <c r="EVF18" s="64"/>
      <c r="EVG18" s="64"/>
      <c r="EVH18" s="64"/>
      <c r="EVI18" s="64"/>
      <c r="EVJ18" s="64"/>
      <c r="EVK18" s="64"/>
      <c r="EVL18" s="64"/>
      <c r="EVM18" s="64"/>
      <c r="EVN18" s="64"/>
      <c r="EVO18" s="64"/>
      <c r="EVP18" s="64"/>
      <c r="EVQ18" s="64"/>
      <c r="EVR18" s="64"/>
      <c r="EVS18" s="64"/>
      <c r="EVT18" s="64"/>
      <c r="EVU18" s="64"/>
      <c r="EVV18" s="64"/>
      <c r="EVW18" s="64"/>
      <c r="EVX18" s="64"/>
      <c r="EVY18" s="64"/>
      <c r="EVZ18" s="64"/>
      <c r="EWA18" s="64"/>
      <c r="EWB18" s="64"/>
      <c r="EWC18" s="64"/>
      <c r="EWD18" s="64"/>
      <c r="EWE18" s="64"/>
      <c r="EWF18" s="64"/>
      <c r="EWG18" s="64"/>
      <c r="EWH18" s="64"/>
      <c r="EWI18" s="64"/>
      <c r="EWJ18" s="64"/>
      <c r="EWK18" s="64"/>
      <c r="EWL18" s="64"/>
      <c r="EWM18" s="64"/>
      <c r="EWN18" s="64"/>
      <c r="EWO18" s="64"/>
      <c r="EWP18" s="64"/>
      <c r="EWQ18" s="64"/>
      <c r="EWR18" s="64"/>
      <c r="EWS18" s="64"/>
      <c r="EWT18" s="64"/>
      <c r="EWU18" s="64"/>
      <c r="EWV18" s="64"/>
      <c r="EWW18" s="64"/>
      <c r="EWX18" s="64"/>
      <c r="EWY18" s="64"/>
      <c r="EWZ18" s="64"/>
      <c r="EXA18" s="64"/>
      <c r="EXB18" s="64"/>
      <c r="EXC18" s="64"/>
      <c r="EXD18" s="64"/>
      <c r="EXE18" s="64"/>
      <c r="EXF18" s="64"/>
      <c r="EXG18" s="64"/>
      <c r="EXH18" s="64"/>
      <c r="EXI18" s="64"/>
      <c r="EXJ18" s="64"/>
      <c r="EXK18" s="64"/>
      <c r="EXL18" s="64"/>
      <c r="EXM18" s="64"/>
      <c r="EXN18" s="64"/>
      <c r="EXO18" s="64"/>
      <c r="EXP18" s="64"/>
      <c r="EXQ18" s="64"/>
      <c r="EXR18" s="64"/>
      <c r="EXS18" s="64"/>
      <c r="EXT18" s="64"/>
      <c r="EXU18" s="64"/>
      <c r="EXV18" s="64"/>
      <c r="EXW18" s="64"/>
      <c r="EXX18" s="64"/>
      <c r="EXY18" s="64"/>
      <c r="EXZ18" s="64"/>
      <c r="EYA18" s="64"/>
      <c r="EYB18" s="64"/>
      <c r="EYC18" s="64"/>
      <c r="EYD18" s="64"/>
      <c r="EYE18" s="64"/>
      <c r="EYF18" s="64"/>
      <c r="EYG18" s="64"/>
      <c r="EYH18" s="64"/>
      <c r="EYI18" s="64"/>
      <c r="EYJ18" s="64"/>
      <c r="EYK18" s="64"/>
      <c r="EYL18" s="64"/>
      <c r="EYM18" s="64"/>
      <c r="EYN18" s="64"/>
      <c r="EYO18" s="64"/>
      <c r="EYP18" s="64"/>
      <c r="EYQ18" s="64"/>
      <c r="EYR18" s="64"/>
      <c r="EYS18" s="64"/>
      <c r="EYT18" s="64"/>
      <c r="EYU18" s="64"/>
      <c r="EYV18" s="64"/>
      <c r="EYW18" s="64"/>
      <c r="EYX18" s="64"/>
      <c r="EYY18" s="64"/>
      <c r="EYZ18" s="64"/>
      <c r="EZA18" s="64"/>
      <c r="EZB18" s="64"/>
      <c r="EZC18" s="64"/>
      <c r="EZD18" s="64"/>
      <c r="EZE18" s="64"/>
      <c r="EZF18" s="64"/>
      <c r="EZG18" s="64"/>
      <c r="EZH18" s="64"/>
      <c r="EZI18" s="64"/>
      <c r="EZJ18" s="64"/>
      <c r="EZK18" s="64"/>
      <c r="EZL18" s="64"/>
      <c r="EZM18" s="64"/>
      <c r="EZN18" s="64"/>
      <c r="EZO18" s="64"/>
      <c r="EZP18" s="64"/>
      <c r="EZQ18" s="64"/>
      <c r="EZR18" s="64"/>
      <c r="EZS18" s="64"/>
      <c r="EZT18" s="64"/>
      <c r="EZU18" s="64"/>
      <c r="EZV18" s="64"/>
      <c r="EZW18" s="64"/>
      <c r="EZX18" s="64"/>
      <c r="EZY18" s="64"/>
      <c r="EZZ18" s="64"/>
      <c r="FAA18" s="64"/>
      <c r="FAB18" s="64"/>
      <c r="FAC18" s="64"/>
      <c r="FAD18" s="64"/>
      <c r="FAE18" s="64"/>
      <c r="FAF18" s="64"/>
      <c r="FAG18" s="64"/>
      <c r="FAH18" s="64"/>
      <c r="FAI18" s="64"/>
      <c r="FAJ18" s="64"/>
      <c r="FAK18" s="64"/>
      <c r="FAL18" s="64"/>
      <c r="FAM18" s="64"/>
      <c r="FAN18" s="64"/>
      <c r="FAO18" s="64"/>
      <c r="FAP18" s="64"/>
      <c r="FAQ18" s="64"/>
      <c r="FAR18" s="64"/>
      <c r="FAS18" s="64"/>
      <c r="FAT18" s="64"/>
      <c r="FAU18" s="64"/>
      <c r="FAV18" s="64"/>
      <c r="FAW18" s="64"/>
      <c r="FAX18" s="64"/>
      <c r="FAY18" s="64"/>
      <c r="FAZ18" s="64"/>
      <c r="FBA18" s="64"/>
      <c r="FBB18" s="64"/>
      <c r="FBC18" s="64"/>
      <c r="FBD18" s="64"/>
      <c r="FBE18" s="64"/>
      <c r="FBF18" s="64"/>
      <c r="FBG18" s="64"/>
      <c r="FBH18" s="64"/>
      <c r="FBI18" s="64"/>
      <c r="FBJ18" s="64"/>
      <c r="FBK18" s="64"/>
      <c r="FBL18" s="64"/>
      <c r="FBM18" s="64"/>
      <c r="FBN18" s="64"/>
      <c r="FBO18" s="64"/>
      <c r="FBP18" s="64"/>
      <c r="FBQ18" s="64"/>
      <c r="FBR18" s="64"/>
      <c r="FBS18" s="64"/>
      <c r="FBT18" s="64"/>
      <c r="FBU18" s="64"/>
      <c r="FBV18" s="64"/>
      <c r="FBW18" s="64"/>
      <c r="FBX18" s="64"/>
      <c r="FBY18" s="64"/>
      <c r="FBZ18" s="64"/>
      <c r="FCA18" s="64"/>
      <c r="FCB18" s="64"/>
      <c r="FCC18" s="64"/>
      <c r="FCD18" s="64"/>
      <c r="FCE18" s="64"/>
      <c r="FCF18" s="64"/>
      <c r="FCG18" s="64"/>
      <c r="FCH18" s="64"/>
      <c r="FCI18" s="64"/>
      <c r="FCJ18" s="64"/>
      <c r="FCK18" s="64"/>
      <c r="FCL18" s="64"/>
      <c r="FCM18" s="64"/>
      <c r="FCN18" s="64"/>
      <c r="FCO18" s="64"/>
      <c r="FCP18" s="64"/>
      <c r="FCQ18" s="64"/>
      <c r="FCR18" s="64"/>
      <c r="FCS18" s="64"/>
      <c r="FCT18" s="64"/>
      <c r="FCU18" s="64"/>
      <c r="FCV18" s="64"/>
      <c r="FCW18" s="64"/>
      <c r="FCX18" s="64"/>
      <c r="FCY18" s="64"/>
      <c r="FCZ18" s="64"/>
      <c r="FDA18" s="64"/>
      <c r="FDB18" s="64"/>
      <c r="FDC18" s="64"/>
      <c r="FDD18" s="64"/>
      <c r="FDE18" s="64"/>
      <c r="FDF18" s="64"/>
      <c r="FDG18" s="64"/>
      <c r="FDH18" s="64"/>
      <c r="FDI18" s="64"/>
      <c r="FDJ18" s="64"/>
      <c r="FDK18" s="64"/>
      <c r="FDL18" s="64"/>
      <c r="FDM18" s="64"/>
      <c r="FDN18" s="64"/>
      <c r="FDO18" s="64"/>
      <c r="FDP18" s="64"/>
      <c r="FDQ18" s="64"/>
      <c r="FDR18" s="64"/>
      <c r="FDS18" s="64"/>
      <c r="FDT18" s="64"/>
      <c r="FDU18" s="64"/>
      <c r="FDV18" s="64"/>
      <c r="FDW18" s="64"/>
      <c r="FDX18" s="64"/>
      <c r="FDY18" s="64"/>
      <c r="FDZ18" s="64"/>
      <c r="FEA18" s="64"/>
      <c r="FEB18" s="64"/>
      <c r="FEC18" s="64"/>
      <c r="FED18" s="64"/>
      <c r="FEE18" s="64"/>
      <c r="FEF18" s="64"/>
      <c r="FEG18" s="64"/>
      <c r="FEH18" s="64"/>
      <c r="FEI18" s="64"/>
      <c r="FEJ18" s="64"/>
      <c r="FEK18" s="64"/>
      <c r="FEL18" s="64"/>
      <c r="FEM18" s="64"/>
      <c r="FEN18" s="64"/>
      <c r="FEO18" s="64"/>
      <c r="FEP18" s="64"/>
      <c r="FEQ18" s="64"/>
      <c r="FER18" s="64"/>
      <c r="FES18" s="64"/>
      <c r="FET18" s="64"/>
      <c r="FEU18" s="64"/>
      <c r="FEV18" s="64"/>
      <c r="FEW18" s="64"/>
      <c r="FEX18" s="64"/>
      <c r="FEY18" s="64"/>
      <c r="FEZ18" s="64"/>
      <c r="FFA18" s="64"/>
      <c r="FFB18" s="64"/>
      <c r="FFC18" s="64"/>
      <c r="FFD18" s="64"/>
      <c r="FFE18" s="64"/>
      <c r="FFF18" s="64"/>
      <c r="FFG18" s="64"/>
      <c r="FFH18" s="64"/>
      <c r="FFI18" s="64"/>
      <c r="FFJ18" s="64"/>
      <c r="FFK18" s="64"/>
      <c r="FFL18" s="64"/>
      <c r="FFM18" s="64"/>
      <c r="FFN18" s="64"/>
      <c r="FFO18" s="64"/>
      <c r="FFP18" s="64"/>
      <c r="FFQ18" s="64"/>
      <c r="FFR18" s="64"/>
      <c r="FFS18" s="64"/>
      <c r="FFT18" s="64"/>
      <c r="FFU18" s="64"/>
      <c r="FFV18" s="64"/>
      <c r="FFW18" s="64"/>
      <c r="FFX18" s="64"/>
      <c r="FFY18" s="64"/>
      <c r="FFZ18" s="64"/>
      <c r="FGA18" s="64"/>
      <c r="FGB18" s="64"/>
      <c r="FGC18" s="64"/>
      <c r="FGD18" s="64"/>
      <c r="FGE18" s="64"/>
      <c r="FGF18" s="64"/>
      <c r="FGG18" s="64"/>
      <c r="FGH18" s="64"/>
      <c r="FGI18" s="64"/>
      <c r="FGJ18" s="64"/>
      <c r="FGK18" s="64"/>
      <c r="FGL18" s="64"/>
      <c r="FGM18" s="64"/>
      <c r="FGN18" s="64"/>
      <c r="FGO18" s="64"/>
      <c r="FGP18" s="64"/>
      <c r="FGQ18" s="64"/>
      <c r="FGR18" s="64"/>
      <c r="FGS18" s="64"/>
      <c r="FGT18" s="64"/>
      <c r="FGU18" s="64"/>
      <c r="FGV18" s="64"/>
      <c r="FGW18" s="64"/>
      <c r="FGX18" s="64"/>
      <c r="FGY18" s="64"/>
      <c r="FGZ18" s="64"/>
      <c r="FHA18" s="64"/>
      <c r="FHB18" s="64"/>
      <c r="FHC18" s="64"/>
      <c r="FHD18" s="64"/>
      <c r="FHE18" s="64"/>
      <c r="FHF18" s="64"/>
      <c r="FHG18" s="64"/>
      <c r="FHH18" s="64"/>
      <c r="FHI18" s="64"/>
      <c r="FHJ18" s="64"/>
      <c r="FHK18" s="64"/>
      <c r="FHL18" s="64"/>
      <c r="FHM18" s="64"/>
      <c r="FHN18" s="64"/>
      <c r="FHO18" s="64"/>
      <c r="FHP18" s="64"/>
      <c r="FHQ18" s="64"/>
      <c r="FHR18" s="64"/>
      <c r="FHS18" s="64"/>
      <c r="FHT18" s="64"/>
      <c r="FHU18" s="64"/>
      <c r="FHV18" s="64"/>
      <c r="FHW18" s="64"/>
      <c r="FHX18" s="64"/>
      <c r="FHY18" s="64"/>
      <c r="FHZ18" s="64"/>
      <c r="FIA18" s="64"/>
      <c r="FIB18" s="64"/>
      <c r="FIC18" s="64"/>
      <c r="FID18" s="64"/>
      <c r="FIE18" s="64"/>
      <c r="FIF18" s="64"/>
      <c r="FIG18" s="64"/>
      <c r="FIH18" s="64"/>
      <c r="FII18" s="64"/>
      <c r="FIJ18" s="64"/>
      <c r="FIK18" s="64"/>
      <c r="FIL18" s="64"/>
      <c r="FIM18" s="64"/>
      <c r="FIN18" s="64"/>
      <c r="FIO18" s="64"/>
      <c r="FIP18" s="64"/>
      <c r="FIQ18" s="64"/>
      <c r="FIR18" s="64"/>
      <c r="FIS18" s="64"/>
      <c r="FIT18" s="64"/>
      <c r="FIU18" s="64"/>
      <c r="FIV18" s="64"/>
      <c r="FIW18" s="64"/>
      <c r="FIX18" s="64"/>
      <c r="FIY18" s="64"/>
      <c r="FIZ18" s="64"/>
      <c r="FJA18" s="64"/>
      <c r="FJB18" s="64"/>
      <c r="FJC18" s="64"/>
      <c r="FJD18" s="64"/>
      <c r="FJE18" s="64"/>
      <c r="FJF18" s="64"/>
      <c r="FJG18" s="64"/>
      <c r="FJH18" s="64"/>
      <c r="FJI18" s="64"/>
      <c r="FJJ18" s="64"/>
      <c r="FJK18" s="64"/>
      <c r="FJL18" s="64"/>
      <c r="FJM18" s="64"/>
      <c r="FJN18" s="64"/>
      <c r="FJO18" s="64"/>
      <c r="FJP18" s="64"/>
      <c r="FJQ18" s="64"/>
      <c r="FJR18" s="64"/>
      <c r="FJS18" s="64"/>
      <c r="FJT18" s="64"/>
      <c r="FJU18" s="64"/>
      <c r="FJV18" s="64"/>
      <c r="FJW18" s="64"/>
      <c r="FJX18" s="64"/>
      <c r="FJY18" s="64"/>
      <c r="FJZ18" s="64"/>
      <c r="FKA18" s="64"/>
      <c r="FKB18" s="64"/>
      <c r="FKC18" s="64"/>
      <c r="FKD18" s="64"/>
      <c r="FKE18" s="64"/>
      <c r="FKF18" s="64"/>
      <c r="FKG18" s="64"/>
      <c r="FKH18" s="64"/>
      <c r="FKI18" s="64"/>
      <c r="FKJ18" s="64"/>
      <c r="FKK18" s="64"/>
      <c r="FKL18" s="64"/>
      <c r="FKM18" s="64"/>
      <c r="FKN18" s="64"/>
      <c r="FKO18" s="64"/>
      <c r="FKP18" s="64"/>
      <c r="FKQ18" s="64"/>
      <c r="FKR18" s="64"/>
      <c r="FKS18" s="64"/>
      <c r="FKT18" s="64"/>
      <c r="FKU18" s="64"/>
      <c r="FKV18" s="64"/>
      <c r="FKW18" s="64"/>
      <c r="FKX18" s="64"/>
      <c r="FKY18" s="64"/>
      <c r="FKZ18" s="64"/>
      <c r="FLA18" s="64"/>
      <c r="FLB18" s="64"/>
      <c r="FLC18" s="64"/>
      <c r="FLD18" s="64"/>
      <c r="FLE18" s="64"/>
      <c r="FLF18" s="64"/>
      <c r="FLG18" s="64"/>
      <c r="FLH18" s="64"/>
      <c r="FLI18" s="64"/>
      <c r="FLJ18" s="64"/>
      <c r="FLK18" s="64"/>
      <c r="FLL18" s="64"/>
      <c r="FLM18" s="64"/>
      <c r="FLN18" s="64"/>
      <c r="FLO18" s="64"/>
      <c r="FLP18" s="64"/>
      <c r="FLQ18" s="64"/>
      <c r="FLR18" s="64"/>
      <c r="FLS18" s="64"/>
      <c r="FLT18" s="64"/>
      <c r="FLU18" s="64"/>
      <c r="FLV18" s="64"/>
      <c r="FLW18" s="64"/>
      <c r="FLX18" s="64"/>
      <c r="FLY18" s="64"/>
      <c r="FLZ18" s="64"/>
      <c r="FMA18" s="64"/>
      <c r="FMB18" s="64"/>
      <c r="FMC18" s="64"/>
      <c r="FMD18" s="64"/>
      <c r="FME18" s="64"/>
      <c r="FMF18" s="64"/>
      <c r="FMG18" s="64"/>
      <c r="FMH18" s="64"/>
      <c r="FMI18" s="64"/>
      <c r="FMJ18" s="64"/>
      <c r="FMK18" s="64"/>
      <c r="FML18" s="64"/>
      <c r="FMM18" s="64"/>
      <c r="FMN18" s="64"/>
      <c r="FMO18" s="64"/>
      <c r="FMP18" s="64"/>
      <c r="FMQ18" s="64"/>
      <c r="FMR18" s="64"/>
      <c r="FMS18" s="64"/>
      <c r="FMT18" s="64"/>
      <c r="FMU18" s="64"/>
      <c r="FMV18" s="64"/>
      <c r="FMW18" s="64"/>
      <c r="FMX18" s="64"/>
      <c r="FMY18" s="64"/>
      <c r="FMZ18" s="64"/>
      <c r="FNA18" s="64"/>
      <c r="FNB18" s="64"/>
      <c r="FNC18" s="64"/>
      <c r="FND18" s="64"/>
      <c r="FNE18" s="64"/>
      <c r="FNF18" s="64"/>
      <c r="FNG18" s="64"/>
      <c r="FNH18" s="64"/>
      <c r="FNI18" s="64"/>
      <c r="FNJ18" s="64"/>
      <c r="FNK18" s="64"/>
      <c r="FNL18" s="64"/>
      <c r="FNM18" s="64"/>
      <c r="FNN18" s="64"/>
      <c r="FNO18" s="64"/>
      <c r="FNP18" s="64"/>
      <c r="FNQ18" s="64"/>
      <c r="FNR18" s="64"/>
      <c r="FNS18" s="64"/>
      <c r="FNT18" s="64"/>
      <c r="FNU18" s="64"/>
      <c r="FNV18" s="64"/>
      <c r="FNW18" s="64"/>
      <c r="FNX18" s="64"/>
      <c r="FNY18" s="64"/>
      <c r="FNZ18" s="64"/>
      <c r="FOA18" s="64"/>
      <c r="FOB18" s="64"/>
      <c r="FOC18" s="64"/>
      <c r="FOD18" s="64"/>
      <c r="FOE18" s="64"/>
      <c r="FOF18" s="64"/>
      <c r="FOG18" s="64"/>
      <c r="FOH18" s="64"/>
      <c r="FOI18" s="64"/>
      <c r="FOJ18" s="64"/>
      <c r="FOK18" s="64"/>
      <c r="FOL18" s="64"/>
      <c r="FOM18" s="64"/>
      <c r="FON18" s="64"/>
      <c r="FOO18" s="64"/>
      <c r="FOP18" s="64"/>
      <c r="FOQ18" s="64"/>
      <c r="FOR18" s="64"/>
      <c r="FOS18" s="64"/>
      <c r="FOT18" s="64"/>
      <c r="FOU18" s="64"/>
      <c r="FOV18" s="64"/>
      <c r="FOW18" s="64"/>
      <c r="FOX18" s="64"/>
      <c r="FOY18" s="64"/>
      <c r="FOZ18" s="64"/>
      <c r="FPA18" s="64"/>
      <c r="FPB18" s="64"/>
      <c r="FPC18" s="64"/>
      <c r="FPD18" s="64"/>
      <c r="FPE18" s="64"/>
      <c r="FPF18" s="64"/>
      <c r="FPG18" s="64"/>
      <c r="FPH18" s="64"/>
      <c r="FPI18" s="64"/>
      <c r="FPJ18" s="64"/>
      <c r="FPK18" s="64"/>
      <c r="FPL18" s="64"/>
      <c r="FPM18" s="64"/>
      <c r="FPN18" s="64"/>
      <c r="FPO18" s="64"/>
      <c r="FPP18" s="64"/>
      <c r="FPQ18" s="64"/>
      <c r="FPR18" s="64"/>
      <c r="FPS18" s="64"/>
      <c r="FPT18" s="64"/>
      <c r="FPU18" s="64"/>
      <c r="FPV18" s="64"/>
      <c r="FPW18" s="64"/>
      <c r="FPX18" s="64"/>
      <c r="FPY18" s="64"/>
      <c r="FPZ18" s="64"/>
      <c r="FQA18" s="64"/>
      <c r="FQB18" s="64"/>
      <c r="FQC18" s="64"/>
      <c r="FQD18" s="64"/>
      <c r="FQE18" s="64"/>
      <c r="FQF18" s="64"/>
      <c r="FQG18" s="64"/>
      <c r="FQH18" s="64"/>
      <c r="FQI18" s="64"/>
      <c r="FQJ18" s="64"/>
      <c r="FQK18" s="64"/>
      <c r="FQL18" s="64"/>
      <c r="FQM18" s="64"/>
      <c r="FQN18" s="64"/>
      <c r="FQO18" s="64"/>
      <c r="FQP18" s="64"/>
      <c r="FQQ18" s="64"/>
      <c r="FQR18" s="64"/>
      <c r="FQS18" s="64"/>
      <c r="FQT18" s="64"/>
      <c r="FQU18" s="64"/>
      <c r="FQV18" s="64"/>
      <c r="FQW18" s="64"/>
      <c r="FQX18" s="64"/>
      <c r="FQY18" s="64"/>
      <c r="FQZ18" s="64"/>
      <c r="FRA18" s="64"/>
      <c r="FRB18" s="64"/>
      <c r="FRC18" s="64"/>
      <c r="FRD18" s="64"/>
      <c r="FRE18" s="64"/>
      <c r="FRF18" s="64"/>
      <c r="FRG18" s="64"/>
      <c r="FRH18" s="64"/>
      <c r="FRI18" s="64"/>
      <c r="FRJ18" s="64"/>
      <c r="FRK18" s="64"/>
      <c r="FRL18" s="64"/>
      <c r="FRM18" s="64"/>
      <c r="FRN18" s="64"/>
      <c r="FRO18" s="64"/>
      <c r="FRP18" s="64"/>
      <c r="FRQ18" s="64"/>
      <c r="FRR18" s="64"/>
      <c r="FRS18" s="64"/>
      <c r="FRT18" s="64"/>
      <c r="FRU18" s="64"/>
      <c r="FRV18" s="64"/>
      <c r="FRW18" s="64"/>
      <c r="FRX18" s="64"/>
      <c r="FRY18" s="64"/>
      <c r="FRZ18" s="64"/>
      <c r="FSA18" s="64"/>
      <c r="FSB18" s="64"/>
      <c r="FSC18" s="64"/>
      <c r="FSD18" s="64"/>
      <c r="FSE18" s="64"/>
      <c r="FSF18" s="64"/>
      <c r="FSG18" s="64"/>
      <c r="FSH18" s="64"/>
      <c r="FSI18" s="64"/>
      <c r="FSJ18" s="64"/>
      <c r="FSK18" s="64"/>
      <c r="FSL18" s="64"/>
      <c r="FSM18" s="64"/>
      <c r="FSN18" s="64"/>
      <c r="FSO18" s="64"/>
      <c r="FSP18" s="64"/>
      <c r="FSQ18" s="64"/>
      <c r="FSR18" s="64"/>
      <c r="FSS18" s="64"/>
      <c r="FST18" s="64"/>
      <c r="FSU18" s="64"/>
      <c r="FSV18" s="64"/>
      <c r="FSW18" s="64"/>
      <c r="FSX18" s="64"/>
      <c r="FSY18" s="64"/>
      <c r="FSZ18" s="64"/>
      <c r="FTA18" s="64"/>
      <c r="FTB18" s="64"/>
      <c r="FTC18" s="64"/>
      <c r="FTD18" s="64"/>
      <c r="FTE18" s="64"/>
      <c r="FTF18" s="64"/>
      <c r="FTG18" s="64"/>
      <c r="FTH18" s="64"/>
      <c r="FTI18" s="64"/>
      <c r="FTJ18" s="64"/>
      <c r="FTK18" s="64"/>
      <c r="FTL18" s="64"/>
      <c r="FTM18" s="64"/>
      <c r="FTN18" s="64"/>
      <c r="FTO18" s="64"/>
      <c r="FTP18" s="64"/>
      <c r="FTQ18" s="64"/>
      <c r="FTR18" s="64"/>
      <c r="FTS18" s="64"/>
      <c r="FTT18" s="64"/>
      <c r="FTU18" s="64"/>
      <c r="FTV18" s="64"/>
      <c r="FTW18" s="64"/>
      <c r="FTX18" s="64"/>
      <c r="FTY18" s="64"/>
      <c r="FTZ18" s="64"/>
      <c r="FUA18" s="64"/>
      <c r="FUB18" s="64"/>
      <c r="FUC18" s="64"/>
      <c r="FUD18" s="64"/>
      <c r="FUE18" s="64"/>
      <c r="FUF18" s="64"/>
      <c r="FUG18" s="64"/>
      <c r="FUH18" s="64"/>
      <c r="FUI18" s="64"/>
      <c r="FUJ18" s="64"/>
      <c r="FUK18" s="64"/>
      <c r="FUL18" s="64"/>
      <c r="FUM18" s="64"/>
      <c r="FUN18" s="64"/>
      <c r="FUO18" s="64"/>
      <c r="FUP18" s="64"/>
      <c r="FUQ18" s="64"/>
      <c r="FUR18" s="64"/>
      <c r="FUS18" s="64"/>
      <c r="FUT18" s="64"/>
      <c r="FUU18" s="64"/>
      <c r="FUV18" s="64"/>
      <c r="FUW18" s="64"/>
      <c r="FUX18" s="64"/>
      <c r="FUY18" s="64"/>
      <c r="FUZ18" s="64"/>
      <c r="FVA18" s="64"/>
      <c r="FVB18" s="64"/>
      <c r="FVC18" s="64"/>
      <c r="FVD18" s="64"/>
      <c r="FVE18" s="64"/>
      <c r="FVF18" s="64"/>
      <c r="FVG18" s="64"/>
      <c r="FVH18" s="64"/>
      <c r="FVI18" s="64"/>
      <c r="FVJ18" s="64"/>
      <c r="FVK18" s="64"/>
      <c r="FVL18" s="64"/>
      <c r="FVM18" s="64"/>
      <c r="FVN18" s="64"/>
      <c r="FVO18" s="64"/>
      <c r="FVP18" s="64"/>
      <c r="FVQ18" s="64"/>
      <c r="FVR18" s="64"/>
      <c r="FVS18" s="64"/>
      <c r="FVT18" s="64"/>
      <c r="FVU18" s="64"/>
      <c r="FVV18" s="64"/>
      <c r="FVW18" s="64"/>
      <c r="FVX18" s="64"/>
      <c r="FVY18" s="64"/>
      <c r="FVZ18" s="64"/>
      <c r="FWA18" s="64"/>
      <c r="FWB18" s="64"/>
      <c r="FWC18" s="64"/>
      <c r="FWD18" s="64"/>
      <c r="FWE18" s="64"/>
      <c r="FWF18" s="64"/>
      <c r="FWG18" s="64"/>
      <c r="FWH18" s="64"/>
      <c r="FWI18" s="64"/>
      <c r="FWJ18" s="64"/>
      <c r="FWK18" s="64"/>
      <c r="FWL18" s="64"/>
      <c r="FWM18" s="64"/>
      <c r="FWN18" s="64"/>
      <c r="FWO18" s="64"/>
      <c r="FWP18" s="64"/>
      <c r="FWQ18" s="64"/>
      <c r="FWR18" s="64"/>
      <c r="FWS18" s="64"/>
      <c r="FWT18" s="64"/>
      <c r="FWU18" s="64"/>
      <c r="FWV18" s="64"/>
      <c r="FWW18" s="64"/>
      <c r="FWX18" s="64"/>
      <c r="FWY18" s="64"/>
      <c r="FWZ18" s="64"/>
      <c r="FXA18" s="64"/>
      <c r="FXB18" s="64"/>
      <c r="FXC18" s="64"/>
      <c r="FXD18" s="64"/>
      <c r="FXE18" s="64"/>
      <c r="FXF18" s="64"/>
      <c r="FXG18" s="64"/>
      <c r="FXH18" s="64"/>
      <c r="FXI18" s="64"/>
      <c r="FXJ18" s="64"/>
      <c r="FXK18" s="64"/>
      <c r="FXL18" s="64"/>
      <c r="FXM18" s="64"/>
      <c r="FXN18" s="64"/>
      <c r="FXO18" s="64"/>
      <c r="FXP18" s="64"/>
      <c r="FXQ18" s="64"/>
      <c r="FXR18" s="64"/>
      <c r="FXS18" s="64"/>
      <c r="FXT18" s="64"/>
      <c r="FXU18" s="64"/>
      <c r="FXV18" s="64"/>
      <c r="FXW18" s="64"/>
      <c r="FXX18" s="64"/>
      <c r="FXY18" s="64"/>
      <c r="FXZ18" s="64"/>
      <c r="FYA18" s="64"/>
      <c r="FYB18" s="64"/>
      <c r="FYC18" s="64"/>
      <c r="FYD18" s="64"/>
      <c r="FYE18" s="64"/>
      <c r="FYF18" s="64"/>
      <c r="FYG18" s="64"/>
      <c r="FYH18" s="64"/>
      <c r="FYI18" s="64"/>
      <c r="FYJ18" s="64"/>
      <c r="FYK18" s="64"/>
      <c r="FYL18" s="64"/>
      <c r="FYM18" s="64"/>
      <c r="FYN18" s="64"/>
      <c r="FYO18" s="64"/>
      <c r="FYP18" s="64"/>
      <c r="FYQ18" s="64"/>
      <c r="FYR18" s="64"/>
      <c r="FYS18" s="64"/>
      <c r="FYT18" s="64"/>
      <c r="FYU18" s="64"/>
      <c r="FYV18" s="64"/>
      <c r="FYW18" s="64"/>
      <c r="FYX18" s="64"/>
      <c r="FYY18" s="64"/>
      <c r="FYZ18" s="64"/>
      <c r="FZA18" s="64"/>
      <c r="FZB18" s="64"/>
      <c r="FZC18" s="64"/>
      <c r="FZD18" s="64"/>
      <c r="FZE18" s="64"/>
      <c r="FZF18" s="64"/>
      <c r="FZG18" s="64"/>
      <c r="FZH18" s="64"/>
      <c r="FZI18" s="64"/>
      <c r="FZJ18" s="64"/>
      <c r="FZK18" s="64"/>
      <c r="FZL18" s="64"/>
      <c r="FZM18" s="64"/>
      <c r="FZN18" s="64"/>
      <c r="FZO18" s="64"/>
      <c r="FZP18" s="64"/>
      <c r="FZQ18" s="64"/>
      <c r="FZR18" s="64"/>
      <c r="FZS18" s="64"/>
      <c r="FZT18" s="64"/>
      <c r="FZU18" s="64"/>
      <c r="FZV18" s="64"/>
      <c r="FZW18" s="64"/>
      <c r="FZX18" s="64"/>
      <c r="FZY18" s="64"/>
      <c r="FZZ18" s="64"/>
      <c r="GAA18" s="64"/>
      <c r="GAB18" s="64"/>
      <c r="GAC18" s="64"/>
      <c r="GAD18" s="64"/>
      <c r="GAE18" s="64"/>
      <c r="GAF18" s="64"/>
      <c r="GAG18" s="64"/>
      <c r="GAH18" s="64"/>
      <c r="GAI18" s="64"/>
      <c r="GAJ18" s="64"/>
      <c r="GAK18" s="64"/>
      <c r="GAL18" s="64"/>
      <c r="GAM18" s="64"/>
      <c r="GAN18" s="64"/>
      <c r="GAO18" s="64"/>
      <c r="GAP18" s="64"/>
      <c r="GAQ18" s="64"/>
      <c r="GAR18" s="64"/>
      <c r="GAS18" s="64"/>
      <c r="GAT18" s="64"/>
      <c r="GAU18" s="64"/>
      <c r="GAV18" s="64"/>
      <c r="GAW18" s="64"/>
      <c r="GAX18" s="64"/>
      <c r="GAY18" s="64"/>
      <c r="GAZ18" s="64"/>
      <c r="GBA18" s="64"/>
      <c r="GBB18" s="64"/>
      <c r="GBC18" s="64"/>
      <c r="GBD18" s="64"/>
      <c r="GBE18" s="64"/>
      <c r="GBF18" s="64"/>
      <c r="GBG18" s="64"/>
      <c r="GBH18" s="64"/>
      <c r="GBI18" s="64"/>
      <c r="GBJ18" s="64"/>
      <c r="GBK18" s="64"/>
      <c r="GBL18" s="64"/>
      <c r="GBM18" s="64"/>
      <c r="GBN18" s="64"/>
      <c r="GBO18" s="64"/>
      <c r="GBP18" s="64"/>
      <c r="GBQ18" s="64"/>
      <c r="GBR18" s="64"/>
      <c r="GBS18" s="64"/>
      <c r="GBT18" s="64"/>
      <c r="GBU18" s="64"/>
      <c r="GBV18" s="64"/>
      <c r="GBW18" s="64"/>
      <c r="GBX18" s="64"/>
      <c r="GBY18" s="64"/>
      <c r="GBZ18" s="64"/>
      <c r="GCA18" s="64"/>
      <c r="GCB18" s="64"/>
      <c r="GCC18" s="64"/>
      <c r="GCD18" s="64"/>
      <c r="GCE18" s="64"/>
      <c r="GCF18" s="64"/>
      <c r="GCG18" s="64"/>
      <c r="GCH18" s="64"/>
      <c r="GCI18" s="64"/>
      <c r="GCJ18" s="64"/>
      <c r="GCK18" s="64"/>
      <c r="GCL18" s="64"/>
      <c r="GCM18" s="64"/>
      <c r="GCN18" s="64"/>
      <c r="GCO18" s="64"/>
      <c r="GCP18" s="64"/>
      <c r="GCQ18" s="64"/>
      <c r="GCR18" s="64"/>
      <c r="GCS18" s="64"/>
      <c r="GCT18" s="64"/>
      <c r="GCU18" s="64"/>
      <c r="GCV18" s="64"/>
      <c r="GCW18" s="64"/>
      <c r="GCX18" s="64"/>
      <c r="GCY18" s="64"/>
      <c r="GCZ18" s="64"/>
      <c r="GDA18" s="64"/>
      <c r="GDB18" s="64"/>
      <c r="GDC18" s="64"/>
      <c r="GDD18" s="64"/>
      <c r="GDE18" s="64"/>
      <c r="GDF18" s="64"/>
      <c r="GDG18" s="64"/>
      <c r="GDH18" s="64"/>
      <c r="GDI18" s="64"/>
      <c r="GDJ18" s="64"/>
      <c r="GDK18" s="64"/>
      <c r="GDL18" s="64"/>
      <c r="GDM18" s="64"/>
      <c r="GDN18" s="64"/>
      <c r="GDO18" s="64"/>
      <c r="GDP18" s="64"/>
      <c r="GDQ18" s="64"/>
      <c r="GDR18" s="64"/>
      <c r="GDS18" s="64"/>
      <c r="GDT18" s="64"/>
      <c r="GDU18" s="64"/>
      <c r="GDV18" s="64"/>
      <c r="GDW18" s="64"/>
      <c r="GDX18" s="64"/>
      <c r="GDY18" s="64"/>
      <c r="GDZ18" s="64"/>
      <c r="GEA18" s="64"/>
      <c r="GEB18" s="64"/>
      <c r="GEC18" s="64"/>
      <c r="GED18" s="64"/>
      <c r="GEE18" s="64"/>
      <c r="GEF18" s="64"/>
      <c r="GEG18" s="64"/>
      <c r="GEH18" s="64"/>
      <c r="GEI18" s="64"/>
      <c r="GEJ18" s="64"/>
      <c r="GEK18" s="64"/>
      <c r="GEL18" s="64"/>
      <c r="GEM18" s="64"/>
      <c r="GEN18" s="64"/>
      <c r="GEO18" s="64"/>
      <c r="GEP18" s="64"/>
      <c r="GEQ18" s="64"/>
      <c r="GER18" s="64"/>
      <c r="GES18" s="64"/>
      <c r="GET18" s="64"/>
      <c r="GEU18" s="64"/>
      <c r="GEV18" s="64"/>
      <c r="GEW18" s="64"/>
      <c r="GEX18" s="64"/>
      <c r="GEY18" s="64"/>
      <c r="GEZ18" s="64"/>
      <c r="GFA18" s="64"/>
      <c r="GFB18" s="64"/>
      <c r="GFC18" s="64"/>
      <c r="GFD18" s="64"/>
      <c r="GFE18" s="64"/>
      <c r="GFF18" s="64"/>
      <c r="GFG18" s="64"/>
      <c r="GFH18" s="64"/>
      <c r="GFI18" s="64"/>
      <c r="GFJ18" s="64"/>
      <c r="GFK18" s="64"/>
      <c r="GFL18" s="64"/>
      <c r="GFM18" s="64"/>
      <c r="GFN18" s="64"/>
      <c r="GFO18" s="64"/>
      <c r="GFP18" s="64"/>
      <c r="GFQ18" s="64"/>
      <c r="GFR18" s="64"/>
      <c r="GFS18" s="64"/>
      <c r="GFT18" s="64"/>
      <c r="GFU18" s="64"/>
      <c r="GFV18" s="64"/>
      <c r="GFW18" s="64"/>
      <c r="GFX18" s="64"/>
      <c r="GFY18" s="64"/>
      <c r="GFZ18" s="64"/>
      <c r="GGA18" s="64"/>
      <c r="GGB18" s="64"/>
      <c r="GGC18" s="64"/>
      <c r="GGD18" s="64"/>
      <c r="GGE18" s="64"/>
      <c r="GGF18" s="64"/>
      <c r="GGG18" s="64"/>
      <c r="GGH18" s="64"/>
      <c r="GGI18" s="64"/>
      <c r="GGJ18" s="64"/>
      <c r="GGK18" s="64"/>
      <c r="GGL18" s="64"/>
      <c r="GGM18" s="64"/>
      <c r="GGN18" s="64"/>
      <c r="GGO18" s="64"/>
      <c r="GGP18" s="64"/>
      <c r="GGQ18" s="64"/>
      <c r="GGR18" s="64"/>
      <c r="GGS18" s="64"/>
      <c r="GGT18" s="64"/>
      <c r="GGU18" s="64"/>
      <c r="GGV18" s="64"/>
      <c r="GGW18" s="64"/>
      <c r="GGX18" s="64"/>
      <c r="GGY18" s="64"/>
      <c r="GGZ18" s="64"/>
      <c r="GHA18" s="64"/>
      <c r="GHB18" s="64"/>
      <c r="GHC18" s="64"/>
      <c r="GHD18" s="64"/>
      <c r="GHE18" s="64"/>
      <c r="GHF18" s="64"/>
      <c r="GHG18" s="64"/>
      <c r="GHH18" s="64"/>
      <c r="GHI18" s="64"/>
      <c r="GHJ18" s="64"/>
      <c r="GHK18" s="64"/>
      <c r="GHL18" s="64"/>
      <c r="GHM18" s="64"/>
      <c r="GHN18" s="64"/>
      <c r="GHO18" s="64"/>
      <c r="GHP18" s="64"/>
      <c r="GHQ18" s="64"/>
      <c r="GHR18" s="64"/>
      <c r="GHS18" s="64"/>
      <c r="GHT18" s="64"/>
      <c r="GHU18" s="64"/>
      <c r="GHV18" s="64"/>
      <c r="GHW18" s="64"/>
      <c r="GHX18" s="64"/>
      <c r="GHY18" s="64"/>
      <c r="GHZ18" s="64"/>
      <c r="GIA18" s="64"/>
      <c r="GIB18" s="64"/>
      <c r="GIC18" s="64"/>
      <c r="GID18" s="64"/>
      <c r="GIE18" s="64"/>
      <c r="GIF18" s="64"/>
      <c r="GIG18" s="64"/>
      <c r="GIH18" s="64"/>
      <c r="GII18" s="64"/>
      <c r="GIJ18" s="64"/>
      <c r="GIK18" s="64"/>
      <c r="GIL18" s="64"/>
      <c r="GIM18" s="64"/>
      <c r="GIN18" s="64"/>
      <c r="GIO18" s="64"/>
      <c r="GIP18" s="64"/>
      <c r="GIQ18" s="64"/>
      <c r="GIR18" s="64"/>
      <c r="GIS18" s="64"/>
      <c r="GIT18" s="64"/>
      <c r="GIU18" s="64"/>
      <c r="GIV18" s="64"/>
      <c r="GIW18" s="64"/>
      <c r="GIX18" s="64"/>
      <c r="GIY18" s="64"/>
      <c r="GIZ18" s="64"/>
      <c r="GJA18" s="64"/>
      <c r="GJB18" s="64"/>
      <c r="GJC18" s="64"/>
      <c r="GJD18" s="64"/>
      <c r="GJE18" s="64"/>
      <c r="GJF18" s="64"/>
      <c r="GJG18" s="64"/>
      <c r="GJH18" s="64"/>
      <c r="GJI18" s="64"/>
      <c r="GJJ18" s="64"/>
      <c r="GJK18" s="64"/>
      <c r="GJL18" s="64"/>
      <c r="GJM18" s="64"/>
      <c r="GJN18" s="64"/>
      <c r="GJO18" s="64"/>
      <c r="GJP18" s="64"/>
      <c r="GJQ18" s="64"/>
      <c r="GJR18" s="64"/>
      <c r="GJS18" s="64"/>
      <c r="GJT18" s="64"/>
      <c r="GJU18" s="64"/>
      <c r="GJV18" s="64"/>
      <c r="GJW18" s="64"/>
      <c r="GJX18" s="64"/>
      <c r="GJY18" s="64"/>
      <c r="GJZ18" s="64"/>
      <c r="GKA18" s="64"/>
      <c r="GKB18" s="64"/>
      <c r="GKC18" s="64"/>
      <c r="GKD18" s="64"/>
      <c r="GKE18" s="64"/>
      <c r="GKF18" s="64"/>
      <c r="GKG18" s="64"/>
      <c r="GKH18" s="64"/>
      <c r="GKI18" s="64"/>
      <c r="GKJ18" s="64"/>
      <c r="GKK18" s="64"/>
      <c r="GKL18" s="64"/>
      <c r="GKM18" s="64"/>
      <c r="GKN18" s="64"/>
      <c r="GKO18" s="64"/>
      <c r="GKP18" s="64"/>
      <c r="GKQ18" s="64"/>
      <c r="GKR18" s="64"/>
      <c r="GKS18" s="64"/>
      <c r="GKT18" s="64"/>
      <c r="GKU18" s="64"/>
      <c r="GKV18" s="64"/>
      <c r="GKW18" s="64"/>
      <c r="GKX18" s="64"/>
      <c r="GKY18" s="64"/>
      <c r="GKZ18" s="64"/>
      <c r="GLA18" s="64"/>
      <c r="GLB18" s="64"/>
      <c r="GLC18" s="64"/>
      <c r="GLD18" s="64"/>
      <c r="GLE18" s="64"/>
      <c r="GLF18" s="64"/>
      <c r="GLG18" s="64"/>
      <c r="GLH18" s="64"/>
      <c r="GLI18" s="64"/>
      <c r="GLJ18" s="64"/>
      <c r="GLK18" s="64"/>
      <c r="GLL18" s="64"/>
      <c r="GLM18" s="64"/>
      <c r="GLN18" s="64"/>
      <c r="GLO18" s="64"/>
      <c r="GLP18" s="64"/>
      <c r="GLQ18" s="64"/>
      <c r="GLR18" s="64"/>
      <c r="GLS18" s="64"/>
      <c r="GLT18" s="64"/>
      <c r="GLU18" s="64"/>
      <c r="GLV18" s="64"/>
      <c r="GLW18" s="64"/>
      <c r="GLX18" s="64"/>
      <c r="GLY18" s="64"/>
      <c r="GLZ18" s="64"/>
      <c r="GMA18" s="64"/>
      <c r="GMB18" s="64"/>
      <c r="GMC18" s="64"/>
      <c r="GMD18" s="64"/>
      <c r="GME18" s="64"/>
      <c r="GMF18" s="64"/>
      <c r="GMG18" s="64"/>
      <c r="GMH18" s="64"/>
      <c r="GMI18" s="64"/>
      <c r="GMJ18" s="64"/>
      <c r="GMK18" s="64"/>
      <c r="GML18" s="64"/>
      <c r="GMM18" s="64"/>
      <c r="GMN18" s="64"/>
      <c r="GMO18" s="64"/>
      <c r="GMP18" s="64"/>
      <c r="GMQ18" s="64"/>
      <c r="GMR18" s="64"/>
      <c r="GMS18" s="64"/>
      <c r="GMT18" s="64"/>
      <c r="GMU18" s="64"/>
      <c r="GMV18" s="64"/>
      <c r="GMW18" s="64"/>
      <c r="GMX18" s="64"/>
      <c r="GMY18" s="64"/>
      <c r="GMZ18" s="64"/>
      <c r="GNA18" s="64"/>
      <c r="GNB18" s="64"/>
      <c r="GNC18" s="64"/>
      <c r="GND18" s="64"/>
      <c r="GNE18" s="64"/>
      <c r="GNF18" s="64"/>
      <c r="GNG18" s="64"/>
      <c r="GNH18" s="64"/>
      <c r="GNI18" s="64"/>
      <c r="GNJ18" s="64"/>
      <c r="GNK18" s="64"/>
      <c r="GNL18" s="64"/>
      <c r="GNM18" s="64"/>
      <c r="GNN18" s="64"/>
      <c r="GNO18" s="64"/>
      <c r="GNP18" s="64"/>
      <c r="GNQ18" s="64"/>
      <c r="GNR18" s="64"/>
      <c r="GNS18" s="64"/>
      <c r="GNT18" s="64"/>
      <c r="GNU18" s="64"/>
      <c r="GNV18" s="64"/>
      <c r="GNW18" s="64"/>
      <c r="GNX18" s="64"/>
      <c r="GNY18" s="64"/>
      <c r="GNZ18" s="64"/>
      <c r="GOA18" s="64"/>
      <c r="GOB18" s="64"/>
      <c r="GOC18" s="64"/>
      <c r="GOD18" s="64"/>
      <c r="GOE18" s="64"/>
      <c r="GOF18" s="64"/>
      <c r="GOG18" s="64"/>
      <c r="GOH18" s="64"/>
      <c r="GOI18" s="64"/>
      <c r="GOJ18" s="64"/>
      <c r="GOK18" s="64"/>
      <c r="GOL18" s="64"/>
      <c r="GOM18" s="64"/>
      <c r="GON18" s="64"/>
      <c r="GOO18" s="64"/>
      <c r="GOP18" s="64"/>
      <c r="GOQ18" s="64"/>
      <c r="GOR18" s="64"/>
      <c r="GOS18" s="64"/>
      <c r="GOT18" s="64"/>
      <c r="GOU18" s="64"/>
      <c r="GOV18" s="64"/>
      <c r="GOW18" s="64"/>
      <c r="GOX18" s="64"/>
      <c r="GOY18" s="64"/>
      <c r="GOZ18" s="64"/>
      <c r="GPA18" s="64"/>
      <c r="GPB18" s="64"/>
      <c r="GPC18" s="64"/>
      <c r="GPD18" s="64"/>
      <c r="GPE18" s="64"/>
      <c r="GPF18" s="64"/>
      <c r="GPG18" s="64"/>
      <c r="GPH18" s="64"/>
      <c r="GPI18" s="64"/>
      <c r="GPJ18" s="64"/>
      <c r="GPK18" s="64"/>
      <c r="GPL18" s="64"/>
      <c r="GPM18" s="64"/>
      <c r="GPN18" s="64"/>
      <c r="GPO18" s="64"/>
      <c r="GPP18" s="64"/>
      <c r="GPQ18" s="64"/>
      <c r="GPR18" s="64"/>
      <c r="GPS18" s="64"/>
      <c r="GPT18" s="64"/>
      <c r="GPU18" s="64"/>
      <c r="GPV18" s="64"/>
      <c r="GPW18" s="64"/>
      <c r="GPX18" s="64"/>
      <c r="GPY18" s="64"/>
      <c r="GPZ18" s="64"/>
      <c r="GQA18" s="64"/>
      <c r="GQB18" s="64"/>
      <c r="GQC18" s="64"/>
      <c r="GQD18" s="64"/>
      <c r="GQE18" s="64"/>
      <c r="GQF18" s="64"/>
      <c r="GQG18" s="64"/>
      <c r="GQH18" s="64"/>
      <c r="GQI18" s="64"/>
      <c r="GQJ18" s="64"/>
      <c r="GQK18" s="64"/>
      <c r="GQL18" s="64"/>
      <c r="GQM18" s="64"/>
      <c r="GQN18" s="64"/>
      <c r="GQO18" s="64"/>
      <c r="GQP18" s="64"/>
      <c r="GQQ18" s="64"/>
      <c r="GQR18" s="64"/>
      <c r="GQS18" s="64"/>
      <c r="GQT18" s="64"/>
      <c r="GQU18" s="64"/>
      <c r="GQV18" s="64"/>
      <c r="GQW18" s="64"/>
      <c r="GQX18" s="64"/>
      <c r="GQY18" s="64"/>
      <c r="GQZ18" s="64"/>
      <c r="GRA18" s="64"/>
      <c r="GRB18" s="64"/>
      <c r="GRC18" s="64"/>
      <c r="GRD18" s="64"/>
      <c r="GRE18" s="64"/>
      <c r="GRF18" s="64"/>
      <c r="GRG18" s="64"/>
      <c r="GRH18" s="64"/>
      <c r="GRI18" s="64"/>
      <c r="GRJ18" s="64"/>
      <c r="GRK18" s="64"/>
      <c r="GRL18" s="64"/>
      <c r="GRM18" s="64"/>
      <c r="GRN18" s="64"/>
      <c r="GRO18" s="64"/>
      <c r="GRP18" s="64"/>
      <c r="GRQ18" s="64"/>
      <c r="GRR18" s="64"/>
      <c r="GRS18" s="64"/>
      <c r="GRT18" s="64"/>
      <c r="GRU18" s="64"/>
      <c r="GRV18" s="64"/>
      <c r="GRW18" s="64"/>
      <c r="GRX18" s="64"/>
      <c r="GRY18" s="64"/>
      <c r="GRZ18" s="64"/>
      <c r="GSA18" s="64"/>
      <c r="GSB18" s="64"/>
      <c r="GSC18" s="64"/>
      <c r="GSD18" s="64"/>
      <c r="GSE18" s="64"/>
      <c r="GSF18" s="64"/>
      <c r="GSG18" s="64"/>
      <c r="GSH18" s="64"/>
      <c r="GSI18" s="64"/>
      <c r="GSJ18" s="64"/>
      <c r="GSK18" s="64"/>
      <c r="GSL18" s="64"/>
      <c r="GSM18" s="64"/>
      <c r="GSN18" s="64"/>
      <c r="GSO18" s="64"/>
      <c r="GSP18" s="64"/>
      <c r="GSQ18" s="64"/>
      <c r="GSR18" s="64"/>
      <c r="GSS18" s="64"/>
      <c r="GST18" s="64"/>
      <c r="GSU18" s="64"/>
      <c r="GSV18" s="64"/>
      <c r="GSW18" s="64"/>
      <c r="GSX18" s="64"/>
      <c r="GSY18" s="64"/>
      <c r="GSZ18" s="64"/>
      <c r="GTA18" s="64"/>
      <c r="GTB18" s="64"/>
      <c r="GTC18" s="64"/>
      <c r="GTD18" s="64"/>
      <c r="GTE18" s="64"/>
      <c r="GTF18" s="64"/>
      <c r="GTG18" s="64"/>
      <c r="GTH18" s="64"/>
      <c r="GTI18" s="64"/>
      <c r="GTJ18" s="64"/>
      <c r="GTK18" s="64"/>
      <c r="GTL18" s="64"/>
      <c r="GTM18" s="64"/>
      <c r="GTN18" s="64"/>
      <c r="GTO18" s="64"/>
      <c r="GTP18" s="64"/>
      <c r="GTQ18" s="64"/>
      <c r="GTR18" s="64"/>
      <c r="GTS18" s="64"/>
      <c r="GTT18" s="64"/>
      <c r="GTU18" s="64"/>
      <c r="GTV18" s="64"/>
      <c r="GTW18" s="64"/>
      <c r="GTX18" s="64"/>
      <c r="GTY18" s="64"/>
      <c r="GTZ18" s="64"/>
      <c r="GUA18" s="64"/>
      <c r="GUB18" s="64"/>
      <c r="GUC18" s="64"/>
      <c r="GUD18" s="64"/>
      <c r="GUE18" s="64"/>
      <c r="GUF18" s="64"/>
      <c r="GUG18" s="64"/>
      <c r="GUH18" s="64"/>
      <c r="GUI18" s="64"/>
      <c r="GUJ18" s="64"/>
      <c r="GUK18" s="64"/>
      <c r="GUL18" s="64"/>
      <c r="GUM18" s="64"/>
      <c r="GUN18" s="64"/>
      <c r="GUO18" s="64"/>
      <c r="GUP18" s="64"/>
      <c r="GUQ18" s="64"/>
      <c r="GUR18" s="64"/>
      <c r="GUS18" s="64"/>
      <c r="GUT18" s="64"/>
      <c r="GUU18" s="64"/>
      <c r="GUV18" s="64"/>
      <c r="GUW18" s="64"/>
      <c r="GUX18" s="64"/>
      <c r="GUY18" s="64"/>
      <c r="GUZ18" s="64"/>
      <c r="GVA18" s="64"/>
      <c r="GVB18" s="64"/>
      <c r="GVC18" s="64"/>
      <c r="GVD18" s="64"/>
      <c r="GVE18" s="64"/>
      <c r="GVF18" s="64"/>
      <c r="GVG18" s="64"/>
      <c r="GVH18" s="64"/>
      <c r="GVI18" s="64"/>
      <c r="GVJ18" s="64"/>
      <c r="GVK18" s="64"/>
      <c r="GVL18" s="64"/>
      <c r="GVM18" s="64"/>
      <c r="GVN18" s="64"/>
      <c r="GVO18" s="64"/>
      <c r="GVP18" s="64"/>
      <c r="GVQ18" s="64"/>
      <c r="GVR18" s="64"/>
      <c r="GVS18" s="64"/>
      <c r="GVT18" s="64"/>
      <c r="GVU18" s="64"/>
      <c r="GVV18" s="64"/>
      <c r="GVW18" s="64"/>
      <c r="GVX18" s="64"/>
      <c r="GVY18" s="64"/>
      <c r="GVZ18" s="64"/>
      <c r="GWA18" s="64"/>
      <c r="GWB18" s="64"/>
      <c r="GWC18" s="64"/>
      <c r="GWD18" s="64"/>
      <c r="GWE18" s="64"/>
      <c r="GWF18" s="64"/>
      <c r="GWG18" s="64"/>
      <c r="GWH18" s="64"/>
      <c r="GWI18" s="64"/>
      <c r="GWJ18" s="64"/>
      <c r="GWK18" s="64"/>
      <c r="GWL18" s="64"/>
      <c r="GWM18" s="64"/>
      <c r="GWN18" s="64"/>
      <c r="GWO18" s="64"/>
      <c r="GWP18" s="64"/>
      <c r="GWQ18" s="64"/>
      <c r="GWR18" s="64"/>
      <c r="GWS18" s="64"/>
      <c r="GWT18" s="64"/>
      <c r="GWU18" s="64"/>
      <c r="GWV18" s="64"/>
      <c r="GWW18" s="64"/>
      <c r="GWX18" s="64"/>
      <c r="GWY18" s="64"/>
      <c r="GWZ18" s="64"/>
      <c r="GXA18" s="64"/>
      <c r="GXB18" s="64"/>
      <c r="GXC18" s="64"/>
      <c r="GXD18" s="64"/>
      <c r="GXE18" s="64"/>
      <c r="GXF18" s="64"/>
      <c r="GXG18" s="64"/>
      <c r="GXH18" s="64"/>
      <c r="GXI18" s="64"/>
      <c r="GXJ18" s="64"/>
      <c r="GXK18" s="64"/>
      <c r="GXL18" s="64"/>
      <c r="GXM18" s="64"/>
      <c r="GXN18" s="64"/>
      <c r="GXO18" s="64"/>
      <c r="GXP18" s="64"/>
      <c r="GXQ18" s="64"/>
      <c r="GXR18" s="64"/>
      <c r="GXS18" s="64"/>
      <c r="GXT18" s="64"/>
      <c r="GXU18" s="64"/>
      <c r="GXV18" s="64"/>
      <c r="GXW18" s="64"/>
      <c r="GXX18" s="64"/>
      <c r="GXY18" s="64"/>
      <c r="GXZ18" s="64"/>
      <c r="GYA18" s="64"/>
      <c r="GYB18" s="64"/>
      <c r="GYC18" s="64"/>
      <c r="GYD18" s="64"/>
      <c r="GYE18" s="64"/>
      <c r="GYF18" s="64"/>
      <c r="GYG18" s="64"/>
      <c r="GYH18" s="64"/>
      <c r="GYI18" s="64"/>
      <c r="GYJ18" s="64"/>
      <c r="GYK18" s="64"/>
      <c r="GYL18" s="64"/>
      <c r="GYM18" s="64"/>
      <c r="GYN18" s="64"/>
      <c r="GYO18" s="64"/>
      <c r="GYP18" s="64"/>
      <c r="GYQ18" s="64"/>
      <c r="GYR18" s="64"/>
      <c r="GYS18" s="64"/>
      <c r="GYT18" s="64"/>
      <c r="GYU18" s="64"/>
      <c r="GYV18" s="64"/>
      <c r="GYW18" s="64"/>
      <c r="GYX18" s="64"/>
      <c r="GYY18" s="64"/>
      <c r="GYZ18" s="64"/>
      <c r="GZA18" s="64"/>
      <c r="GZB18" s="64"/>
      <c r="GZC18" s="64"/>
      <c r="GZD18" s="64"/>
      <c r="GZE18" s="64"/>
      <c r="GZF18" s="64"/>
      <c r="GZG18" s="64"/>
      <c r="GZH18" s="64"/>
      <c r="GZI18" s="64"/>
      <c r="GZJ18" s="64"/>
      <c r="GZK18" s="64"/>
      <c r="GZL18" s="64"/>
      <c r="GZM18" s="64"/>
      <c r="GZN18" s="64"/>
      <c r="GZO18" s="64"/>
      <c r="GZP18" s="64"/>
      <c r="GZQ18" s="64"/>
      <c r="GZR18" s="64"/>
      <c r="GZS18" s="64"/>
      <c r="GZT18" s="64"/>
      <c r="GZU18" s="64"/>
      <c r="GZV18" s="64"/>
      <c r="GZW18" s="64"/>
      <c r="GZX18" s="64"/>
      <c r="GZY18" s="64"/>
      <c r="GZZ18" s="64"/>
      <c r="HAA18" s="64"/>
      <c r="HAB18" s="64"/>
      <c r="HAC18" s="64"/>
      <c r="HAD18" s="64"/>
      <c r="HAE18" s="64"/>
      <c r="HAF18" s="64"/>
      <c r="HAG18" s="64"/>
      <c r="HAH18" s="64"/>
      <c r="HAI18" s="64"/>
      <c r="HAJ18" s="64"/>
      <c r="HAK18" s="64"/>
      <c r="HAL18" s="64"/>
      <c r="HAM18" s="64"/>
      <c r="HAN18" s="64"/>
      <c r="HAO18" s="64"/>
      <c r="HAP18" s="64"/>
      <c r="HAQ18" s="64"/>
      <c r="HAR18" s="64"/>
      <c r="HAS18" s="64"/>
      <c r="HAT18" s="64"/>
      <c r="HAU18" s="64"/>
      <c r="HAV18" s="64"/>
      <c r="HAW18" s="64"/>
      <c r="HAX18" s="64"/>
      <c r="HAY18" s="64"/>
      <c r="HAZ18" s="64"/>
      <c r="HBA18" s="64"/>
      <c r="HBB18" s="64"/>
      <c r="HBC18" s="64"/>
      <c r="HBD18" s="64"/>
      <c r="HBE18" s="64"/>
      <c r="HBF18" s="64"/>
      <c r="HBG18" s="64"/>
      <c r="HBH18" s="64"/>
      <c r="HBI18" s="64"/>
      <c r="HBJ18" s="64"/>
      <c r="HBK18" s="64"/>
      <c r="HBL18" s="64"/>
      <c r="HBM18" s="64"/>
      <c r="HBN18" s="64"/>
      <c r="HBO18" s="64"/>
      <c r="HBP18" s="64"/>
      <c r="HBQ18" s="64"/>
      <c r="HBR18" s="64"/>
      <c r="HBS18" s="64"/>
      <c r="HBT18" s="64"/>
      <c r="HBU18" s="64"/>
      <c r="HBV18" s="64"/>
      <c r="HBW18" s="64"/>
      <c r="HBX18" s="64"/>
      <c r="HBY18" s="64"/>
      <c r="HBZ18" s="64"/>
      <c r="HCA18" s="64"/>
      <c r="HCB18" s="64"/>
      <c r="HCC18" s="64"/>
      <c r="HCD18" s="64"/>
      <c r="HCE18" s="64"/>
      <c r="HCF18" s="64"/>
      <c r="HCG18" s="64"/>
      <c r="HCH18" s="64"/>
      <c r="HCI18" s="64"/>
      <c r="HCJ18" s="64"/>
      <c r="HCK18" s="64"/>
      <c r="HCL18" s="64"/>
      <c r="HCM18" s="64"/>
      <c r="HCN18" s="64"/>
      <c r="HCO18" s="64"/>
      <c r="HCP18" s="64"/>
      <c r="HCQ18" s="64"/>
      <c r="HCR18" s="64"/>
      <c r="HCS18" s="64"/>
      <c r="HCT18" s="64"/>
      <c r="HCU18" s="64"/>
      <c r="HCV18" s="64"/>
      <c r="HCW18" s="64"/>
      <c r="HCX18" s="64"/>
      <c r="HCY18" s="64"/>
      <c r="HCZ18" s="64"/>
      <c r="HDA18" s="64"/>
      <c r="HDB18" s="64"/>
      <c r="HDC18" s="64"/>
      <c r="HDD18" s="64"/>
      <c r="HDE18" s="64"/>
      <c r="HDF18" s="64"/>
      <c r="HDG18" s="64"/>
      <c r="HDH18" s="64"/>
      <c r="HDI18" s="64"/>
      <c r="HDJ18" s="64"/>
      <c r="HDK18" s="64"/>
      <c r="HDL18" s="64"/>
      <c r="HDM18" s="64"/>
      <c r="HDN18" s="64"/>
      <c r="HDO18" s="64"/>
      <c r="HDP18" s="64"/>
      <c r="HDQ18" s="64"/>
      <c r="HDR18" s="64"/>
      <c r="HDS18" s="64"/>
      <c r="HDT18" s="64"/>
      <c r="HDU18" s="64"/>
      <c r="HDV18" s="64"/>
      <c r="HDW18" s="64"/>
      <c r="HDX18" s="64"/>
      <c r="HDY18" s="64"/>
      <c r="HDZ18" s="64"/>
      <c r="HEA18" s="64"/>
      <c r="HEB18" s="64"/>
      <c r="HEC18" s="64"/>
      <c r="HED18" s="64"/>
      <c r="HEE18" s="64"/>
      <c r="HEF18" s="64"/>
      <c r="HEG18" s="64"/>
      <c r="HEH18" s="64"/>
      <c r="HEI18" s="64"/>
      <c r="HEJ18" s="64"/>
      <c r="HEK18" s="64"/>
      <c r="HEL18" s="64"/>
      <c r="HEM18" s="64"/>
      <c r="HEN18" s="64"/>
      <c r="HEO18" s="64"/>
      <c r="HEP18" s="64"/>
      <c r="HEQ18" s="64"/>
      <c r="HER18" s="64"/>
      <c r="HES18" s="64"/>
      <c r="HET18" s="64"/>
      <c r="HEU18" s="64"/>
      <c r="HEV18" s="64"/>
      <c r="HEW18" s="64"/>
      <c r="HEX18" s="64"/>
      <c r="HEY18" s="64"/>
      <c r="HEZ18" s="64"/>
      <c r="HFA18" s="64"/>
      <c r="HFB18" s="64"/>
      <c r="HFC18" s="64"/>
      <c r="HFD18" s="64"/>
      <c r="HFE18" s="64"/>
      <c r="HFF18" s="64"/>
      <c r="HFG18" s="64"/>
      <c r="HFH18" s="64"/>
      <c r="HFI18" s="64"/>
      <c r="HFJ18" s="64"/>
      <c r="HFK18" s="64"/>
      <c r="HFL18" s="64"/>
      <c r="HFM18" s="64"/>
      <c r="HFN18" s="64"/>
      <c r="HFO18" s="64"/>
      <c r="HFP18" s="64"/>
      <c r="HFQ18" s="64"/>
      <c r="HFR18" s="64"/>
      <c r="HFS18" s="64"/>
      <c r="HFT18" s="64"/>
      <c r="HFU18" s="64"/>
      <c r="HFV18" s="64"/>
      <c r="HFW18" s="64"/>
      <c r="HFX18" s="64"/>
      <c r="HFY18" s="64"/>
      <c r="HFZ18" s="64"/>
      <c r="HGA18" s="64"/>
      <c r="HGB18" s="64"/>
      <c r="HGC18" s="64"/>
      <c r="HGD18" s="64"/>
      <c r="HGE18" s="64"/>
      <c r="HGF18" s="64"/>
      <c r="HGG18" s="64"/>
      <c r="HGH18" s="64"/>
      <c r="HGI18" s="64"/>
      <c r="HGJ18" s="64"/>
      <c r="HGK18" s="64"/>
      <c r="HGL18" s="64"/>
      <c r="HGM18" s="64"/>
      <c r="HGN18" s="64"/>
      <c r="HGO18" s="64"/>
      <c r="HGP18" s="64"/>
      <c r="HGQ18" s="64"/>
      <c r="HGR18" s="64"/>
      <c r="HGS18" s="64"/>
      <c r="HGT18" s="64"/>
      <c r="HGU18" s="64"/>
      <c r="HGV18" s="64"/>
      <c r="HGW18" s="64"/>
      <c r="HGX18" s="64"/>
      <c r="HGY18" s="64"/>
      <c r="HGZ18" s="64"/>
      <c r="HHA18" s="64"/>
      <c r="HHB18" s="64"/>
      <c r="HHC18" s="64"/>
      <c r="HHD18" s="64"/>
      <c r="HHE18" s="64"/>
      <c r="HHF18" s="64"/>
      <c r="HHG18" s="64"/>
      <c r="HHH18" s="64"/>
      <c r="HHI18" s="64"/>
      <c r="HHJ18" s="64"/>
      <c r="HHK18" s="64"/>
      <c r="HHL18" s="64"/>
      <c r="HHM18" s="64"/>
      <c r="HHN18" s="64"/>
      <c r="HHO18" s="64"/>
      <c r="HHP18" s="64"/>
      <c r="HHQ18" s="64"/>
      <c r="HHR18" s="64"/>
      <c r="HHS18" s="64"/>
      <c r="HHT18" s="64"/>
      <c r="HHU18" s="64"/>
      <c r="HHV18" s="64"/>
      <c r="HHW18" s="64"/>
      <c r="HHX18" s="64"/>
      <c r="HHY18" s="64"/>
      <c r="HHZ18" s="64"/>
      <c r="HIA18" s="64"/>
      <c r="HIB18" s="64"/>
      <c r="HIC18" s="64"/>
      <c r="HID18" s="64"/>
      <c r="HIE18" s="64"/>
      <c r="HIF18" s="64"/>
      <c r="HIG18" s="64"/>
      <c r="HIH18" s="64"/>
      <c r="HII18" s="64"/>
      <c r="HIJ18" s="64"/>
      <c r="HIK18" s="64"/>
      <c r="HIL18" s="64"/>
      <c r="HIM18" s="64"/>
      <c r="HIN18" s="64"/>
      <c r="HIO18" s="64"/>
      <c r="HIP18" s="64"/>
      <c r="HIQ18" s="64"/>
      <c r="HIR18" s="64"/>
      <c r="HIS18" s="64"/>
      <c r="HIT18" s="64"/>
      <c r="HIU18" s="64"/>
      <c r="HIV18" s="64"/>
      <c r="HIW18" s="64"/>
      <c r="HIX18" s="64"/>
      <c r="HIY18" s="64"/>
      <c r="HIZ18" s="64"/>
      <c r="HJA18" s="64"/>
      <c r="HJB18" s="64"/>
      <c r="HJC18" s="64"/>
      <c r="HJD18" s="64"/>
      <c r="HJE18" s="64"/>
      <c r="HJF18" s="64"/>
      <c r="HJG18" s="64"/>
      <c r="HJH18" s="64"/>
      <c r="HJI18" s="64"/>
      <c r="HJJ18" s="64"/>
      <c r="HJK18" s="64"/>
      <c r="HJL18" s="64"/>
      <c r="HJM18" s="64"/>
      <c r="HJN18" s="64"/>
      <c r="HJO18" s="64"/>
      <c r="HJP18" s="64"/>
      <c r="HJQ18" s="64"/>
      <c r="HJR18" s="64"/>
      <c r="HJS18" s="64"/>
      <c r="HJT18" s="64"/>
      <c r="HJU18" s="64"/>
      <c r="HJV18" s="64"/>
      <c r="HJW18" s="64"/>
      <c r="HJX18" s="64"/>
      <c r="HJY18" s="64"/>
      <c r="HJZ18" s="64"/>
      <c r="HKA18" s="64"/>
      <c r="HKB18" s="64"/>
      <c r="HKC18" s="64"/>
      <c r="HKD18" s="64"/>
      <c r="HKE18" s="64"/>
      <c r="HKF18" s="64"/>
      <c r="HKG18" s="64"/>
      <c r="HKH18" s="64"/>
      <c r="HKI18" s="64"/>
      <c r="HKJ18" s="64"/>
      <c r="HKK18" s="64"/>
      <c r="HKL18" s="64"/>
      <c r="HKM18" s="64"/>
      <c r="HKN18" s="64"/>
      <c r="HKO18" s="64"/>
      <c r="HKP18" s="64"/>
      <c r="HKQ18" s="64"/>
      <c r="HKR18" s="64"/>
      <c r="HKS18" s="64"/>
      <c r="HKT18" s="64"/>
      <c r="HKU18" s="64"/>
      <c r="HKV18" s="64"/>
      <c r="HKW18" s="64"/>
      <c r="HKX18" s="64"/>
      <c r="HKY18" s="64"/>
      <c r="HKZ18" s="64"/>
      <c r="HLA18" s="64"/>
      <c r="HLB18" s="64"/>
      <c r="HLC18" s="64"/>
      <c r="HLD18" s="64"/>
      <c r="HLE18" s="64"/>
      <c r="HLF18" s="64"/>
      <c r="HLG18" s="64"/>
      <c r="HLH18" s="64"/>
      <c r="HLI18" s="64"/>
      <c r="HLJ18" s="64"/>
      <c r="HLK18" s="64"/>
      <c r="HLL18" s="64"/>
      <c r="HLM18" s="64"/>
      <c r="HLN18" s="64"/>
      <c r="HLO18" s="64"/>
      <c r="HLP18" s="64"/>
      <c r="HLQ18" s="64"/>
      <c r="HLR18" s="64"/>
      <c r="HLS18" s="64"/>
      <c r="HLT18" s="64"/>
      <c r="HLU18" s="64"/>
      <c r="HLV18" s="64"/>
      <c r="HLW18" s="64"/>
      <c r="HLX18" s="64"/>
      <c r="HLY18" s="64"/>
      <c r="HLZ18" s="64"/>
      <c r="HMA18" s="64"/>
      <c r="HMB18" s="64"/>
      <c r="HMC18" s="64"/>
      <c r="HMD18" s="64"/>
      <c r="HME18" s="64"/>
      <c r="HMF18" s="64"/>
      <c r="HMG18" s="64"/>
      <c r="HMH18" s="64"/>
      <c r="HMI18" s="64"/>
      <c r="HMJ18" s="64"/>
      <c r="HMK18" s="64"/>
      <c r="HML18" s="64"/>
      <c r="HMM18" s="64"/>
      <c r="HMN18" s="64"/>
      <c r="HMO18" s="64"/>
      <c r="HMP18" s="64"/>
      <c r="HMQ18" s="64"/>
      <c r="HMR18" s="64"/>
      <c r="HMS18" s="64"/>
      <c r="HMT18" s="64"/>
      <c r="HMU18" s="64"/>
      <c r="HMV18" s="64"/>
      <c r="HMW18" s="64"/>
      <c r="HMX18" s="64"/>
      <c r="HMY18" s="64"/>
      <c r="HMZ18" s="64"/>
      <c r="HNA18" s="64"/>
      <c r="HNB18" s="64"/>
      <c r="HNC18" s="64"/>
      <c r="HND18" s="64"/>
      <c r="HNE18" s="64"/>
      <c r="HNF18" s="64"/>
      <c r="HNG18" s="64"/>
      <c r="HNH18" s="64"/>
      <c r="HNI18" s="64"/>
      <c r="HNJ18" s="64"/>
      <c r="HNK18" s="64"/>
      <c r="HNL18" s="64"/>
      <c r="HNM18" s="64"/>
      <c r="HNN18" s="64"/>
      <c r="HNO18" s="64"/>
      <c r="HNP18" s="64"/>
      <c r="HNQ18" s="64"/>
      <c r="HNR18" s="64"/>
      <c r="HNS18" s="64"/>
      <c r="HNT18" s="64"/>
      <c r="HNU18" s="64"/>
      <c r="HNV18" s="64"/>
      <c r="HNW18" s="64"/>
      <c r="HNX18" s="64"/>
      <c r="HNY18" s="64"/>
      <c r="HNZ18" s="64"/>
      <c r="HOA18" s="64"/>
      <c r="HOB18" s="64"/>
      <c r="HOC18" s="64"/>
      <c r="HOD18" s="64"/>
      <c r="HOE18" s="64"/>
      <c r="HOF18" s="64"/>
      <c r="HOG18" s="64"/>
      <c r="HOH18" s="64"/>
      <c r="HOI18" s="64"/>
      <c r="HOJ18" s="64"/>
      <c r="HOK18" s="64"/>
      <c r="HOL18" s="64"/>
      <c r="HOM18" s="64"/>
      <c r="HON18" s="64"/>
      <c r="HOO18" s="64"/>
      <c r="HOP18" s="64"/>
      <c r="HOQ18" s="64"/>
      <c r="HOR18" s="64"/>
      <c r="HOS18" s="64"/>
      <c r="HOT18" s="64"/>
      <c r="HOU18" s="64"/>
      <c r="HOV18" s="64"/>
      <c r="HOW18" s="64"/>
      <c r="HOX18" s="64"/>
      <c r="HOY18" s="64"/>
      <c r="HOZ18" s="64"/>
      <c r="HPA18" s="64"/>
      <c r="HPB18" s="64"/>
      <c r="HPC18" s="64"/>
      <c r="HPD18" s="64"/>
      <c r="HPE18" s="64"/>
      <c r="HPF18" s="64"/>
      <c r="HPG18" s="64"/>
      <c r="HPH18" s="64"/>
      <c r="HPI18" s="64"/>
      <c r="HPJ18" s="64"/>
      <c r="HPK18" s="64"/>
      <c r="HPL18" s="64"/>
      <c r="HPM18" s="64"/>
      <c r="HPN18" s="64"/>
      <c r="HPO18" s="64"/>
      <c r="HPP18" s="64"/>
      <c r="HPQ18" s="64"/>
      <c r="HPR18" s="64"/>
      <c r="HPS18" s="64"/>
      <c r="HPT18" s="64"/>
      <c r="HPU18" s="64"/>
      <c r="HPV18" s="64"/>
      <c r="HPW18" s="64"/>
      <c r="HPX18" s="64"/>
      <c r="HPY18" s="64"/>
      <c r="HPZ18" s="64"/>
      <c r="HQA18" s="64"/>
      <c r="HQB18" s="64"/>
      <c r="HQC18" s="64"/>
      <c r="HQD18" s="64"/>
      <c r="HQE18" s="64"/>
      <c r="HQF18" s="64"/>
      <c r="HQG18" s="64"/>
      <c r="HQH18" s="64"/>
      <c r="HQI18" s="64"/>
      <c r="HQJ18" s="64"/>
      <c r="HQK18" s="64"/>
      <c r="HQL18" s="64"/>
      <c r="HQM18" s="64"/>
      <c r="HQN18" s="64"/>
      <c r="HQO18" s="64"/>
      <c r="HQP18" s="64"/>
      <c r="HQQ18" s="64"/>
      <c r="HQR18" s="64"/>
      <c r="HQS18" s="64"/>
      <c r="HQT18" s="64"/>
      <c r="HQU18" s="64"/>
      <c r="HQV18" s="64"/>
      <c r="HQW18" s="64"/>
      <c r="HQX18" s="64"/>
      <c r="HQY18" s="64"/>
      <c r="HQZ18" s="64"/>
      <c r="HRA18" s="64"/>
      <c r="HRB18" s="64"/>
      <c r="HRC18" s="64"/>
      <c r="HRD18" s="64"/>
      <c r="HRE18" s="64"/>
      <c r="HRF18" s="64"/>
      <c r="HRG18" s="64"/>
      <c r="HRH18" s="64"/>
      <c r="HRI18" s="64"/>
      <c r="HRJ18" s="64"/>
      <c r="HRK18" s="64"/>
      <c r="HRL18" s="64"/>
      <c r="HRM18" s="64"/>
      <c r="HRN18" s="64"/>
      <c r="HRO18" s="64"/>
      <c r="HRP18" s="64"/>
      <c r="HRQ18" s="64"/>
      <c r="HRR18" s="64"/>
      <c r="HRS18" s="64"/>
      <c r="HRT18" s="64"/>
      <c r="HRU18" s="64"/>
      <c r="HRV18" s="64"/>
      <c r="HRW18" s="64"/>
      <c r="HRX18" s="64"/>
      <c r="HRY18" s="64"/>
      <c r="HRZ18" s="64"/>
      <c r="HSA18" s="64"/>
      <c r="HSB18" s="64"/>
      <c r="HSC18" s="64"/>
      <c r="HSD18" s="64"/>
      <c r="HSE18" s="64"/>
      <c r="HSF18" s="64"/>
      <c r="HSG18" s="64"/>
      <c r="HSH18" s="64"/>
      <c r="HSI18" s="64"/>
      <c r="HSJ18" s="64"/>
      <c r="HSK18" s="64"/>
      <c r="HSL18" s="64"/>
      <c r="HSM18" s="64"/>
      <c r="HSN18" s="64"/>
      <c r="HSO18" s="64"/>
      <c r="HSP18" s="64"/>
      <c r="HSQ18" s="64"/>
      <c r="HSR18" s="64"/>
      <c r="HSS18" s="64"/>
      <c r="HST18" s="64"/>
      <c r="HSU18" s="64"/>
      <c r="HSV18" s="64"/>
      <c r="HSW18" s="64"/>
      <c r="HSX18" s="64"/>
      <c r="HSY18" s="64"/>
      <c r="HSZ18" s="64"/>
      <c r="HTA18" s="64"/>
      <c r="HTB18" s="64"/>
      <c r="HTC18" s="64"/>
      <c r="HTD18" s="64"/>
      <c r="HTE18" s="64"/>
      <c r="HTF18" s="64"/>
      <c r="HTG18" s="64"/>
      <c r="HTH18" s="64"/>
      <c r="HTI18" s="64"/>
      <c r="HTJ18" s="64"/>
      <c r="HTK18" s="64"/>
      <c r="HTL18" s="64"/>
      <c r="HTM18" s="64"/>
      <c r="HTN18" s="64"/>
      <c r="HTO18" s="64"/>
      <c r="HTP18" s="64"/>
      <c r="HTQ18" s="64"/>
      <c r="HTR18" s="64"/>
      <c r="HTS18" s="64"/>
      <c r="HTT18" s="64"/>
      <c r="HTU18" s="64"/>
      <c r="HTV18" s="64"/>
      <c r="HTW18" s="64"/>
      <c r="HTX18" s="64"/>
      <c r="HTY18" s="64"/>
      <c r="HTZ18" s="64"/>
      <c r="HUA18" s="64"/>
      <c r="HUB18" s="64"/>
      <c r="HUC18" s="64"/>
      <c r="HUD18" s="64"/>
      <c r="HUE18" s="64"/>
      <c r="HUF18" s="64"/>
      <c r="HUG18" s="64"/>
      <c r="HUH18" s="64"/>
      <c r="HUI18" s="64"/>
      <c r="HUJ18" s="64"/>
      <c r="HUK18" s="64"/>
      <c r="HUL18" s="64"/>
      <c r="HUM18" s="64"/>
      <c r="HUN18" s="64"/>
      <c r="HUO18" s="64"/>
      <c r="HUP18" s="64"/>
      <c r="HUQ18" s="64"/>
      <c r="HUR18" s="64"/>
      <c r="HUS18" s="64"/>
      <c r="HUT18" s="64"/>
      <c r="HUU18" s="64"/>
      <c r="HUV18" s="64"/>
      <c r="HUW18" s="64"/>
      <c r="HUX18" s="64"/>
      <c r="HUY18" s="64"/>
      <c r="HUZ18" s="64"/>
      <c r="HVA18" s="64"/>
      <c r="HVB18" s="64"/>
      <c r="HVC18" s="64"/>
      <c r="HVD18" s="64"/>
      <c r="HVE18" s="64"/>
      <c r="HVF18" s="64"/>
      <c r="HVG18" s="64"/>
      <c r="HVH18" s="64"/>
      <c r="HVI18" s="64"/>
      <c r="HVJ18" s="64"/>
      <c r="HVK18" s="64"/>
      <c r="HVL18" s="64"/>
      <c r="HVM18" s="64"/>
      <c r="HVN18" s="64"/>
      <c r="HVO18" s="64"/>
      <c r="HVP18" s="64"/>
      <c r="HVQ18" s="64"/>
      <c r="HVR18" s="64"/>
      <c r="HVS18" s="64"/>
      <c r="HVT18" s="64"/>
      <c r="HVU18" s="64"/>
      <c r="HVV18" s="64"/>
      <c r="HVW18" s="64"/>
      <c r="HVX18" s="64"/>
      <c r="HVY18" s="64"/>
      <c r="HVZ18" s="64"/>
      <c r="HWA18" s="64"/>
      <c r="HWB18" s="64"/>
      <c r="HWC18" s="64"/>
      <c r="HWD18" s="64"/>
      <c r="HWE18" s="64"/>
      <c r="HWF18" s="64"/>
      <c r="HWG18" s="64"/>
      <c r="HWH18" s="64"/>
      <c r="HWI18" s="64"/>
      <c r="HWJ18" s="64"/>
      <c r="HWK18" s="64"/>
      <c r="HWL18" s="64"/>
      <c r="HWM18" s="64"/>
      <c r="HWN18" s="64"/>
      <c r="HWO18" s="64"/>
      <c r="HWP18" s="64"/>
      <c r="HWQ18" s="64"/>
      <c r="HWR18" s="64"/>
      <c r="HWS18" s="64"/>
      <c r="HWT18" s="64"/>
      <c r="HWU18" s="64"/>
      <c r="HWV18" s="64"/>
      <c r="HWW18" s="64"/>
      <c r="HWX18" s="64"/>
      <c r="HWY18" s="64"/>
      <c r="HWZ18" s="64"/>
      <c r="HXA18" s="64"/>
      <c r="HXB18" s="64"/>
      <c r="HXC18" s="64"/>
      <c r="HXD18" s="64"/>
      <c r="HXE18" s="64"/>
      <c r="HXF18" s="64"/>
      <c r="HXG18" s="64"/>
      <c r="HXH18" s="64"/>
      <c r="HXI18" s="64"/>
      <c r="HXJ18" s="64"/>
      <c r="HXK18" s="64"/>
      <c r="HXL18" s="64"/>
      <c r="HXM18" s="64"/>
      <c r="HXN18" s="64"/>
      <c r="HXO18" s="64"/>
      <c r="HXP18" s="64"/>
      <c r="HXQ18" s="64"/>
      <c r="HXR18" s="64"/>
      <c r="HXS18" s="64"/>
      <c r="HXT18" s="64"/>
      <c r="HXU18" s="64"/>
      <c r="HXV18" s="64"/>
      <c r="HXW18" s="64"/>
      <c r="HXX18" s="64"/>
      <c r="HXY18" s="64"/>
      <c r="HXZ18" s="64"/>
      <c r="HYA18" s="64"/>
      <c r="HYB18" s="64"/>
      <c r="HYC18" s="64"/>
      <c r="HYD18" s="64"/>
      <c r="HYE18" s="64"/>
      <c r="HYF18" s="64"/>
      <c r="HYG18" s="64"/>
      <c r="HYH18" s="64"/>
      <c r="HYI18" s="64"/>
      <c r="HYJ18" s="64"/>
      <c r="HYK18" s="64"/>
      <c r="HYL18" s="64"/>
      <c r="HYM18" s="64"/>
      <c r="HYN18" s="64"/>
      <c r="HYO18" s="64"/>
      <c r="HYP18" s="64"/>
      <c r="HYQ18" s="64"/>
      <c r="HYR18" s="64"/>
      <c r="HYS18" s="64"/>
      <c r="HYT18" s="64"/>
      <c r="HYU18" s="64"/>
      <c r="HYV18" s="64"/>
      <c r="HYW18" s="64"/>
      <c r="HYX18" s="64"/>
      <c r="HYY18" s="64"/>
      <c r="HYZ18" s="64"/>
      <c r="HZA18" s="64"/>
      <c r="HZB18" s="64"/>
      <c r="HZC18" s="64"/>
      <c r="HZD18" s="64"/>
      <c r="HZE18" s="64"/>
      <c r="HZF18" s="64"/>
      <c r="HZG18" s="64"/>
      <c r="HZH18" s="64"/>
      <c r="HZI18" s="64"/>
      <c r="HZJ18" s="64"/>
      <c r="HZK18" s="64"/>
      <c r="HZL18" s="64"/>
      <c r="HZM18" s="64"/>
      <c r="HZN18" s="64"/>
      <c r="HZO18" s="64"/>
      <c r="HZP18" s="64"/>
      <c r="HZQ18" s="64"/>
      <c r="HZR18" s="64"/>
      <c r="HZS18" s="64"/>
      <c r="HZT18" s="64"/>
      <c r="HZU18" s="64"/>
      <c r="HZV18" s="64"/>
      <c r="HZW18" s="64"/>
      <c r="HZX18" s="64"/>
      <c r="HZY18" s="64"/>
      <c r="HZZ18" s="64"/>
      <c r="IAA18" s="64"/>
      <c r="IAB18" s="64"/>
      <c r="IAC18" s="64"/>
      <c r="IAD18" s="64"/>
      <c r="IAE18" s="64"/>
      <c r="IAF18" s="64"/>
      <c r="IAG18" s="64"/>
      <c r="IAH18" s="64"/>
      <c r="IAI18" s="64"/>
      <c r="IAJ18" s="64"/>
      <c r="IAK18" s="64"/>
      <c r="IAL18" s="64"/>
      <c r="IAM18" s="64"/>
      <c r="IAN18" s="64"/>
      <c r="IAO18" s="64"/>
      <c r="IAP18" s="64"/>
      <c r="IAQ18" s="64"/>
      <c r="IAR18" s="64"/>
      <c r="IAS18" s="64"/>
      <c r="IAT18" s="64"/>
      <c r="IAU18" s="64"/>
      <c r="IAV18" s="64"/>
      <c r="IAW18" s="64"/>
      <c r="IAX18" s="64"/>
      <c r="IAY18" s="64"/>
      <c r="IAZ18" s="64"/>
      <c r="IBA18" s="64"/>
      <c r="IBB18" s="64"/>
      <c r="IBC18" s="64"/>
      <c r="IBD18" s="64"/>
      <c r="IBE18" s="64"/>
      <c r="IBF18" s="64"/>
      <c r="IBG18" s="64"/>
      <c r="IBH18" s="64"/>
      <c r="IBI18" s="64"/>
      <c r="IBJ18" s="64"/>
      <c r="IBK18" s="64"/>
      <c r="IBL18" s="64"/>
      <c r="IBM18" s="64"/>
      <c r="IBN18" s="64"/>
      <c r="IBO18" s="64"/>
      <c r="IBP18" s="64"/>
      <c r="IBQ18" s="64"/>
      <c r="IBR18" s="64"/>
      <c r="IBS18" s="64"/>
      <c r="IBT18" s="64"/>
      <c r="IBU18" s="64"/>
      <c r="IBV18" s="64"/>
      <c r="IBW18" s="64"/>
      <c r="IBX18" s="64"/>
      <c r="IBY18" s="64"/>
      <c r="IBZ18" s="64"/>
      <c r="ICA18" s="64"/>
      <c r="ICB18" s="64"/>
      <c r="ICC18" s="64"/>
      <c r="ICD18" s="64"/>
      <c r="ICE18" s="64"/>
      <c r="ICF18" s="64"/>
      <c r="ICG18" s="64"/>
      <c r="ICH18" s="64"/>
      <c r="ICI18" s="64"/>
      <c r="ICJ18" s="64"/>
      <c r="ICK18" s="64"/>
      <c r="ICL18" s="64"/>
      <c r="ICM18" s="64"/>
      <c r="ICN18" s="64"/>
      <c r="ICO18" s="64"/>
      <c r="ICP18" s="64"/>
      <c r="ICQ18" s="64"/>
      <c r="ICR18" s="64"/>
      <c r="ICS18" s="64"/>
      <c r="ICT18" s="64"/>
      <c r="ICU18" s="64"/>
      <c r="ICV18" s="64"/>
      <c r="ICW18" s="64"/>
      <c r="ICX18" s="64"/>
      <c r="ICY18" s="64"/>
      <c r="ICZ18" s="64"/>
      <c r="IDA18" s="64"/>
      <c r="IDB18" s="64"/>
      <c r="IDC18" s="64"/>
      <c r="IDD18" s="64"/>
      <c r="IDE18" s="64"/>
      <c r="IDF18" s="64"/>
      <c r="IDG18" s="64"/>
      <c r="IDH18" s="64"/>
      <c r="IDI18" s="64"/>
      <c r="IDJ18" s="64"/>
      <c r="IDK18" s="64"/>
      <c r="IDL18" s="64"/>
      <c r="IDM18" s="64"/>
      <c r="IDN18" s="64"/>
      <c r="IDO18" s="64"/>
      <c r="IDP18" s="64"/>
      <c r="IDQ18" s="64"/>
      <c r="IDR18" s="64"/>
      <c r="IDS18" s="64"/>
      <c r="IDT18" s="64"/>
      <c r="IDU18" s="64"/>
      <c r="IDV18" s="64"/>
      <c r="IDW18" s="64"/>
      <c r="IDX18" s="64"/>
      <c r="IDY18" s="64"/>
      <c r="IDZ18" s="64"/>
      <c r="IEA18" s="64"/>
      <c r="IEB18" s="64"/>
      <c r="IEC18" s="64"/>
      <c r="IED18" s="64"/>
      <c r="IEE18" s="64"/>
      <c r="IEF18" s="64"/>
      <c r="IEG18" s="64"/>
      <c r="IEH18" s="64"/>
      <c r="IEI18" s="64"/>
      <c r="IEJ18" s="64"/>
      <c r="IEK18" s="64"/>
      <c r="IEL18" s="64"/>
      <c r="IEM18" s="64"/>
      <c r="IEN18" s="64"/>
      <c r="IEO18" s="64"/>
      <c r="IEP18" s="64"/>
      <c r="IEQ18" s="64"/>
      <c r="IER18" s="64"/>
      <c r="IES18" s="64"/>
      <c r="IET18" s="64"/>
      <c r="IEU18" s="64"/>
      <c r="IEV18" s="64"/>
      <c r="IEW18" s="64"/>
      <c r="IEX18" s="64"/>
      <c r="IEY18" s="64"/>
      <c r="IEZ18" s="64"/>
      <c r="IFA18" s="64"/>
      <c r="IFB18" s="64"/>
      <c r="IFC18" s="64"/>
      <c r="IFD18" s="64"/>
      <c r="IFE18" s="64"/>
      <c r="IFF18" s="64"/>
      <c r="IFG18" s="64"/>
      <c r="IFH18" s="64"/>
      <c r="IFI18" s="64"/>
      <c r="IFJ18" s="64"/>
      <c r="IFK18" s="64"/>
      <c r="IFL18" s="64"/>
      <c r="IFM18" s="64"/>
      <c r="IFN18" s="64"/>
      <c r="IFO18" s="64"/>
      <c r="IFP18" s="64"/>
      <c r="IFQ18" s="64"/>
      <c r="IFR18" s="64"/>
      <c r="IFS18" s="64"/>
      <c r="IFT18" s="64"/>
      <c r="IFU18" s="64"/>
      <c r="IFV18" s="64"/>
      <c r="IFW18" s="64"/>
      <c r="IFX18" s="64"/>
      <c r="IFY18" s="64"/>
      <c r="IFZ18" s="64"/>
      <c r="IGA18" s="64"/>
      <c r="IGB18" s="64"/>
      <c r="IGC18" s="64"/>
      <c r="IGD18" s="64"/>
      <c r="IGE18" s="64"/>
      <c r="IGF18" s="64"/>
      <c r="IGG18" s="64"/>
      <c r="IGH18" s="64"/>
      <c r="IGI18" s="64"/>
      <c r="IGJ18" s="64"/>
      <c r="IGK18" s="64"/>
      <c r="IGL18" s="64"/>
      <c r="IGM18" s="64"/>
      <c r="IGN18" s="64"/>
      <c r="IGO18" s="64"/>
      <c r="IGP18" s="64"/>
      <c r="IGQ18" s="64"/>
      <c r="IGR18" s="64"/>
      <c r="IGS18" s="64"/>
      <c r="IGT18" s="64"/>
      <c r="IGU18" s="64"/>
      <c r="IGV18" s="64"/>
      <c r="IGW18" s="64"/>
      <c r="IGX18" s="64"/>
      <c r="IGY18" s="64"/>
      <c r="IGZ18" s="64"/>
      <c r="IHA18" s="64"/>
      <c r="IHB18" s="64"/>
      <c r="IHC18" s="64"/>
      <c r="IHD18" s="64"/>
      <c r="IHE18" s="64"/>
      <c r="IHF18" s="64"/>
      <c r="IHG18" s="64"/>
      <c r="IHH18" s="64"/>
      <c r="IHI18" s="64"/>
      <c r="IHJ18" s="64"/>
      <c r="IHK18" s="64"/>
      <c r="IHL18" s="64"/>
      <c r="IHM18" s="64"/>
      <c r="IHN18" s="64"/>
      <c r="IHO18" s="64"/>
      <c r="IHP18" s="64"/>
      <c r="IHQ18" s="64"/>
      <c r="IHR18" s="64"/>
      <c r="IHS18" s="64"/>
      <c r="IHT18" s="64"/>
      <c r="IHU18" s="64"/>
      <c r="IHV18" s="64"/>
      <c r="IHW18" s="64"/>
      <c r="IHX18" s="64"/>
      <c r="IHY18" s="64"/>
      <c r="IHZ18" s="64"/>
      <c r="IIA18" s="64"/>
      <c r="IIB18" s="64"/>
      <c r="IIC18" s="64"/>
      <c r="IID18" s="64"/>
      <c r="IIE18" s="64"/>
      <c r="IIF18" s="64"/>
      <c r="IIG18" s="64"/>
      <c r="IIH18" s="64"/>
      <c r="III18" s="64"/>
      <c r="IIJ18" s="64"/>
      <c r="IIK18" s="64"/>
      <c r="IIL18" s="64"/>
      <c r="IIM18" s="64"/>
      <c r="IIN18" s="64"/>
      <c r="IIO18" s="64"/>
      <c r="IIP18" s="64"/>
      <c r="IIQ18" s="64"/>
      <c r="IIR18" s="64"/>
      <c r="IIS18" s="64"/>
      <c r="IIT18" s="64"/>
      <c r="IIU18" s="64"/>
      <c r="IIV18" s="64"/>
      <c r="IIW18" s="64"/>
      <c r="IIX18" s="64"/>
      <c r="IIY18" s="64"/>
      <c r="IIZ18" s="64"/>
      <c r="IJA18" s="64"/>
      <c r="IJB18" s="64"/>
      <c r="IJC18" s="64"/>
      <c r="IJD18" s="64"/>
      <c r="IJE18" s="64"/>
      <c r="IJF18" s="64"/>
      <c r="IJG18" s="64"/>
      <c r="IJH18" s="64"/>
      <c r="IJI18" s="64"/>
      <c r="IJJ18" s="64"/>
      <c r="IJK18" s="64"/>
      <c r="IJL18" s="64"/>
      <c r="IJM18" s="64"/>
      <c r="IJN18" s="64"/>
      <c r="IJO18" s="64"/>
      <c r="IJP18" s="64"/>
      <c r="IJQ18" s="64"/>
      <c r="IJR18" s="64"/>
      <c r="IJS18" s="64"/>
      <c r="IJT18" s="64"/>
      <c r="IJU18" s="64"/>
      <c r="IJV18" s="64"/>
      <c r="IJW18" s="64"/>
      <c r="IJX18" s="64"/>
      <c r="IJY18" s="64"/>
      <c r="IJZ18" s="64"/>
      <c r="IKA18" s="64"/>
      <c r="IKB18" s="64"/>
      <c r="IKC18" s="64"/>
      <c r="IKD18" s="64"/>
      <c r="IKE18" s="64"/>
      <c r="IKF18" s="64"/>
      <c r="IKG18" s="64"/>
      <c r="IKH18" s="64"/>
      <c r="IKI18" s="64"/>
      <c r="IKJ18" s="64"/>
      <c r="IKK18" s="64"/>
      <c r="IKL18" s="64"/>
      <c r="IKM18" s="64"/>
      <c r="IKN18" s="64"/>
      <c r="IKO18" s="64"/>
      <c r="IKP18" s="64"/>
      <c r="IKQ18" s="64"/>
      <c r="IKR18" s="64"/>
      <c r="IKS18" s="64"/>
      <c r="IKT18" s="64"/>
      <c r="IKU18" s="64"/>
      <c r="IKV18" s="64"/>
      <c r="IKW18" s="64"/>
      <c r="IKX18" s="64"/>
      <c r="IKY18" s="64"/>
      <c r="IKZ18" s="64"/>
      <c r="ILA18" s="64"/>
      <c r="ILB18" s="64"/>
      <c r="ILC18" s="64"/>
      <c r="ILD18" s="64"/>
      <c r="ILE18" s="64"/>
      <c r="ILF18" s="64"/>
      <c r="ILG18" s="64"/>
      <c r="ILH18" s="64"/>
      <c r="ILI18" s="64"/>
      <c r="ILJ18" s="64"/>
      <c r="ILK18" s="64"/>
      <c r="ILL18" s="64"/>
      <c r="ILM18" s="64"/>
      <c r="ILN18" s="64"/>
      <c r="ILO18" s="64"/>
      <c r="ILP18" s="64"/>
      <c r="ILQ18" s="64"/>
      <c r="ILR18" s="64"/>
      <c r="ILS18" s="64"/>
      <c r="ILT18" s="64"/>
      <c r="ILU18" s="64"/>
      <c r="ILV18" s="64"/>
      <c r="ILW18" s="64"/>
      <c r="ILX18" s="64"/>
      <c r="ILY18" s="64"/>
      <c r="ILZ18" s="64"/>
      <c r="IMA18" s="64"/>
      <c r="IMB18" s="64"/>
      <c r="IMC18" s="64"/>
      <c r="IMD18" s="64"/>
      <c r="IME18" s="64"/>
      <c r="IMF18" s="64"/>
      <c r="IMG18" s="64"/>
      <c r="IMH18" s="64"/>
      <c r="IMI18" s="64"/>
      <c r="IMJ18" s="64"/>
      <c r="IMK18" s="64"/>
      <c r="IML18" s="64"/>
      <c r="IMM18" s="64"/>
      <c r="IMN18" s="64"/>
      <c r="IMO18" s="64"/>
      <c r="IMP18" s="64"/>
      <c r="IMQ18" s="64"/>
      <c r="IMR18" s="64"/>
      <c r="IMS18" s="64"/>
      <c r="IMT18" s="64"/>
      <c r="IMU18" s="64"/>
      <c r="IMV18" s="64"/>
      <c r="IMW18" s="64"/>
      <c r="IMX18" s="64"/>
      <c r="IMY18" s="64"/>
      <c r="IMZ18" s="64"/>
      <c r="INA18" s="64"/>
      <c r="INB18" s="64"/>
      <c r="INC18" s="64"/>
      <c r="IND18" s="64"/>
      <c r="INE18" s="64"/>
      <c r="INF18" s="64"/>
      <c r="ING18" s="64"/>
      <c r="INH18" s="64"/>
      <c r="INI18" s="64"/>
      <c r="INJ18" s="64"/>
      <c r="INK18" s="64"/>
      <c r="INL18" s="64"/>
      <c r="INM18" s="64"/>
      <c r="INN18" s="64"/>
      <c r="INO18" s="64"/>
      <c r="INP18" s="64"/>
      <c r="INQ18" s="64"/>
      <c r="INR18" s="64"/>
      <c r="INS18" s="64"/>
      <c r="INT18" s="64"/>
      <c r="INU18" s="64"/>
      <c r="INV18" s="64"/>
      <c r="INW18" s="64"/>
      <c r="INX18" s="64"/>
      <c r="INY18" s="64"/>
      <c r="INZ18" s="64"/>
      <c r="IOA18" s="64"/>
      <c r="IOB18" s="64"/>
      <c r="IOC18" s="64"/>
      <c r="IOD18" s="64"/>
      <c r="IOE18" s="64"/>
      <c r="IOF18" s="64"/>
      <c r="IOG18" s="64"/>
      <c r="IOH18" s="64"/>
      <c r="IOI18" s="64"/>
      <c r="IOJ18" s="64"/>
      <c r="IOK18" s="64"/>
      <c r="IOL18" s="64"/>
      <c r="IOM18" s="64"/>
      <c r="ION18" s="64"/>
      <c r="IOO18" s="64"/>
      <c r="IOP18" s="64"/>
      <c r="IOQ18" s="64"/>
      <c r="IOR18" s="64"/>
      <c r="IOS18" s="64"/>
      <c r="IOT18" s="64"/>
      <c r="IOU18" s="64"/>
      <c r="IOV18" s="64"/>
      <c r="IOW18" s="64"/>
      <c r="IOX18" s="64"/>
      <c r="IOY18" s="64"/>
      <c r="IOZ18" s="64"/>
      <c r="IPA18" s="64"/>
      <c r="IPB18" s="64"/>
      <c r="IPC18" s="64"/>
      <c r="IPD18" s="64"/>
      <c r="IPE18" s="64"/>
      <c r="IPF18" s="64"/>
      <c r="IPG18" s="64"/>
      <c r="IPH18" s="64"/>
      <c r="IPI18" s="64"/>
      <c r="IPJ18" s="64"/>
      <c r="IPK18" s="64"/>
      <c r="IPL18" s="64"/>
      <c r="IPM18" s="64"/>
      <c r="IPN18" s="64"/>
      <c r="IPO18" s="64"/>
      <c r="IPP18" s="64"/>
      <c r="IPQ18" s="64"/>
      <c r="IPR18" s="64"/>
      <c r="IPS18" s="64"/>
      <c r="IPT18" s="64"/>
      <c r="IPU18" s="64"/>
      <c r="IPV18" s="64"/>
      <c r="IPW18" s="64"/>
      <c r="IPX18" s="64"/>
      <c r="IPY18" s="64"/>
      <c r="IPZ18" s="64"/>
      <c r="IQA18" s="64"/>
      <c r="IQB18" s="64"/>
      <c r="IQC18" s="64"/>
      <c r="IQD18" s="64"/>
      <c r="IQE18" s="64"/>
      <c r="IQF18" s="64"/>
      <c r="IQG18" s="64"/>
      <c r="IQH18" s="64"/>
      <c r="IQI18" s="64"/>
      <c r="IQJ18" s="64"/>
      <c r="IQK18" s="64"/>
      <c r="IQL18" s="64"/>
      <c r="IQM18" s="64"/>
      <c r="IQN18" s="64"/>
      <c r="IQO18" s="64"/>
      <c r="IQP18" s="64"/>
      <c r="IQQ18" s="64"/>
      <c r="IQR18" s="64"/>
      <c r="IQS18" s="64"/>
      <c r="IQT18" s="64"/>
      <c r="IQU18" s="64"/>
      <c r="IQV18" s="64"/>
      <c r="IQW18" s="64"/>
      <c r="IQX18" s="64"/>
      <c r="IQY18" s="64"/>
      <c r="IQZ18" s="64"/>
      <c r="IRA18" s="64"/>
      <c r="IRB18" s="64"/>
      <c r="IRC18" s="64"/>
      <c r="IRD18" s="64"/>
      <c r="IRE18" s="64"/>
      <c r="IRF18" s="64"/>
      <c r="IRG18" s="64"/>
      <c r="IRH18" s="64"/>
      <c r="IRI18" s="64"/>
      <c r="IRJ18" s="64"/>
      <c r="IRK18" s="64"/>
      <c r="IRL18" s="64"/>
      <c r="IRM18" s="64"/>
      <c r="IRN18" s="64"/>
      <c r="IRO18" s="64"/>
      <c r="IRP18" s="64"/>
      <c r="IRQ18" s="64"/>
      <c r="IRR18" s="64"/>
      <c r="IRS18" s="64"/>
      <c r="IRT18" s="64"/>
      <c r="IRU18" s="64"/>
      <c r="IRV18" s="64"/>
      <c r="IRW18" s="64"/>
      <c r="IRX18" s="64"/>
      <c r="IRY18" s="64"/>
      <c r="IRZ18" s="64"/>
      <c r="ISA18" s="64"/>
      <c r="ISB18" s="64"/>
      <c r="ISC18" s="64"/>
      <c r="ISD18" s="64"/>
      <c r="ISE18" s="64"/>
      <c r="ISF18" s="64"/>
      <c r="ISG18" s="64"/>
      <c r="ISH18" s="64"/>
      <c r="ISI18" s="64"/>
      <c r="ISJ18" s="64"/>
      <c r="ISK18" s="64"/>
      <c r="ISL18" s="64"/>
      <c r="ISM18" s="64"/>
      <c r="ISN18" s="64"/>
      <c r="ISO18" s="64"/>
      <c r="ISP18" s="64"/>
      <c r="ISQ18" s="64"/>
      <c r="ISR18" s="64"/>
      <c r="ISS18" s="64"/>
      <c r="IST18" s="64"/>
      <c r="ISU18" s="64"/>
      <c r="ISV18" s="64"/>
      <c r="ISW18" s="64"/>
      <c r="ISX18" s="64"/>
      <c r="ISY18" s="64"/>
      <c r="ISZ18" s="64"/>
      <c r="ITA18" s="64"/>
      <c r="ITB18" s="64"/>
      <c r="ITC18" s="64"/>
      <c r="ITD18" s="64"/>
      <c r="ITE18" s="64"/>
      <c r="ITF18" s="64"/>
      <c r="ITG18" s="64"/>
      <c r="ITH18" s="64"/>
      <c r="ITI18" s="64"/>
      <c r="ITJ18" s="64"/>
      <c r="ITK18" s="64"/>
      <c r="ITL18" s="64"/>
      <c r="ITM18" s="64"/>
      <c r="ITN18" s="64"/>
      <c r="ITO18" s="64"/>
      <c r="ITP18" s="64"/>
      <c r="ITQ18" s="64"/>
      <c r="ITR18" s="64"/>
      <c r="ITS18" s="64"/>
      <c r="ITT18" s="64"/>
      <c r="ITU18" s="64"/>
      <c r="ITV18" s="64"/>
      <c r="ITW18" s="64"/>
      <c r="ITX18" s="64"/>
      <c r="ITY18" s="64"/>
      <c r="ITZ18" s="64"/>
      <c r="IUA18" s="64"/>
      <c r="IUB18" s="64"/>
      <c r="IUC18" s="64"/>
      <c r="IUD18" s="64"/>
      <c r="IUE18" s="64"/>
      <c r="IUF18" s="64"/>
      <c r="IUG18" s="64"/>
      <c r="IUH18" s="64"/>
      <c r="IUI18" s="64"/>
      <c r="IUJ18" s="64"/>
      <c r="IUK18" s="64"/>
      <c r="IUL18" s="64"/>
      <c r="IUM18" s="64"/>
      <c r="IUN18" s="64"/>
      <c r="IUO18" s="64"/>
      <c r="IUP18" s="64"/>
      <c r="IUQ18" s="64"/>
      <c r="IUR18" s="64"/>
      <c r="IUS18" s="64"/>
      <c r="IUT18" s="64"/>
      <c r="IUU18" s="64"/>
      <c r="IUV18" s="64"/>
      <c r="IUW18" s="64"/>
      <c r="IUX18" s="64"/>
      <c r="IUY18" s="64"/>
      <c r="IUZ18" s="64"/>
      <c r="IVA18" s="64"/>
      <c r="IVB18" s="64"/>
      <c r="IVC18" s="64"/>
      <c r="IVD18" s="64"/>
      <c r="IVE18" s="64"/>
      <c r="IVF18" s="64"/>
      <c r="IVG18" s="64"/>
      <c r="IVH18" s="64"/>
      <c r="IVI18" s="64"/>
      <c r="IVJ18" s="64"/>
      <c r="IVK18" s="64"/>
      <c r="IVL18" s="64"/>
      <c r="IVM18" s="64"/>
      <c r="IVN18" s="64"/>
      <c r="IVO18" s="64"/>
      <c r="IVP18" s="64"/>
      <c r="IVQ18" s="64"/>
      <c r="IVR18" s="64"/>
      <c r="IVS18" s="64"/>
      <c r="IVT18" s="64"/>
      <c r="IVU18" s="64"/>
      <c r="IVV18" s="64"/>
      <c r="IVW18" s="64"/>
      <c r="IVX18" s="64"/>
      <c r="IVY18" s="64"/>
      <c r="IVZ18" s="64"/>
      <c r="IWA18" s="64"/>
      <c r="IWB18" s="64"/>
      <c r="IWC18" s="64"/>
      <c r="IWD18" s="64"/>
      <c r="IWE18" s="64"/>
      <c r="IWF18" s="64"/>
      <c r="IWG18" s="64"/>
      <c r="IWH18" s="64"/>
      <c r="IWI18" s="64"/>
      <c r="IWJ18" s="64"/>
      <c r="IWK18" s="64"/>
      <c r="IWL18" s="64"/>
      <c r="IWM18" s="64"/>
      <c r="IWN18" s="64"/>
      <c r="IWO18" s="64"/>
      <c r="IWP18" s="64"/>
      <c r="IWQ18" s="64"/>
      <c r="IWR18" s="64"/>
      <c r="IWS18" s="64"/>
      <c r="IWT18" s="64"/>
      <c r="IWU18" s="64"/>
      <c r="IWV18" s="64"/>
      <c r="IWW18" s="64"/>
      <c r="IWX18" s="64"/>
      <c r="IWY18" s="64"/>
      <c r="IWZ18" s="64"/>
      <c r="IXA18" s="64"/>
      <c r="IXB18" s="64"/>
      <c r="IXC18" s="64"/>
      <c r="IXD18" s="64"/>
      <c r="IXE18" s="64"/>
      <c r="IXF18" s="64"/>
      <c r="IXG18" s="64"/>
      <c r="IXH18" s="64"/>
      <c r="IXI18" s="64"/>
      <c r="IXJ18" s="64"/>
      <c r="IXK18" s="64"/>
      <c r="IXL18" s="64"/>
      <c r="IXM18" s="64"/>
      <c r="IXN18" s="64"/>
      <c r="IXO18" s="64"/>
      <c r="IXP18" s="64"/>
      <c r="IXQ18" s="64"/>
      <c r="IXR18" s="64"/>
      <c r="IXS18" s="64"/>
      <c r="IXT18" s="64"/>
      <c r="IXU18" s="64"/>
      <c r="IXV18" s="64"/>
      <c r="IXW18" s="64"/>
      <c r="IXX18" s="64"/>
      <c r="IXY18" s="64"/>
      <c r="IXZ18" s="64"/>
      <c r="IYA18" s="64"/>
      <c r="IYB18" s="64"/>
      <c r="IYC18" s="64"/>
      <c r="IYD18" s="64"/>
      <c r="IYE18" s="64"/>
      <c r="IYF18" s="64"/>
      <c r="IYG18" s="64"/>
      <c r="IYH18" s="64"/>
      <c r="IYI18" s="64"/>
      <c r="IYJ18" s="64"/>
      <c r="IYK18" s="64"/>
      <c r="IYL18" s="64"/>
      <c r="IYM18" s="64"/>
      <c r="IYN18" s="64"/>
      <c r="IYO18" s="64"/>
      <c r="IYP18" s="64"/>
      <c r="IYQ18" s="64"/>
      <c r="IYR18" s="64"/>
      <c r="IYS18" s="64"/>
      <c r="IYT18" s="64"/>
      <c r="IYU18" s="64"/>
      <c r="IYV18" s="64"/>
      <c r="IYW18" s="64"/>
      <c r="IYX18" s="64"/>
      <c r="IYY18" s="64"/>
      <c r="IYZ18" s="64"/>
      <c r="IZA18" s="64"/>
      <c r="IZB18" s="64"/>
      <c r="IZC18" s="64"/>
      <c r="IZD18" s="64"/>
      <c r="IZE18" s="64"/>
      <c r="IZF18" s="64"/>
      <c r="IZG18" s="64"/>
      <c r="IZH18" s="64"/>
      <c r="IZI18" s="64"/>
      <c r="IZJ18" s="64"/>
      <c r="IZK18" s="64"/>
      <c r="IZL18" s="64"/>
      <c r="IZM18" s="64"/>
      <c r="IZN18" s="64"/>
      <c r="IZO18" s="64"/>
      <c r="IZP18" s="64"/>
      <c r="IZQ18" s="64"/>
      <c r="IZR18" s="64"/>
      <c r="IZS18" s="64"/>
      <c r="IZT18" s="64"/>
      <c r="IZU18" s="64"/>
      <c r="IZV18" s="64"/>
      <c r="IZW18" s="64"/>
      <c r="IZX18" s="64"/>
      <c r="IZY18" s="64"/>
      <c r="IZZ18" s="64"/>
      <c r="JAA18" s="64"/>
      <c r="JAB18" s="64"/>
      <c r="JAC18" s="64"/>
      <c r="JAD18" s="64"/>
      <c r="JAE18" s="64"/>
      <c r="JAF18" s="64"/>
      <c r="JAG18" s="64"/>
      <c r="JAH18" s="64"/>
      <c r="JAI18" s="64"/>
      <c r="JAJ18" s="64"/>
      <c r="JAK18" s="64"/>
      <c r="JAL18" s="64"/>
      <c r="JAM18" s="64"/>
      <c r="JAN18" s="64"/>
      <c r="JAO18" s="64"/>
      <c r="JAP18" s="64"/>
      <c r="JAQ18" s="64"/>
      <c r="JAR18" s="64"/>
      <c r="JAS18" s="64"/>
      <c r="JAT18" s="64"/>
      <c r="JAU18" s="64"/>
      <c r="JAV18" s="64"/>
      <c r="JAW18" s="64"/>
      <c r="JAX18" s="64"/>
      <c r="JAY18" s="64"/>
      <c r="JAZ18" s="64"/>
      <c r="JBA18" s="64"/>
      <c r="JBB18" s="64"/>
      <c r="JBC18" s="64"/>
      <c r="JBD18" s="64"/>
      <c r="JBE18" s="64"/>
      <c r="JBF18" s="64"/>
      <c r="JBG18" s="64"/>
      <c r="JBH18" s="64"/>
      <c r="JBI18" s="64"/>
      <c r="JBJ18" s="64"/>
      <c r="JBK18" s="64"/>
      <c r="JBL18" s="64"/>
      <c r="JBM18" s="64"/>
      <c r="JBN18" s="64"/>
      <c r="JBO18" s="64"/>
      <c r="JBP18" s="64"/>
      <c r="JBQ18" s="64"/>
      <c r="JBR18" s="64"/>
      <c r="JBS18" s="64"/>
      <c r="JBT18" s="64"/>
      <c r="JBU18" s="64"/>
      <c r="JBV18" s="64"/>
      <c r="JBW18" s="64"/>
      <c r="JBX18" s="64"/>
      <c r="JBY18" s="64"/>
      <c r="JBZ18" s="64"/>
      <c r="JCA18" s="64"/>
      <c r="JCB18" s="64"/>
      <c r="JCC18" s="64"/>
      <c r="JCD18" s="64"/>
      <c r="JCE18" s="64"/>
      <c r="JCF18" s="64"/>
      <c r="JCG18" s="64"/>
      <c r="JCH18" s="64"/>
      <c r="JCI18" s="64"/>
      <c r="JCJ18" s="64"/>
      <c r="JCK18" s="64"/>
      <c r="JCL18" s="64"/>
      <c r="JCM18" s="64"/>
      <c r="JCN18" s="64"/>
      <c r="JCO18" s="64"/>
      <c r="JCP18" s="64"/>
      <c r="JCQ18" s="64"/>
      <c r="JCR18" s="64"/>
      <c r="JCS18" s="64"/>
      <c r="JCT18" s="64"/>
      <c r="JCU18" s="64"/>
      <c r="JCV18" s="64"/>
      <c r="JCW18" s="64"/>
      <c r="JCX18" s="64"/>
      <c r="JCY18" s="64"/>
      <c r="JCZ18" s="64"/>
      <c r="JDA18" s="64"/>
      <c r="JDB18" s="64"/>
      <c r="JDC18" s="64"/>
      <c r="JDD18" s="64"/>
      <c r="JDE18" s="64"/>
      <c r="JDF18" s="64"/>
      <c r="JDG18" s="64"/>
      <c r="JDH18" s="64"/>
      <c r="JDI18" s="64"/>
      <c r="JDJ18" s="64"/>
      <c r="JDK18" s="64"/>
      <c r="JDL18" s="64"/>
      <c r="JDM18" s="64"/>
      <c r="JDN18" s="64"/>
      <c r="JDO18" s="64"/>
      <c r="JDP18" s="64"/>
      <c r="JDQ18" s="64"/>
      <c r="JDR18" s="64"/>
      <c r="JDS18" s="64"/>
      <c r="JDT18" s="64"/>
      <c r="JDU18" s="64"/>
      <c r="JDV18" s="64"/>
      <c r="JDW18" s="64"/>
      <c r="JDX18" s="64"/>
      <c r="JDY18" s="64"/>
      <c r="JDZ18" s="64"/>
      <c r="JEA18" s="64"/>
      <c r="JEB18" s="64"/>
      <c r="JEC18" s="64"/>
      <c r="JED18" s="64"/>
      <c r="JEE18" s="64"/>
      <c r="JEF18" s="64"/>
      <c r="JEG18" s="64"/>
      <c r="JEH18" s="64"/>
      <c r="JEI18" s="64"/>
      <c r="JEJ18" s="64"/>
      <c r="JEK18" s="64"/>
      <c r="JEL18" s="64"/>
      <c r="JEM18" s="64"/>
      <c r="JEN18" s="64"/>
      <c r="JEO18" s="64"/>
      <c r="JEP18" s="64"/>
      <c r="JEQ18" s="64"/>
      <c r="JER18" s="64"/>
      <c r="JES18" s="64"/>
      <c r="JET18" s="64"/>
      <c r="JEU18" s="64"/>
      <c r="JEV18" s="64"/>
      <c r="JEW18" s="64"/>
      <c r="JEX18" s="64"/>
      <c r="JEY18" s="64"/>
      <c r="JEZ18" s="64"/>
      <c r="JFA18" s="64"/>
      <c r="JFB18" s="64"/>
      <c r="JFC18" s="64"/>
      <c r="JFD18" s="64"/>
      <c r="JFE18" s="64"/>
      <c r="JFF18" s="64"/>
      <c r="JFG18" s="64"/>
      <c r="JFH18" s="64"/>
      <c r="JFI18" s="64"/>
      <c r="JFJ18" s="64"/>
      <c r="JFK18" s="64"/>
      <c r="JFL18" s="64"/>
      <c r="JFM18" s="64"/>
      <c r="JFN18" s="64"/>
      <c r="JFO18" s="64"/>
      <c r="JFP18" s="64"/>
      <c r="JFQ18" s="64"/>
      <c r="JFR18" s="64"/>
      <c r="JFS18" s="64"/>
      <c r="JFT18" s="64"/>
      <c r="JFU18" s="64"/>
      <c r="JFV18" s="64"/>
      <c r="JFW18" s="64"/>
      <c r="JFX18" s="64"/>
      <c r="JFY18" s="64"/>
      <c r="JFZ18" s="64"/>
      <c r="JGA18" s="64"/>
      <c r="JGB18" s="64"/>
      <c r="JGC18" s="64"/>
      <c r="JGD18" s="64"/>
      <c r="JGE18" s="64"/>
      <c r="JGF18" s="64"/>
      <c r="JGG18" s="64"/>
      <c r="JGH18" s="64"/>
      <c r="JGI18" s="64"/>
      <c r="JGJ18" s="64"/>
      <c r="JGK18" s="64"/>
      <c r="JGL18" s="64"/>
      <c r="JGM18" s="64"/>
      <c r="JGN18" s="64"/>
      <c r="JGO18" s="64"/>
      <c r="JGP18" s="64"/>
      <c r="JGQ18" s="64"/>
      <c r="JGR18" s="64"/>
      <c r="JGS18" s="64"/>
      <c r="JGT18" s="64"/>
      <c r="JGU18" s="64"/>
      <c r="JGV18" s="64"/>
      <c r="JGW18" s="64"/>
      <c r="JGX18" s="64"/>
      <c r="JGY18" s="64"/>
      <c r="JGZ18" s="64"/>
      <c r="JHA18" s="64"/>
      <c r="JHB18" s="64"/>
      <c r="JHC18" s="64"/>
      <c r="JHD18" s="64"/>
      <c r="JHE18" s="64"/>
      <c r="JHF18" s="64"/>
      <c r="JHG18" s="64"/>
      <c r="JHH18" s="64"/>
      <c r="JHI18" s="64"/>
      <c r="JHJ18" s="64"/>
      <c r="JHK18" s="64"/>
      <c r="JHL18" s="64"/>
      <c r="JHM18" s="64"/>
      <c r="JHN18" s="64"/>
      <c r="JHO18" s="64"/>
      <c r="JHP18" s="64"/>
      <c r="JHQ18" s="64"/>
      <c r="JHR18" s="64"/>
      <c r="JHS18" s="64"/>
      <c r="JHT18" s="64"/>
      <c r="JHU18" s="64"/>
      <c r="JHV18" s="64"/>
      <c r="JHW18" s="64"/>
      <c r="JHX18" s="64"/>
      <c r="JHY18" s="64"/>
      <c r="JHZ18" s="64"/>
      <c r="JIA18" s="64"/>
      <c r="JIB18" s="64"/>
      <c r="JIC18" s="64"/>
      <c r="JID18" s="64"/>
      <c r="JIE18" s="64"/>
      <c r="JIF18" s="64"/>
      <c r="JIG18" s="64"/>
      <c r="JIH18" s="64"/>
      <c r="JII18" s="64"/>
      <c r="JIJ18" s="64"/>
      <c r="JIK18" s="64"/>
      <c r="JIL18" s="64"/>
      <c r="JIM18" s="64"/>
      <c r="JIN18" s="64"/>
      <c r="JIO18" s="64"/>
      <c r="JIP18" s="64"/>
      <c r="JIQ18" s="64"/>
      <c r="JIR18" s="64"/>
      <c r="JIS18" s="64"/>
      <c r="JIT18" s="64"/>
      <c r="JIU18" s="64"/>
      <c r="JIV18" s="64"/>
      <c r="JIW18" s="64"/>
      <c r="JIX18" s="64"/>
      <c r="JIY18" s="64"/>
      <c r="JIZ18" s="64"/>
      <c r="JJA18" s="64"/>
      <c r="JJB18" s="64"/>
      <c r="JJC18" s="64"/>
      <c r="JJD18" s="64"/>
      <c r="JJE18" s="64"/>
      <c r="JJF18" s="64"/>
      <c r="JJG18" s="64"/>
      <c r="JJH18" s="64"/>
      <c r="JJI18" s="64"/>
      <c r="JJJ18" s="64"/>
      <c r="JJK18" s="64"/>
      <c r="JJL18" s="64"/>
      <c r="JJM18" s="64"/>
      <c r="JJN18" s="64"/>
      <c r="JJO18" s="64"/>
      <c r="JJP18" s="64"/>
      <c r="JJQ18" s="64"/>
      <c r="JJR18" s="64"/>
      <c r="JJS18" s="64"/>
      <c r="JJT18" s="64"/>
      <c r="JJU18" s="64"/>
      <c r="JJV18" s="64"/>
      <c r="JJW18" s="64"/>
      <c r="JJX18" s="64"/>
      <c r="JJY18" s="64"/>
      <c r="JJZ18" s="64"/>
      <c r="JKA18" s="64"/>
      <c r="JKB18" s="64"/>
      <c r="JKC18" s="64"/>
      <c r="JKD18" s="64"/>
      <c r="JKE18" s="64"/>
      <c r="JKF18" s="64"/>
      <c r="JKG18" s="64"/>
      <c r="JKH18" s="64"/>
      <c r="JKI18" s="64"/>
      <c r="JKJ18" s="64"/>
      <c r="JKK18" s="64"/>
      <c r="JKL18" s="64"/>
      <c r="JKM18" s="64"/>
      <c r="JKN18" s="64"/>
      <c r="JKO18" s="64"/>
      <c r="JKP18" s="64"/>
      <c r="JKQ18" s="64"/>
      <c r="JKR18" s="64"/>
      <c r="JKS18" s="64"/>
      <c r="JKT18" s="64"/>
      <c r="JKU18" s="64"/>
      <c r="JKV18" s="64"/>
      <c r="JKW18" s="64"/>
      <c r="JKX18" s="64"/>
      <c r="JKY18" s="64"/>
      <c r="JKZ18" s="64"/>
      <c r="JLA18" s="64"/>
      <c r="JLB18" s="64"/>
      <c r="JLC18" s="64"/>
      <c r="JLD18" s="64"/>
      <c r="JLE18" s="64"/>
      <c r="JLF18" s="64"/>
      <c r="JLG18" s="64"/>
      <c r="JLH18" s="64"/>
      <c r="JLI18" s="64"/>
      <c r="JLJ18" s="64"/>
      <c r="JLK18" s="64"/>
      <c r="JLL18" s="64"/>
      <c r="JLM18" s="64"/>
      <c r="JLN18" s="64"/>
      <c r="JLO18" s="64"/>
      <c r="JLP18" s="64"/>
      <c r="JLQ18" s="64"/>
      <c r="JLR18" s="64"/>
      <c r="JLS18" s="64"/>
      <c r="JLT18" s="64"/>
      <c r="JLU18" s="64"/>
      <c r="JLV18" s="64"/>
      <c r="JLW18" s="64"/>
      <c r="JLX18" s="64"/>
      <c r="JLY18" s="64"/>
      <c r="JLZ18" s="64"/>
      <c r="JMA18" s="64"/>
      <c r="JMB18" s="64"/>
      <c r="JMC18" s="64"/>
      <c r="JMD18" s="64"/>
      <c r="JME18" s="64"/>
      <c r="JMF18" s="64"/>
      <c r="JMG18" s="64"/>
      <c r="JMH18" s="64"/>
      <c r="JMI18" s="64"/>
      <c r="JMJ18" s="64"/>
      <c r="JMK18" s="64"/>
      <c r="JML18" s="64"/>
      <c r="JMM18" s="64"/>
      <c r="JMN18" s="64"/>
      <c r="JMO18" s="64"/>
      <c r="JMP18" s="64"/>
      <c r="JMQ18" s="64"/>
      <c r="JMR18" s="64"/>
      <c r="JMS18" s="64"/>
      <c r="JMT18" s="64"/>
      <c r="JMU18" s="64"/>
      <c r="JMV18" s="64"/>
      <c r="JMW18" s="64"/>
      <c r="JMX18" s="64"/>
      <c r="JMY18" s="64"/>
      <c r="JMZ18" s="64"/>
      <c r="JNA18" s="64"/>
      <c r="JNB18" s="64"/>
      <c r="JNC18" s="64"/>
      <c r="JND18" s="64"/>
      <c r="JNE18" s="64"/>
      <c r="JNF18" s="64"/>
      <c r="JNG18" s="64"/>
      <c r="JNH18" s="64"/>
      <c r="JNI18" s="64"/>
      <c r="JNJ18" s="64"/>
      <c r="JNK18" s="64"/>
      <c r="JNL18" s="64"/>
      <c r="JNM18" s="64"/>
      <c r="JNN18" s="64"/>
      <c r="JNO18" s="64"/>
      <c r="JNP18" s="64"/>
      <c r="JNQ18" s="64"/>
      <c r="JNR18" s="64"/>
      <c r="JNS18" s="64"/>
      <c r="JNT18" s="64"/>
      <c r="JNU18" s="64"/>
      <c r="JNV18" s="64"/>
      <c r="JNW18" s="64"/>
      <c r="JNX18" s="64"/>
      <c r="JNY18" s="64"/>
      <c r="JNZ18" s="64"/>
      <c r="JOA18" s="64"/>
      <c r="JOB18" s="64"/>
      <c r="JOC18" s="64"/>
      <c r="JOD18" s="64"/>
      <c r="JOE18" s="64"/>
      <c r="JOF18" s="64"/>
      <c r="JOG18" s="64"/>
      <c r="JOH18" s="64"/>
      <c r="JOI18" s="64"/>
      <c r="JOJ18" s="64"/>
      <c r="JOK18" s="64"/>
      <c r="JOL18" s="64"/>
      <c r="JOM18" s="64"/>
      <c r="JON18" s="64"/>
      <c r="JOO18" s="64"/>
      <c r="JOP18" s="64"/>
      <c r="JOQ18" s="64"/>
      <c r="JOR18" s="64"/>
      <c r="JOS18" s="64"/>
      <c r="JOT18" s="64"/>
      <c r="JOU18" s="64"/>
      <c r="JOV18" s="64"/>
      <c r="JOW18" s="64"/>
      <c r="JOX18" s="64"/>
      <c r="JOY18" s="64"/>
      <c r="JOZ18" s="64"/>
      <c r="JPA18" s="64"/>
      <c r="JPB18" s="64"/>
      <c r="JPC18" s="64"/>
      <c r="JPD18" s="64"/>
      <c r="JPE18" s="64"/>
      <c r="JPF18" s="64"/>
      <c r="JPG18" s="64"/>
      <c r="JPH18" s="64"/>
      <c r="JPI18" s="64"/>
      <c r="JPJ18" s="64"/>
      <c r="JPK18" s="64"/>
      <c r="JPL18" s="64"/>
      <c r="JPM18" s="64"/>
      <c r="JPN18" s="64"/>
      <c r="JPO18" s="64"/>
      <c r="JPP18" s="64"/>
      <c r="JPQ18" s="64"/>
      <c r="JPR18" s="64"/>
      <c r="JPS18" s="64"/>
      <c r="JPT18" s="64"/>
      <c r="JPU18" s="64"/>
      <c r="JPV18" s="64"/>
      <c r="JPW18" s="64"/>
      <c r="JPX18" s="64"/>
      <c r="JPY18" s="64"/>
      <c r="JPZ18" s="64"/>
      <c r="JQA18" s="64"/>
      <c r="JQB18" s="64"/>
      <c r="JQC18" s="64"/>
      <c r="JQD18" s="64"/>
      <c r="JQE18" s="64"/>
      <c r="JQF18" s="64"/>
      <c r="JQG18" s="64"/>
      <c r="JQH18" s="64"/>
      <c r="JQI18" s="64"/>
      <c r="JQJ18" s="64"/>
      <c r="JQK18" s="64"/>
      <c r="JQL18" s="64"/>
      <c r="JQM18" s="64"/>
      <c r="JQN18" s="64"/>
      <c r="JQO18" s="64"/>
      <c r="JQP18" s="64"/>
      <c r="JQQ18" s="64"/>
      <c r="JQR18" s="64"/>
      <c r="JQS18" s="64"/>
      <c r="JQT18" s="64"/>
      <c r="JQU18" s="64"/>
      <c r="JQV18" s="64"/>
      <c r="JQW18" s="64"/>
      <c r="JQX18" s="64"/>
      <c r="JQY18" s="64"/>
      <c r="JQZ18" s="64"/>
      <c r="JRA18" s="64"/>
      <c r="JRB18" s="64"/>
      <c r="JRC18" s="64"/>
      <c r="JRD18" s="64"/>
      <c r="JRE18" s="64"/>
      <c r="JRF18" s="64"/>
      <c r="JRG18" s="64"/>
      <c r="JRH18" s="64"/>
      <c r="JRI18" s="64"/>
      <c r="JRJ18" s="64"/>
      <c r="JRK18" s="64"/>
      <c r="JRL18" s="64"/>
      <c r="JRM18" s="64"/>
      <c r="JRN18" s="64"/>
      <c r="JRO18" s="64"/>
      <c r="JRP18" s="64"/>
      <c r="JRQ18" s="64"/>
      <c r="JRR18" s="64"/>
      <c r="JRS18" s="64"/>
      <c r="JRT18" s="64"/>
      <c r="JRU18" s="64"/>
      <c r="JRV18" s="64"/>
      <c r="JRW18" s="64"/>
      <c r="JRX18" s="64"/>
      <c r="JRY18" s="64"/>
      <c r="JRZ18" s="64"/>
      <c r="JSA18" s="64"/>
      <c r="JSB18" s="64"/>
      <c r="JSC18" s="64"/>
      <c r="JSD18" s="64"/>
      <c r="JSE18" s="64"/>
      <c r="JSF18" s="64"/>
      <c r="JSG18" s="64"/>
      <c r="JSH18" s="64"/>
      <c r="JSI18" s="64"/>
      <c r="JSJ18" s="64"/>
      <c r="JSK18" s="64"/>
      <c r="JSL18" s="64"/>
      <c r="JSM18" s="64"/>
      <c r="JSN18" s="64"/>
      <c r="JSO18" s="64"/>
      <c r="JSP18" s="64"/>
      <c r="JSQ18" s="64"/>
      <c r="JSR18" s="64"/>
      <c r="JSS18" s="64"/>
      <c r="JST18" s="64"/>
      <c r="JSU18" s="64"/>
      <c r="JSV18" s="64"/>
      <c r="JSW18" s="64"/>
      <c r="JSX18" s="64"/>
      <c r="JSY18" s="64"/>
      <c r="JSZ18" s="64"/>
      <c r="JTA18" s="64"/>
      <c r="JTB18" s="64"/>
      <c r="JTC18" s="64"/>
      <c r="JTD18" s="64"/>
      <c r="JTE18" s="64"/>
      <c r="JTF18" s="64"/>
      <c r="JTG18" s="64"/>
      <c r="JTH18" s="64"/>
      <c r="JTI18" s="64"/>
      <c r="JTJ18" s="64"/>
      <c r="JTK18" s="64"/>
      <c r="JTL18" s="64"/>
      <c r="JTM18" s="64"/>
      <c r="JTN18" s="64"/>
      <c r="JTO18" s="64"/>
      <c r="JTP18" s="64"/>
      <c r="JTQ18" s="64"/>
      <c r="JTR18" s="64"/>
      <c r="JTS18" s="64"/>
      <c r="JTT18" s="64"/>
      <c r="JTU18" s="64"/>
      <c r="JTV18" s="64"/>
      <c r="JTW18" s="64"/>
      <c r="JTX18" s="64"/>
      <c r="JTY18" s="64"/>
      <c r="JTZ18" s="64"/>
      <c r="JUA18" s="64"/>
      <c r="JUB18" s="64"/>
      <c r="JUC18" s="64"/>
      <c r="JUD18" s="64"/>
      <c r="JUE18" s="64"/>
      <c r="JUF18" s="64"/>
      <c r="JUG18" s="64"/>
      <c r="JUH18" s="64"/>
      <c r="JUI18" s="64"/>
      <c r="JUJ18" s="64"/>
      <c r="JUK18" s="64"/>
      <c r="JUL18" s="64"/>
      <c r="JUM18" s="64"/>
      <c r="JUN18" s="64"/>
      <c r="JUO18" s="64"/>
      <c r="JUP18" s="64"/>
      <c r="JUQ18" s="64"/>
      <c r="JUR18" s="64"/>
      <c r="JUS18" s="64"/>
      <c r="JUT18" s="64"/>
      <c r="JUU18" s="64"/>
      <c r="JUV18" s="64"/>
      <c r="JUW18" s="64"/>
      <c r="JUX18" s="64"/>
      <c r="JUY18" s="64"/>
      <c r="JUZ18" s="64"/>
      <c r="JVA18" s="64"/>
      <c r="JVB18" s="64"/>
      <c r="JVC18" s="64"/>
      <c r="JVD18" s="64"/>
      <c r="JVE18" s="64"/>
      <c r="JVF18" s="64"/>
      <c r="JVG18" s="64"/>
      <c r="JVH18" s="64"/>
      <c r="JVI18" s="64"/>
      <c r="JVJ18" s="64"/>
      <c r="JVK18" s="64"/>
      <c r="JVL18" s="64"/>
      <c r="JVM18" s="64"/>
      <c r="JVN18" s="64"/>
      <c r="JVO18" s="64"/>
      <c r="JVP18" s="64"/>
      <c r="JVQ18" s="64"/>
      <c r="JVR18" s="64"/>
      <c r="JVS18" s="64"/>
      <c r="JVT18" s="64"/>
      <c r="JVU18" s="64"/>
      <c r="JVV18" s="64"/>
      <c r="JVW18" s="64"/>
      <c r="JVX18" s="64"/>
      <c r="JVY18" s="64"/>
      <c r="JVZ18" s="64"/>
      <c r="JWA18" s="64"/>
      <c r="JWB18" s="64"/>
      <c r="JWC18" s="64"/>
      <c r="JWD18" s="64"/>
      <c r="JWE18" s="64"/>
      <c r="JWF18" s="64"/>
      <c r="JWG18" s="64"/>
      <c r="JWH18" s="64"/>
      <c r="JWI18" s="64"/>
      <c r="JWJ18" s="64"/>
      <c r="JWK18" s="64"/>
      <c r="JWL18" s="64"/>
      <c r="JWM18" s="64"/>
      <c r="JWN18" s="64"/>
      <c r="JWO18" s="64"/>
      <c r="JWP18" s="64"/>
      <c r="JWQ18" s="64"/>
      <c r="JWR18" s="64"/>
      <c r="JWS18" s="64"/>
      <c r="JWT18" s="64"/>
      <c r="JWU18" s="64"/>
      <c r="JWV18" s="64"/>
      <c r="JWW18" s="64"/>
      <c r="JWX18" s="64"/>
      <c r="JWY18" s="64"/>
      <c r="JWZ18" s="64"/>
      <c r="JXA18" s="64"/>
      <c r="JXB18" s="64"/>
      <c r="JXC18" s="64"/>
      <c r="JXD18" s="64"/>
      <c r="JXE18" s="64"/>
      <c r="JXF18" s="64"/>
      <c r="JXG18" s="64"/>
      <c r="JXH18" s="64"/>
      <c r="JXI18" s="64"/>
      <c r="JXJ18" s="64"/>
      <c r="JXK18" s="64"/>
      <c r="JXL18" s="64"/>
      <c r="JXM18" s="64"/>
      <c r="JXN18" s="64"/>
      <c r="JXO18" s="64"/>
      <c r="JXP18" s="64"/>
      <c r="JXQ18" s="64"/>
      <c r="JXR18" s="64"/>
      <c r="JXS18" s="64"/>
      <c r="JXT18" s="64"/>
      <c r="JXU18" s="64"/>
      <c r="JXV18" s="64"/>
      <c r="JXW18" s="64"/>
      <c r="JXX18" s="64"/>
      <c r="JXY18" s="64"/>
      <c r="JXZ18" s="64"/>
      <c r="JYA18" s="64"/>
      <c r="JYB18" s="64"/>
      <c r="JYC18" s="64"/>
      <c r="JYD18" s="64"/>
      <c r="JYE18" s="64"/>
      <c r="JYF18" s="64"/>
      <c r="JYG18" s="64"/>
      <c r="JYH18" s="64"/>
      <c r="JYI18" s="64"/>
      <c r="JYJ18" s="64"/>
      <c r="JYK18" s="64"/>
      <c r="JYL18" s="64"/>
      <c r="JYM18" s="64"/>
      <c r="JYN18" s="64"/>
      <c r="JYO18" s="64"/>
      <c r="JYP18" s="64"/>
      <c r="JYQ18" s="64"/>
      <c r="JYR18" s="64"/>
      <c r="JYS18" s="64"/>
      <c r="JYT18" s="64"/>
      <c r="JYU18" s="64"/>
      <c r="JYV18" s="64"/>
      <c r="JYW18" s="64"/>
      <c r="JYX18" s="64"/>
      <c r="JYY18" s="64"/>
      <c r="JYZ18" s="64"/>
      <c r="JZA18" s="64"/>
      <c r="JZB18" s="64"/>
      <c r="JZC18" s="64"/>
      <c r="JZD18" s="64"/>
      <c r="JZE18" s="64"/>
      <c r="JZF18" s="64"/>
      <c r="JZG18" s="64"/>
      <c r="JZH18" s="64"/>
      <c r="JZI18" s="64"/>
      <c r="JZJ18" s="64"/>
      <c r="JZK18" s="64"/>
      <c r="JZL18" s="64"/>
      <c r="JZM18" s="64"/>
      <c r="JZN18" s="64"/>
      <c r="JZO18" s="64"/>
      <c r="JZP18" s="64"/>
      <c r="JZQ18" s="64"/>
      <c r="JZR18" s="64"/>
      <c r="JZS18" s="64"/>
      <c r="JZT18" s="64"/>
      <c r="JZU18" s="64"/>
      <c r="JZV18" s="64"/>
      <c r="JZW18" s="64"/>
      <c r="JZX18" s="64"/>
      <c r="JZY18" s="64"/>
      <c r="JZZ18" s="64"/>
      <c r="KAA18" s="64"/>
      <c r="KAB18" s="64"/>
      <c r="KAC18" s="64"/>
      <c r="KAD18" s="64"/>
      <c r="KAE18" s="64"/>
      <c r="KAF18" s="64"/>
      <c r="KAG18" s="64"/>
      <c r="KAH18" s="64"/>
      <c r="KAI18" s="64"/>
      <c r="KAJ18" s="64"/>
      <c r="KAK18" s="64"/>
      <c r="KAL18" s="64"/>
      <c r="KAM18" s="64"/>
      <c r="KAN18" s="64"/>
      <c r="KAO18" s="64"/>
      <c r="KAP18" s="64"/>
      <c r="KAQ18" s="64"/>
      <c r="KAR18" s="64"/>
      <c r="KAS18" s="64"/>
      <c r="KAT18" s="64"/>
      <c r="KAU18" s="64"/>
      <c r="KAV18" s="64"/>
      <c r="KAW18" s="64"/>
      <c r="KAX18" s="64"/>
      <c r="KAY18" s="64"/>
      <c r="KAZ18" s="64"/>
      <c r="KBA18" s="64"/>
      <c r="KBB18" s="64"/>
      <c r="KBC18" s="64"/>
      <c r="KBD18" s="64"/>
      <c r="KBE18" s="64"/>
      <c r="KBF18" s="64"/>
      <c r="KBG18" s="64"/>
      <c r="KBH18" s="64"/>
      <c r="KBI18" s="64"/>
      <c r="KBJ18" s="64"/>
      <c r="KBK18" s="64"/>
      <c r="KBL18" s="64"/>
      <c r="KBM18" s="64"/>
      <c r="KBN18" s="64"/>
      <c r="KBO18" s="64"/>
      <c r="KBP18" s="64"/>
      <c r="KBQ18" s="64"/>
      <c r="KBR18" s="64"/>
      <c r="KBS18" s="64"/>
      <c r="KBT18" s="64"/>
      <c r="KBU18" s="64"/>
      <c r="KBV18" s="64"/>
      <c r="KBW18" s="64"/>
      <c r="KBX18" s="64"/>
      <c r="KBY18" s="64"/>
      <c r="KBZ18" s="64"/>
      <c r="KCA18" s="64"/>
      <c r="KCB18" s="64"/>
      <c r="KCC18" s="64"/>
      <c r="KCD18" s="64"/>
      <c r="KCE18" s="64"/>
      <c r="KCF18" s="64"/>
      <c r="KCG18" s="64"/>
      <c r="KCH18" s="64"/>
      <c r="KCI18" s="64"/>
      <c r="KCJ18" s="64"/>
      <c r="KCK18" s="64"/>
      <c r="KCL18" s="64"/>
      <c r="KCM18" s="64"/>
      <c r="KCN18" s="64"/>
      <c r="KCO18" s="64"/>
      <c r="KCP18" s="64"/>
      <c r="KCQ18" s="64"/>
      <c r="KCR18" s="64"/>
      <c r="KCS18" s="64"/>
      <c r="KCT18" s="64"/>
      <c r="KCU18" s="64"/>
      <c r="KCV18" s="64"/>
      <c r="KCW18" s="64"/>
      <c r="KCX18" s="64"/>
      <c r="KCY18" s="64"/>
      <c r="KCZ18" s="64"/>
      <c r="KDA18" s="64"/>
      <c r="KDB18" s="64"/>
      <c r="KDC18" s="64"/>
      <c r="KDD18" s="64"/>
      <c r="KDE18" s="64"/>
      <c r="KDF18" s="64"/>
      <c r="KDG18" s="64"/>
      <c r="KDH18" s="64"/>
      <c r="KDI18" s="64"/>
      <c r="KDJ18" s="64"/>
      <c r="KDK18" s="64"/>
      <c r="KDL18" s="64"/>
      <c r="KDM18" s="64"/>
      <c r="KDN18" s="64"/>
      <c r="KDO18" s="64"/>
      <c r="KDP18" s="64"/>
      <c r="KDQ18" s="64"/>
      <c r="KDR18" s="64"/>
      <c r="KDS18" s="64"/>
      <c r="KDT18" s="64"/>
      <c r="KDU18" s="64"/>
      <c r="KDV18" s="64"/>
      <c r="KDW18" s="64"/>
      <c r="KDX18" s="64"/>
      <c r="KDY18" s="64"/>
      <c r="KDZ18" s="64"/>
      <c r="KEA18" s="64"/>
      <c r="KEB18" s="64"/>
      <c r="KEC18" s="64"/>
      <c r="KED18" s="64"/>
      <c r="KEE18" s="64"/>
      <c r="KEF18" s="64"/>
      <c r="KEG18" s="64"/>
      <c r="KEH18" s="64"/>
      <c r="KEI18" s="64"/>
      <c r="KEJ18" s="64"/>
      <c r="KEK18" s="64"/>
      <c r="KEL18" s="64"/>
      <c r="KEM18" s="64"/>
      <c r="KEN18" s="64"/>
      <c r="KEO18" s="64"/>
      <c r="KEP18" s="64"/>
      <c r="KEQ18" s="64"/>
      <c r="KER18" s="64"/>
      <c r="KES18" s="64"/>
      <c r="KET18" s="64"/>
      <c r="KEU18" s="64"/>
      <c r="KEV18" s="64"/>
      <c r="KEW18" s="64"/>
      <c r="KEX18" s="64"/>
      <c r="KEY18" s="64"/>
      <c r="KEZ18" s="64"/>
      <c r="KFA18" s="64"/>
      <c r="KFB18" s="64"/>
      <c r="KFC18" s="64"/>
      <c r="KFD18" s="64"/>
      <c r="KFE18" s="64"/>
      <c r="KFF18" s="64"/>
      <c r="KFG18" s="64"/>
      <c r="KFH18" s="64"/>
      <c r="KFI18" s="64"/>
      <c r="KFJ18" s="64"/>
      <c r="KFK18" s="64"/>
      <c r="KFL18" s="64"/>
      <c r="KFM18" s="64"/>
      <c r="KFN18" s="64"/>
      <c r="KFO18" s="64"/>
      <c r="KFP18" s="64"/>
      <c r="KFQ18" s="64"/>
      <c r="KFR18" s="64"/>
      <c r="KFS18" s="64"/>
      <c r="KFT18" s="64"/>
      <c r="KFU18" s="64"/>
      <c r="KFV18" s="64"/>
      <c r="KFW18" s="64"/>
      <c r="KFX18" s="64"/>
      <c r="KFY18" s="64"/>
      <c r="KFZ18" s="64"/>
      <c r="KGA18" s="64"/>
      <c r="KGB18" s="64"/>
      <c r="KGC18" s="64"/>
      <c r="KGD18" s="64"/>
      <c r="KGE18" s="64"/>
      <c r="KGF18" s="64"/>
      <c r="KGG18" s="64"/>
      <c r="KGH18" s="64"/>
      <c r="KGI18" s="64"/>
      <c r="KGJ18" s="64"/>
      <c r="KGK18" s="64"/>
      <c r="KGL18" s="64"/>
      <c r="KGM18" s="64"/>
      <c r="KGN18" s="64"/>
      <c r="KGO18" s="64"/>
      <c r="KGP18" s="64"/>
      <c r="KGQ18" s="64"/>
      <c r="KGR18" s="64"/>
      <c r="KGS18" s="64"/>
      <c r="KGT18" s="64"/>
      <c r="KGU18" s="64"/>
      <c r="KGV18" s="64"/>
      <c r="KGW18" s="64"/>
      <c r="KGX18" s="64"/>
      <c r="KGY18" s="64"/>
      <c r="KGZ18" s="64"/>
      <c r="KHA18" s="64"/>
      <c r="KHB18" s="64"/>
      <c r="KHC18" s="64"/>
      <c r="KHD18" s="64"/>
      <c r="KHE18" s="64"/>
      <c r="KHF18" s="64"/>
      <c r="KHG18" s="64"/>
      <c r="KHH18" s="64"/>
      <c r="KHI18" s="64"/>
      <c r="KHJ18" s="64"/>
      <c r="KHK18" s="64"/>
      <c r="KHL18" s="64"/>
      <c r="KHM18" s="64"/>
      <c r="KHN18" s="64"/>
      <c r="KHO18" s="64"/>
      <c r="KHP18" s="64"/>
      <c r="KHQ18" s="64"/>
      <c r="KHR18" s="64"/>
      <c r="KHS18" s="64"/>
      <c r="KHT18" s="64"/>
      <c r="KHU18" s="64"/>
      <c r="KHV18" s="64"/>
      <c r="KHW18" s="64"/>
      <c r="KHX18" s="64"/>
      <c r="KHY18" s="64"/>
      <c r="KHZ18" s="64"/>
      <c r="KIA18" s="64"/>
      <c r="KIB18" s="64"/>
      <c r="KIC18" s="64"/>
      <c r="KID18" s="64"/>
      <c r="KIE18" s="64"/>
      <c r="KIF18" s="64"/>
      <c r="KIG18" s="64"/>
      <c r="KIH18" s="64"/>
      <c r="KII18" s="64"/>
      <c r="KIJ18" s="64"/>
      <c r="KIK18" s="64"/>
      <c r="KIL18" s="64"/>
      <c r="KIM18" s="64"/>
      <c r="KIN18" s="64"/>
      <c r="KIO18" s="64"/>
      <c r="KIP18" s="64"/>
      <c r="KIQ18" s="64"/>
      <c r="KIR18" s="64"/>
      <c r="KIS18" s="64"/>
      <c r="KIT18" s="64"/>
      <c r="KIU18" s="64"/>
      <c r="KIV18" s="64"/>
      <c r="KIW18" s="64"/>
      <c r="KIX18" s="64"/>
      <c r="KIY18" s="64"/>
      <c r="KIZ18" s="64"/>
      <c r="KJA18" s="64"/>
      <c r="KJB18" s="64"/>
      <c r="KJC18" s="64"/>
      <c r="KJD18" s="64"/>
      <c r="KJE18" s="64"/>
      <c r="KJF18" s="64"/>
      <c r="KJG18" s="64"/>
      <c r="KJH18" s="64"/>
      <c r="KJI18" s="64"/>
      <c r="KJJ18" s="64"/>
      <c r="KJK18" s="64"/>
      <c r="KJL18" s="64"/>
      <c r="KJM18" s="64"/>
      <c r="KJN18" s="64"/>
      <c r="KJO18" s="64"/>
      <c r="KJP18" s="64"/>
      <c r="KJQ18" s="64"/>
      <c r="KJR18" s="64"/>
      <c r="KJS18" s="64"/>
      <c r="KJT18" s="64"/>
      <c r="KJU18" s="64"/>
      <c r="KJV18" s="64"/>
      <c r="KJW18" s="64"/>
      <c r="KJX18" s="64"/>
      <c r="KJY18" s="64"/>
      <c r="KJZ18" s="64"/>
      <c r="KKA18" s="64"/>
      <c r="KKB18" s="64"/>
      <c r="KKC18" s="64"/>
      <c r="KKD18" s="64"/>
      <c r="KKE18" s="64"/>
      <c r="KKF18" s="64"/>
      <c r="KKG18" s="64"/>
      <c r="KKH18" s="64"/>
      <c r="KKI18" s="64"/>
      <c r="KKJ18" s="64"/>
      <c r="KKK18" s="64"/>
      <c r="KKL18" s="64"/>
      <c r="KKM18" s="64"/>
      <c r="KKN18" s="64"/>
      <c r="KKO18" s="64"/>
      <c r="KKP18" s="64"/>
      <c r="KKQ18" s="64"/>
      <c r="KKR18" s="64"/>
      <c r="KKS18" s="64"/>
      <c r="KKT18" s="64"/>
      <c r="KKU18" s="64"/>
      <c r="KKV18" s="64"/>
      <c r="KKW18" s="64"/>
      <c r="KKX18" s="64"/>
      <c r="KKY18" s="64"/>
      <c r="KKZ18" s="64"/>
      <c r="KLA18" s="64"/>
      <c r="KLB18" s="64"/>
      <c r="KLC18" s="64"/>
      <c r="KLD18" s="64"/>
      <c r="KLE18" s="64"/>
      <c r="KLF18" s="64"/>
      <c r="KLG18" s="64"/>
      <c r="KLH18" s="64"/>
      <c r="KLI18" s="64"/>
      <c r="KLJ18" s="64"/>
      <c r="KLK18" s="64"/>
      <c r="KLL18" s="64"/>
      <c r="KLM18" s="64"/>
      <c r="KLN18" s="64"/>
      <c r="KLO18" s="64"/>
      <c r="KLP18" s="64"/>
      <c r="KLQ18" s="64"/>
      <c r="KLR18" s="64"/>
      <c r="KLS18" s="64"/>
      <c r="KLT18" s="64"/>
      <c r="KLU18" s="64"/>
      <c r="KLV18" s="64"/>
      <c r="KLW18" s="64"/>
      <c r="KLX18" s="64"/>
      <c r="KLY18" s="64"/>
      <c r="KLZ18" s="64"/>
      <c r="KMA18" s="64"/>
      <c r="KMB18" s="64"/>
      <c r="KMC18" s="64"/>
      <c r="KMD18" s="64"/>
      <c r="KME18" s="64"/>
      <c r="KMF18" s="64"/>
      <c r="KMG18" s="64"/>
      <c r="KMH18" s="64"/>
      <c r="KMI18" s="64"/>
      <c r="KMJ18" s="64"/>
      <c r="KMK18" s="64"/>
      <c r="KML18" s="64"/>
      <c r="KMM18" s="64"/>
      <c r="KMN18" s="64"/>
      <c r="KMO18" s="64"/>
      <c r="KMP18" s="64"/>
      <c r="KMQ18" s="64"/>
      <c r="KMR18" s="64"/>
      <c r="KMS18" s="64"/>
      <c r="KMT18" s="64"/>
      <c r="KMU18" s="64"/>
      <c r="KMV18" s="64"/>
      <c r="KMW18" s="64"/>
      <c r="KMX18" s="64"/>
      <c r="KMY18" s="64"/>
      <c r="KMZ18" s="64"/>
      <c r="KNA18" s="64"/>
      <c r="KNB18" s="64"/>
      <c r="KNC18" s="64"/>
      <c r="KND18" s="64"/>
      <c r="KNE18" s="64"/>
      <c r="KNF18" s="64"/>
      <c r="KNG18" s="64"/>
      <c r="KNH18" s="64"/>
      <c r="KNI18" s="64"/>
      <c r="KNJ18" s="64"/>
      <c r="KNK18" s="64"/>
      <c r="KNL18" s="64"/>
      <c r="KNM18" s="64"/>
      <c r="KNN18" s="64"/>
      <c r="KNO18" s="64"/>
      <c r="KNP18" s="64"/>
      <c r="KNQ18" s="64"/>
      <c r="KNR18" s="64"/>
      <c r="KNS18" s="64"/>
      <c r="KNT18" s="64"/>
      <c r="KNU18" s="64"/>
      <c r="KNV18" s="64"/>
      <c r="KNW18" s="64"/>
      <c r="KNX18" s="64"/>
      <c r="KNY18" s="64"/>
      <c r="KNZ18" s="64"/>
      <c r="KOA18" s="64"/>
      <c r="KOB18" s="64"/>
      <c r="KOC18" s="64"/>
      <c r="KOD18" s="64"/>
      <c r="KOE18" s="64"/>
      <c r="KOF18" s="64"/>
      <c r="KOG18" s="64"/>
      <c r="KOH18" s="64"/>
      <c r="KOI18" s="64"/>
      <c r="KOJ18" s="64"/>
      <c r="KOK18" s="64"/>
      <c r="KOL18" s="64"/>
      <c r="KOM18" s="64"/>
      <c r="KON18" s="64"/>
      <c r="KOO18" s="64"/>
      <c r="KOP18" s="64"/>
      <c r="KOQ18" s="64"/>
      <c r="KOR18" s="64"/>
      <c r="KOS18" s="64"/>
      <c r="KOT18" s="64"/>
      <c r="KOU18" s="64"/>
      <c r="KOV18" s="64"/>
      <c r="KOW18" s="64"/>
      <c r="KOX18" s="64"/>
      <c r="KOY18" s="64"/>
      <c r="KOZ18" s="64"/>
      <c r="KPA18" s="64"/>
      <c r="KPB18" s="64"/>
      <c r="KPC18" s="64"/>
      <c r="KPD18" s="64"/>
      <c r="KPE18" s="64"/>
      <c r="KPF18" s="64"/>
      <c r="KPG18" s="64"/>
      <c r="KPH18" s="64"/>
      <c r="KPI18" s="64"/>
      <c r="KPJ18" s="64"/>
      <c r="KPK18" s="64"/>
      <c r="KPL18" s="64"/>
      <c r="KPM18" s="64"/>
      <c r="KPN18" s="64"/>
      <c r="KPO18" s="64"/>
      <c r="KPP18" s="64"/>
      <c r="KPQ18" s="64"/>
      <c r="KPR18" s="64"/>
      <c r="KPS18" s="64"/>
      <c r="KPT18" s="64"/>
      <c r="KPU18" s="64"/>
      <c r="KPV18" s="64"/>
      <c r="KPW18" s="64"/>
      <c r="KPX18" s="64"/>
      <c r="KPY18" s="64"/>
      <c r="KPZ18" s="64"/>
      <c r="KQA18" s="64"/>
      <c r="KQB18" s="64"/>
      <c r="KQC18" s="64"/>
      <c r="KQD18" s="64"/>
      <c r="KQE18" s="64"/>
      <c r="KQF18" s="64"/>
      <c r="KQG18" s="64"/>
      <c r="KQH18" s="64"/>
      <c r="KQI18" s="64"/>
      <c r="KQJ18" s="64"/>
      <c r="KQK18" s="64"/>
      <c r="KQL18" s="64"/>
      <c r="KQM18" s="64"/>
      <c r="KQN18" s="64"/>
      <c r="KQO18" s="64"/>
      <c r="KQP18" s="64"/>
      <c r="KQQ18" s="64"/>
      <c r="KQR18" s="64"/>
      <c r="KQS18" s="64"/>
      <c r="KQT18" s="64"/>
      <c r="KQU18" s="64"/>
      <c r="KQV18" s="64"/>
      <c r="KQW18" s="64"/>
      <c r="KQX18" s="64"/>
      <c r="KQY18" s="64"/>
      <c r="KQZ18" s="64"/>
      <c r="KRA18" s="64"/>
      <c r="KRB18" s="64"/>
      <c r="KRC18" s="64"/>
      <c r="KRD18" s="64"/>
      <c r="KRE18" s="64"/>
      <c r="KRF18" s="64"/>
      <c r="KRG18" s="64"/>
      <c r="KRH18" s="64"/>
      <c r="KRI18" s="64"/>
      <c r="KRJ18" s="64"/>
      <c r="KRK18" s="64"/>
      <c r="KRL18" s="64"/>
      <c r="KRM18" s="64"/>
      <c r="KRN18" s="64"/>
      <c r="KRO18" s="64"/>
      <c r="KRP18" s="64"/>
      <c r="KRQ18" s="64"/>
      <c r="KRR18" s="64"/>
      <c r="KRS18" s="64"/>
      <c r="KRT18" s="64"/>
      <c r="KRU18" s="64"/>
      <c r="KRV18" s="64"/>
      <c r="KRW18" s="64"/>
      <c r="KRX18" s="64"/>
      <c r="KRY18" s="64"/>
      <c r="KRZ18" s="64"/>
      <c r="KSA18" s="64"/>
      <c r="KSB18" s="64"/>
      <c r="KSC18" s="64"/>
      <c r="KSD18" s="64"/>
      <c r="KSE18" s="64"/>
      <c r="KSF18" s="64"/>
      <c r="KSG18" s="64"/>
      <c r="KSH18" s="64"/>
      <c r="KSI18" s="64"/>
      <c r="KSJ18" s="64"/>
      <c r="KSK18" s="64"/>
      <c r="KSL18" s="64"/>
      <c r="KSM18" s="64"/>
      <c r="KSN18" s="64"/>
      <c r="KSO18" s="64"/>
      <c r="KSP18" s="64"/>
      <c r="KSQ18" s="64"/>
      <c r="KSR18" s="64"/>
      <c r="KSS18" s="64"/>
      <c r="KST18" s="64"/>
      <c r="KSU18" s="64"/>
      <c r="KSV18" s="64"/>
      <c r="KSW18" s="64"/>
      <c r="KSX18" s="64"/>
      <c r="KSY18" s="64"/>
      <c r="KSZ18" s="64"/>
      <c r="KTA18" s="64"/>
      <c r="KTB18" s="64"/>
      <c r="KTC18" s="64"/>
      <c r="KTD18" s="64"/>
      <c r="KTE18" s="64"/>
      <c r="KTF18" s="64"/>
      <c r="KTG18" s="64"/>
      <c r="KTH18" s="64"/>
      <c r="KTI18" s="64"/>
      <c r="KTJ18" s="64"/>
      <c r="KTK18" s="64"/>
      <c r="KTL18" s="64"/>
      <c r="KTM18" s="64"/>
      <c r="KTN18" s="64"/>
      <c r="KTO18" s="64"/>
      <c r="KTP18" s="64"/>
      <c r="KTQ18" s="64"/>
      <c r="KTR18" s="64"/>
      <c r="KTS18" s="64"/>
      <c r="KTT18" s="64"/>
      <c r="KTU18" s="64"/>
      <c r="KTV18" s="64"/>
      <c r="KTW18" s="64"/>
      <c r="KTX18" s="64"/>
      <c r="KTY18" s="64"/>
      <c r="KTZ18" s="64"/>
      <c r="KUA18" s="64"/>
      <c r="KUB18" s="64"/>
      <c r="KUC18" s="64"/>
      <c r="KUD18" s="64"/>
      <c r="KUE18" s="64"/>
      <c r="KUF18" s="64"/>
      <c r="KUG18" s="64"/>
      <c r="KUH18" s="64"/>
      <c r="KUI18" s="64"/>
      <c r="KUJ18" s="64"/>
      <c r="KUK18" s="64"/>
      <c r="KUL18" s="64"/>
      <c r="KUM18" s="64"/>
      <c r="KUN18" s="64"/>
      <c r="KUO18" s="64"/>
      <c r="KUP18" s="64"/>
      <c r="KUQ18" s="64"/>
      <c r="KUR18" s="64"/>
      <c r="KUS18" s="64"/>
      <c r="KUT18" s="64"/>
      <c r="KUU18" s="64"/>
      <c r="KUV18" s="64"/>
      <c r="KUW18" s="64"/>
      <c r="KUX18" s="64"/>
      <c r="KUY18" s="64"/>
      <c r="KUZ18" s="64"/>
      <c r="KVA18" s="64"/>
      <c r="KVB18" s="64"/>
      <c r="KVC18" s="64"/>
      <c r="KVD18" s="64"/>
      <c r="KVE18" s="64"/>
      <c r="KVF18" s="64"/>
      <c r="KVG18" s="64"/>
      <c r="KVH18" s="64"/>
      <c r="KVI18" s="64"/>
      <c r="KVJ18" s="64"/>
      <c r="KVK18" s="64"/>
      <c r="KVL18" s="64"/>
      <c r="KVM18" s="64"/>
      <c r="KVN18" s="64"/>
      <c r="KVO18" s="64"/>
      <c r="KVP18" s="64"/>
      <c r="KVQ18" s="64"/>
      <c r="KVR18" s="64"/>
      <c r="KVS18" s="64"/>
      <c r="KVT18" s="64"/>
      <c r="KVU18" s="64"/>
      <c r="KVV18" s="64"/>
      <c r="KVW18" s="64"/>
      <c r="KVX18" s="64"/>
      <c r="KVY18" s="64"/>
      <c r="KVZ18" s="64"/>
      <c r="KWA18" s="64"/>
      <c r="KWB18" s="64"/>
      <c r="KWC18" s="64"/>
      <c r="KWD18" s="64"/>
      <c r="KWE18" s="64"/>
      <c r="KWF18" s="64"/>
      <c r="KWG18" s="64"/>
      <c r="KWH18" s="64"/>
      <c r="KWI18" s="64"/>
      <c r="KWJ18" s="64"/>
      <c r="KWK18" s="64"/>
      <c r="KWL18" s="64"/>
      <c r="KWM18" s="64"/>
      <c r="KWN18" s="64"/>
      <c r="KWO18" s="64"/>
      <c r="KWP18" s="64"/>
      <c r="KWQ18" s="64"/>
      <c r="KWR18" s="64"/>
      <c r="KWS18" s="64"/>
      <c r="KWT18" s="64"/>
      <c r="KWU18" s="64"/>
      <c r="KWV18" s="64"/>
      <c r="KWW18" s="64"/>
      <c r="KWX18" s="64"/>
      <c r="KWY18" s="64"/>
      <c r="KWZ18" s="64"/>
      <c r="KXA18" s="64"/>
      <c r="KXB18" s="64"/>
      <c r="KXC18" s="64"/>
      <c r="KXD18" s="64"/>
      <c r="KXE18" s="64"/>
      <c r="KXF18" s="64"/>
      <c r="KXG18" s="64"/>
      <c r="KXH18" s="64"/>
      <c r="KXI18" s="64"/>
      <c r="KXJ18" s="64"/>
      <c r="KXK18" s="64"/>
      <c r="KXL18" s="64"/>
      <c r="KXM18" s="64"/>
      <c r="KXN18" s="64"/>
      <c r="KXO18" s="64"/>
      <c r="KXP18" s="64"/>
      <c r="KXQ18" s="64"/>
      <c r="KXR18" s="64"/>
      <c r="KXS18" s="64"/>
      <c r="KXT18" s="64"/>
      <c r="KXU18" s="64"/>
      <c r="KXV18" s="64"/>
      <c r="KXW18" s="64"/>
      <c r="KXX18" s="64"/>
      <c r="KXY18" s="64"/>
      <c r="KXZ18" s="64"/>
      <c r="KYA18" s="64"/>
      <c r="KYB18" s="64"/>
      <c r="KYC18" s="64"/>
      <c r="KYD18" s="64"/>
      <c r="KYE18" s="64"/>
      <c r="KYF18" s="64"/>
      <c r="KYG18" s="64"/>
      <c r="KYH18" s="64"/>
      <c r="KYI18" s="64"/>
      <c r="KYJ18" s="64"/>
      <c r="KYK18" s="64"/>
      <c r="KYL18" s="64"/>
      <c r="KYM18" s="64"/>
      <c r="KYN18" s="64"/>
      <c r="KYO18" s="64"/>
      <c r="KYP18" s="64"/>
      <c r="KYQ18" s="64"/>
      <c r="KYR18" s="64"/>
      <c r="KYS18" s="64"/>
      <c r="KYT18" s="64"/>
      <c r="KYU18" s="64"/>
      <c r="KYV18" s="64"/>
      <c r="KYW18" s="64"/>
      <c r="KYX18" s="64"/>
      <c r="KYY18" s="64"/>
      <c r="KYZ18" s="64"/>
      <c r="KZA18" s="64"/>
      <c r="KZB18" s="64"/>
      <c r="KZC18" s="64"/>
      <c r="KZD18" s="64"/>
      <c r="KZE18" s="64"/>
      <c r="KZF18" s="64"/>
      <c r="KZG18" s="64"/>
      <c r="KZH18" s="64"/>
      <c r="KZI18" s="64"/>
      <c r="KZJ18" s="64"/>
      <c r="KZK18" s="64"/>
      <c r="KZL18" s="64"/>
      <c r="KZM18" s="64"/>
      <c r="KZN18" s="64"/>
      <c r="KZO18" s="64"/>
      <c r="KZP18" s="64"/>
      <c r="KZQ18" s="64"/>
      <c r="KZR18" s="64"/>
      <c r="KZS18" s="64"/>
      <c r="KZT18" s="64"/>
      <c r="KZU18" s="64"/>
      <c r="KZV18" s="64"/>
      <c r="KZW18" s="64"/>
      <c r="KZX18" s="64"/>
      <c r="KZY18" s="64"/>
      <c r="KZZ18" s="64"/>
      <c r="LAA18" s="64"/>
      <c r="LAB18" s="64"/>
      <c r="LAC18" s="64"/>
      <c r="LAD18" s="64"/>
      <c r="LAE18" s="64"/>
      <c r="LAF18" s="64"/>
      <c r="LAG18" s="64"/>
      <c r="LAH18" s="64"/>
      <c r="LAI18" s="64"/>
      <c r="LAJ18" s="64"/>
      <c r="LAK18" s="64"/>
      <c r="LAL18" s="64"/>
      <c r="LAM18" s="64"/>
      <c r="LAN18" s="64"/>
      <c r="LAO18" s="64"/>
      <c r="LAP18" s="64"/>
      <c r="LAQ18" s="64"/>
      <c r="LAR18" s="64"/>
      <c r="LAS18" s="64"/>
      <c r="LAT18" s="64"/>
      <c r="LAU18" s="64"/>
      <c r="LAV18" s="64"/>
      <c r="LAW18" s="64"/>
      <c r="LAX18" s="64"/>
      <c r="LAY18" s="64"/>
      <c r="LAZ18" s="64"/>
      <c r="LBA18" s="64"/>
      <c r="LBB18" s="64"/>
      <c r="LBC18" s="64"/>
      <c r="LBD18" s="64"/>
      <c r="LBE18" s="64"/>
      <c r="LBF18" s="64"/>
      <c r="LBG18" s="64"/>
      <c r="LBH18" s="64"/>
      <c r="LBI18" s="64"/>
      <c r="LBJ18" s="64"/>
      <c r="LBK18" s="64"/>
      <c r="LBL18" s="64"/>
      <c r="LBM18" s="64"/>
      <c r="LBN18" s="64"/>
      <c r="LBO18" s="64"/>
      <c r="LBP18" s="64"/>
      <c r="LBQ18" s="64"/>
      <c r="LBR18" s="64"/>
      <c r="LBS18" s="64"/>
      <c r="LBT18" s="64"/>
      <c r="LBU18" s="64"/>
      <c r="LBV18" s="64"/>
      <c r="LBW18" s="64"/>
      <c r="LBX18" s="64"/>
      <c r="LBY18" s="64"/>
      <c r="LBZ18" s="64"/>
      <c r="LCA18" s="64"/>
      <c r="LCB18" s="64"/>
      <c r="LCC18" s="64"/>
      <c r="LCD18" s="64"/>
      <c r="LCE18" s="64"/>
      <c r="LCF18" s="64"/>
      <c r="LCG18" s="64"/>
      <c r="LCH18" s="64"/>
      <c r="LCI18" s="64"/>
      <c r="LCJ18" s="64"/>
      <c r="LCK18" s="64"/>
      <c r="LCL18" s="64"/>
      <c r="LCM18" s="64"/>
      <c r="LCN18" s="64"/>
      <c r="LCO18" s="64"/>
      <c r="LCP18" s="64"/>
      <c r="LCQ18" s="64"/>
      <c r="LCR18" s="64"/>
      <c r="LCS18" s="64"/>
      <c r="LCT18" s="64"/>
      <c r="LCU18" s="64"/>
      <c r="LCV18" s="64"/>
      <c r="LCW18" s="64"/>
      <c r="LCX18" s="64"/>
      <c r="LCY18" s="64"/>
      <c r="LCZ18" s="64"/>
      <c r="LDA18" s="64"/>
      <c r="LDB18" s="64"/>
      <c r="LDC18" s="64"/>
      <c r="LDD18" s="64"/>
      <c r="LDE18" s="64"/>
      <c r="LDF18" s="64"/>
      <c r="LDG18" s="64"/>
      <c r="LDH18" s="64"/>
      <c r="LDI18" s="64"/>
      <c r="LDJ18" s="64"/>
      <c r="LDK18" s="64"/>
      <c r="LDL18" s="64"/>
      <c r="LDM18" s="64"/>
      <c r="LDN18" s="64"/>
      <c r="LDO18" s="64"/>
      <c r="LDP18" s="64"/>
      <c r="LDQ18" s="64"/>
      <c r="LDR18" s="64"/>
      <c r="LDS18" s="64"/>
      <c r="LDT18" s="64"/>
      <c r="LDU18" s="64"/>
      <c r="LDV18" s="64"/>
      <c r="LDW18" s="64"/>
      <c r="LDX18" s="64"/>
      <c r="LDY18" s="64"/>
      <c r="LDZ18" s="64"/>
      <c r="LEA18" s="64"/>
      <c r="LEB18" s="64"/>
      <c r="LEC18" s="64"/>
      <c r="LED18" s="64"/>
      <c r="LEE18" s="64"/>
      <c r="LEF18" s="64"/>
      <c r="LEG18" s="64"/>
      <c r="LEH18" s="64"/>
      <c r="LEI18" s="64"/>
      <c r="LEJ18" s="64"/>
      <c r="LEK18" s="64"/>
      <c r="LEL18" s="64"/>
      <c r="LEM18" s="64"/>
      <c r="LEN18" s="64"/>
      <c r="LEO18" s="64"/>
      <c r="LEP18" s="64"/>
      <c r="LEQ18" s="64"/>
      <c r="LER18" s="64"/>
      <c r="LES18" s="64"/>
      <c r="LET18" s="64"/>
      <c r="LEU18" s="64"/>
      <c r="LEV18" s="64"/>
      <c r="LEW18" s="64"/>
      <c r="LEX18" s="64"/>
      <c r="LEY18" s="64"/>
      <c r="LEZ18" s="64"/>
      <c r="LFA18" s="64"/>
      <c r="LFB18" s="64"/>
      <c r="LFC18" s="64"/>
      <c r="LFD18" s="64"/>
      <c r="LFE18" s="64"/>
      <c r="LFF18" s="64"/>
      <c r="LFG18" s="64"/>
      <c r="LFH18" s="64"/>
      <c r="LFI18" s="64"/>
      <c r="LFJ18" s="64"/>
      <c r="LFK18" s="64"/>
      <c r="LFL18" s="64"/>
      <c r="LFM18" s="64"/>
      <c r="LFN18" s="64"/>
      <c r="LFO18" s="64"/>
      <c r="LFP18" s="64"/>
      <c r="LFQ18" s="64"/>
      <c r="LFR18" s="64"/>
      <c r="LFS18" s="64"/>
      <c r="LFT18" s="64"/>
      <c r="LFU18" s="64"/>
      <c r="LFV18" s="64"/>
      <c r="LFW18" s="64"/>
      <c r="LFX18" s="64"/>
      <c r="LFY18" s="64"/>
      <c r="LFZ18" s="64"/>
      <c r="LGA18" s="64"/>
      <c r="LGB18" s="64"/>
      <c r="LGC18" s="64"/>
      <c r="LGD18" s="64"/>
      <c r="LGE18" s="64"/>
      <c r="LGF18" s="64"/>
      <c r="LGG18" s="64"/>
      <c r="LGH18" s="64"/>
      <c r="LGI18" s="64"/>
      <c r="LGJ18" s="64"/>
      <c r="LGK18" s="64"/>
      <c r="LGL18" s="64"/>
      <c r="LGM18" s="64"/>
      <c r="LGN18" s="64"/>
      <c r="LGO18" s="64"/>
      <c r="LGP18" s="64"/>
      <c r="LGQ18" s="64"/>
      <c r="LGR18" s="64"/>
      <c r="LGS18" s="64"/>
      <c r="LGT18" s="64"/>
      <c r="LGU18" s="64"/>
      <c r="LGV18" s="64"/>
      <c r="LGW18" s="64"/>
      <c r="LGX18" s="64"/>
      <c r="LGY18" s="64"/>
      <c r="LGZ18" s="64"/>
      <c r="LHA18" s="64"/>
      <c r="LHB18" s="64"/>
      <c r="LHC18" s="64"/>
      <c r="LHD18" s="64"/>
      <c r="LHE18" s="64"/>
      <c r="LHF18" s="64"/>
      <c r="LHG18" s="64"/>
      <c r="LHH18" s="64"/>
      <c r="LHI18" s="64"/>
      <c r="LHJ18" s="64"/>
      <c r="LHK18" s="64"/>
      <c r="LHL18" s="64"/>
      <c r="LHM18" s="64"/>
      <c r="LHN18" s="64"/>
      <c r="LHO18" s="64"/>
      <c r="LHP18" s="64"/>
      <c r="LHQ18" s="64"/>
      <c r="LHR18" s="64"/>
      <c r="LHS18" s="64"/>
      <c r="LHT18" s="64"/>
      <c r="LHU18" s="64"/>
      <c r="LHV18" s="64"/>
      <c r="LHW18" s="64"/>
      <c r="LHX18" s="64"/>
      <c r="LHY18" s="64"/>
      <c r="LHZ18" s="64"/>
      <c r="LIA18" s="64"/>
      <c r="LIB18" s="64"/>
      <c r="LIC18" s="64"/>
      <c r="LID18" s="64"/>
      <c r="LIE18" s="64"/>
      <c r="LIF18" s="64"/>
      <c r="LIG18" s="64"/>
      <c r="LIH18" s="64"/>
      <c r="LII18" s="64"/>
      <c r="LIJ18" s="64"/>
      <c r="LIK18" s="64"/>
      <c r="LIL18" s="64"/>
      <c r="LIM18" s="64"/>
      <c r="LIN18" s="64"/>
      <c r="LIO18" s="64"/>
      <c r="LIP18" s="64"/>
      <c r="LIQ18" s="64"/>
      <c r="LIR18" s="64"/>
      <c r="LIS18" s="64"/>
      <c r="LIT18" s="64"/>
      <c r="LIU18" s="64"/>
      <c r="LIV18" s="64"/>
      <c r="LIW18" s="64"/>
      <c r="LIX18" s="64"/>
      <c r="LIY18" s="64"/>
      <c r="LIZ18" s="64"/>
      <c r="LJA18" s="64"/>
      <c r="LJB18" s="64"/>
      <c r="LJC18" s="64"/>
      <c r="LJD18" s="64"/>
      <c r="LJE18" s="64"/>
      <c r="LJF18" s="64"/>
      <c r="LJG18" s="64"/>
      <c r="LJH18" s="64"/>
      <c r="LJI18" s="64"/>
      <c r="LJJ18" s="64"/>
      <c r="LJK18" s="64"/>
      <c r="LJL18" s="64"/>
      <c r="LJM18" s="64"/>
      <c r="LJN18" s="64"/>
      <c r="LJO18" s="64"/>
      <c r="LJP18" s="64"/>
      <c r="LJQ18" s="64"/>
      <c r="LJR18" s="64"/>
      <c r="LJS18" s="64"/>
      <c r="LJT18" s="64"/>
      <c r="LJU18" s="64"/>
      <c r="LJV18" s="64"/>
      <c r="LJW18" s="64"/>
      <c r="LJX18" s="64"/>
      <c r="LJY18" s="64"/>
      <c r="LJZ18" s="64"/>
      <c r="LKA18" s="64"/>
      <c r="LKB18" s="64"/>
      <c r="LKC18" s="64"/>
      <c r="LKD18" s="64"/>
      <c r="LKE18" s="64"/>
      <c r="LKF18" s="64"/>
      <c r="LKG18" s="64"/>
      <c r="LKH18" s="64"/>
      <c r="LKI18" s="64"/>
      <c r="LKJ18" s="64"/>
      <c r="LKK18" s="64"/>
      <c r="LKL18" s="64"/>
      <c r="LKM18" s="64"/>
      <c r="LKN18" s="64"/>
      <c r="LKO18" s="64"/>
      <c r="LKP18" s="64"/>
      <c r="LKQ18" s="64"/>
      <c r="LKR18" s="64"/>
      <c r="LKS18" s="64"/>
      <c r="LKT18" s="64"/>
      <c r="LKU18" s="64"/>
      <c r="LKV18" s="64"/>
      <c r="LKW18" s="64"/>
      <c r="LKX18" s="64"/>
      <c r="LKY18" s="64"/>
      <c r="LKZ18" s="64"/>
      <c r="LLA18" s="64"/>
      <c r="LLB18" s="64"/>
      <c r="LLC18" s="64"/>
      <c r="LLD18" s="64"/>
      <c r="LLE18" s="64"/>
      <c r="LLF18" s="64"/>
      <c r="LLG18" s="64"/>
      <c r="LLH18" s="64"/>
      <c r="LLI18" s="64"/>
      <c r="LLJ18" s="64"/>
      <c r="LLK18" s="64"/>
      <c r="LLL18" s="64"/>
      <c r="LLM18" s="64"/>
      <c r="LLN18" s="64"/>
      <c r="LLO18" s="64"/>
      <c r="LLP18" s="64"/>
      <c r="LLQ18" s="64"/>
      <c r="LLR18" s="64"/>
      <c r="LLS18" s="64"/>
      <c r="LLT18" s="64"/>
      <c r="LLU18" s="64"/>
      <c r="LLV18" s="64"/>
      <c r="LLW18" s="64"/>
      <c r="LLX18" s="64"/>
      <c r="LLY18" s="64"/>
      <c r="LLZ18" s="64"/>
      <c r="LMA18" s="64"/>
      <c r="LMB18" s="64"/>
      <c r="LMC18" s="64"/>
      <c r="LMD18" s="64"/>
      <c r="LME18" s="64"/>
      <c r="LMF18" s="64"/>
      <c r="LMG18" s="64"/>
      <c r="LMH18" s="64"/>
      <c r="LMI18" s="64"/>
      <c r="LMJ18" s="64"/>
      <c r="LMK18" s="64"/>
      <c r="LML18" s="64"/>
      <c r="LMM18" s="64"/>
      <c r="LMN18" s="64"/>
      <c r="LMO18" s="64"/>
      <c r="LMP18" s="64"/>
      <c r="LMQ18" s="64"/>
      <c r="LMR18" s="64"/>
      <c r="LMS18" s="64"/>
      <c r="LMT18" s="64"/>
      <c r="LMU18" s="64"/>
      <c r="LMV18" s="64"/>
      <c r="LMW18" s="64"/>
      <c r="LMX18" s="64"/>
      <c r="LMY18" s="64"/>
      <c r="LMZ18" s="64"/>
      <c r="LNA18" s="64"/>
      <c r="LNB18" s="64"/>
      <c r="LNC18" s="64"/>
      <c r="LND18" s="64"/>
      <c r="LNE18" s="64"/>
      <c r="LNF18" s="64"/>
      <c r="LNG18" s="64"/>
      <c r="LNH18" s="64"/>
      <c r="LNI18" s="64"/>
      <c r="LNJ18" s="64"/>
      <c r="LNK18" s="64"/>
      <c r="LNL18" s="64"/>
      <c r="LNM18" s="64"/>
      <c r="LNN18" s="64"/>
      <c r="LNO18" s="64"/>
      <c r="LNP18" s="64"/>
      <c r="LNQ18" s="64"/>
      <c r="LNR18" s="64"/>
      <c r="LNS18" s="64"/>
      <c r="LNT18" s="64"/>
      <c r="LNU18" s="64"/>
      <c r="LNV18" s="64"/>
      <c r="LNW18" s="64"/>
      <c r="LNX18" s="64"/>
      <c r="LNY18" s="64"/>
      <c r="LNZ18" s="64"/>
      <c r="LOA18" s="64"/>
      <c r="LOB18" s="64"/>
      <c r="LOC18" s="64"/>
      <c r="LOD18" s="64"/>
      <c r="LOE18" s="64"/>
      <c r="LOF18" s="64"/>
      <c r="LOG18" s="64"/>
      <c r="LOH18" s="64"/>
      <c r="LOI18" s="64"/>
      <c r="LOJ18" s="64"/>
      <c r="LOK18" s="64"/>
      <c r="LOL18" s="64"/>
      <c r="LOM18" s="64"/>
      <c r="LON18" s="64"/>
      <c r="LOO18" s="64"/>
      <c r="LOP18" s="64"/>
      <c r="LOQ18" s="64"/>
      <c r="LOR18" s="64"/>
      <c r="LOS18" s="64"/>
      <c r="LOT18" s="64"/>
      <c r="LOU18" s="64"/>
      <c r="LOV18" s="64"/>
      <c r="LOW18" s="64"/>
      <c r="LOX18" s="64"/>
      <c r="LOY18" s="64"/>
      <c r="LOZ18" s="64"/>
      <c r="LPA18" s="64"/>
      <c r="LPB18" s="64"/>
      <c r="LPC18" s="64"/>
      <c r="LPD18" s="64"/>
      <c r="LPE18" s="64"/>
      <c r="LPF18" s="64"/>
      <c r="LPG18" s="64"/>
      <c r="LPH18" s="64"/>
      <c r="LPI18" s="64"/>
      <c r="LPJ18" s="64"/>
      <c r="LPK18" s="64"/>
      <c r="LPL18" s="64"/>
      <c r="LPM18" s="64"/>
      <c r="LPN18" s="64"/>
      <c r="LPO18" s="64"/>
      <c r="LPP18" s="64"/>
      <c r="LPQ18" s="64"/>
      <c r="LPR18" s="64"/>
      <c r="LPS18" s="64"/>
      <c r="LPT18" s="64"/>
      <c r="LPU18" s="64"/>
      <c r="LPV18" s="64"/>
      <c r="LPW18" s="64"/>
      <c r="LPX18" s="64"/>
      <c r="LPY18" s="64"/>
      <c r="LPZ18" s="64"/>
      <c r="LQA18" s="64"/>
      <c r="LQB18" s="64"/>
      <c r="LQC18" s="64"/>
      <c r="LQD18" s="64"/>
      <c r="LQE18" s="64"/>
      <c r="LQF18" s="64"/>
      <c r="LQG18" s="64"/>
      <c r="LQH18" s="64"/>
      <c r="LQI18" s="64"/>
      <c r="LQJ18" s="64"/>
      <c r="LQK18" s="64"/>
      <c r="LQL18" s="64"/>
      <c r="LQM18" s="64"/>
      <c r="LQN18" s="64"/>
      <c r="LQO18" s="64"/>
      <c r="LQP18" s="64"/>
      <c r="LQQ18" s="64"/>
      <c r="LQR18" s="64"/>
      <c r="LQS18" s="64"/>
      <c r="LQT18" s="64"/>
      <c r="LQU18" s="64"/>
      <c r="LQV18" s="64"/>
      <c r="LQW18" s="64"/>
      <c r="LQX18" s="64"/>
      <c r="LQY18" s="64"/>
      <c r="LQZ18" s="64"/>
      <c r="LRA18" s="64"/>
      <c r="LRB18" s="64"/>
      <c r="LRC18" s="64"/>
      <c r="LRD18" s="64"/>
      <c r="LRE18" s="64"/>
      <c r="LRF18" s="64"/>
      <c r="LRG18" s="64"/>
      <c r="LRH18" s="64"/>
      <c r="LRI18" s="64"/>
      <c r="LRJ18" s="64"/>
      <c r="LRK18" s="64"/>
      <c r="LRL18" s="64"/>
      <c r="LRM18" s="64"/>
      <c r="LRN18" s="64"/>
      <c r="LRO18" s="64"/>
      <c r="LRP18" s="64"/>
      <c r="LRQ18" s="64"/>
      <c r="LRR18" s="64"/>
      <c r="LRS18" s="64"/>
      <c r="LRT18" s="64"/>
      <c r="LRU18" s="64"/>
      <c r="LRV18" s="64"/>
      <c r="LRW18" s="64"/>
      <c r="LRX18" s="64"/>
      <c r="LRY18" s="64"/>
      <c r="LRZ18" s="64"/>
      <c r="LSA18" s="64"/>
      <c r="LSB18" s="64"/>
      <c r="LSC18" s="64"/>
      <c r="LSD18" s="64"/>
      <c r="LSE18" s="64"/>
      <c r="LSF18" s="64"/>
      <c r="LSG18" s="64"/>
      <c r="LSH18" s="64"/>
      <c r="LSI18" s="64"/>
      <c r="LSJ18" s="64"/>
      <c r="LSK18" s="64"/>
      <c r="LSL18" s="64"/>
      <c r="LSM18" s="64"/>
      <c r="LSN18" s="64"/>
      <c r="LSO18" s="64"/>
      <c r="LSP18" s="64"/>
      <c r="LSQ18" s="64"/>
      <c r="LSR18" s="64"/>
      <c r="LSS18" s="64"/>
      <c r="LST18" s="64"/>
      <c r="LSU18" s="64"/>
      <c r="LSV18" s="64"/>
      <c r="LSW18" s="64"/>
      <c r="LSX18" s="64"/>
      <c r="LSY18" s="64"/>
      <c r="LSZ18" s="64"/>
      <c r="LTA18" s="64"/>
      <c r="LTB18" s="64"/>
      <c r="LTC18" s="64"/>
      <c r="LTD18" s="64"/>
      <c r="LTE18" s="64"/>
      <c r="LTF18" s="64"/>
      <c r="LTG18" s="64"/>
      <c r="LTH18" s="64"/>
      <c r="LTI18" s="64"/>
      <c r="LTJ18" s="64"/>
      <c r="LTK18" s="64"/>
      <c r="LTL18" s="64"/>
      <c r="LTM18" s="64"/>
      <c r="LTN18" s="64"/>
      <c r="LTO18" s="64"/>
      <c r="LTP18" s="64"/>
      <c r="LTQ18" s="64"/>
      <c r="LTR18" s="64"/>
      <c r="LTS18" s="64"/>
      <c r="LTT18" s="64"/>
      <c r="LTU18" s="64"/>
      <c r="LTV18" s="64"/>
      <c r="LTW18" s="64"/>
      <c r="LTX18" s="64"/>
      <c r="LTY18" s="64"/>
      <c r="LTZ18" s="64"/>
      <c r="LUA18" s="64"/>
      <c r="LUB18" s="64"/>
      <c r="LUC18" s="64"/>
      <c r="LUD18" s="64"/>
      <c r="LUE18" s="64"/>
      <c r="LUF18" s="64"/>
      <c r="LUG18" s="64"/>
      <c r="LUH18" s="64"/>
      <c r="LUI18" s="64"/>
      <c r="LUJ18" s="64"/>
      <c r="LUK18" s="64"/>
      <c r="LUL18" s="64"/>
      <c r="LUM18" s="64"/>
      <c r="LUN18" s="64"/>
      <c r="LUO18" s="64"/>
      <c r="LUP18" s="64"/>
      <c r="LUQ18" s="64"/>
      <c r="LUR18" s="64"/>
      <c r="LUS18" s="64"/>
      <c r="LUT18" s="64"/>
      <c r="LUU18" s="64"/>
      <c r="LUV18" s="64"/>
      <c r="LUW18" s="64"/>
      <c r="LUX18" s="64"/>
      <c r="LUY18" s="64"/>
      <c r="LUZ18" s="64"/>
      <c r="LVA18" s="64"/>
      <c r="LVB18" s="64"/>
      <c r="LVC18" s="64"/>
      <c r="LVD18" s="64"/>
      <c r="LVE18" s="64"/>
      <c r="LVF18" s="64"/>
      <c r="LVG18" s="64"/>
      <c r="LVH18" s="64"/>
      <c r="LVI18" s="64"/>
      <c r="LVJ18" s="64"/>
      <c r="LVK18" s="64"/>
      <c r="LVL18" s="64"/>
      <c r="LVM18" s="64"/>
      <c r="LVN18" s="64"/>
      <c r="LVO18" s="64"/>
      <c r="LVP18" s="64"/>
      <c r="LVQ18" s="64"/>
      <c r="LVR18" s="64"/>
      <c r="LVS18" s="64"/>
      <c r="LVT18" s="64"/>
      <c r="LVU18" s="64"/>
      <c r="LVV18" s="64"/>
      <c r="LVW18" s="64"/>
      <c r="LVX18" s="64"/>
      <c r="LVY18" s="64"/>
      <c r="LVZ18" s="64"/>
      <c r="LWA18" s="64"/>
      <c r="LWB18" s="64"/>
      <c r="LWC18" s="64"/>
      <c r="LWD18" s="64"/>
      <c r="LWE18" s="64"/>
      <c r="LWF18" s="64"/>
      <c r="LWG18" s="64"/>
      <c r="LWH18" s="64"/>
      <c r="LWI18" s="64"/>
      <c r="LWJ18" s="64"/>
      <c r="LWK18" s="64"/>
      <c r="LWL18" s="64"/>
      <c r="LWM18" s="64"/>
      <c r="LWN18" s="64"/>
      <c r="LWO18" s="64"/>
      <c r="LWP18" s="64"/>
      <c r="LWQ18" s="64"/>
      <c r="LWR18" s="64"/>
      <c r="LWS18" s="64"/>
      <c r="LWT18" s="64"/>
      <c r="LWU18" s="64"/>
      <c r="LWV18" s="64"/>
      <c r="LWW18" s="64"/>
      <c r="LWX18" s="64"/>
      <c r="LWY18" s="64"/>
      <c r="LWZ18" s="64"/>
      <c r="LXA18" s="64"/>
      <c r="LXB18" s="64"/>
      <c r="LXC18" s="64"/>
      <c r="LXD18" s="64"/>
      <c r="LXE18" s="64"/>
      <c r="LXF18" s="64"/>
      <c r="LXG18" s="64"/>
      <c r="LXH18" s="64"/>
      <c r="LXI18" s="64"/>
      <c r="LXJ18" s="64"/>
      <c r="LXK18" s="64"/>
      <c r="LXL18" s="64"/>
      <c r="LXM18" s="64"/>
      <c r="LXN18" s="64"/>
      <c r="LXO18" s="64"/>
      <c r="LXP18" s="64"/>
      <c r="LXQ18" s="64"/>
      <c r="LXR18" s="64"/>
      <c r="LXS18" s="64"/>
      <c r="LXT18" s="64"/>
      <c r="LXU18" s="64"/>
      <c r="LXV18" s="64"/>
      <c r="LXW18" s="64"/>
      <c r="LXX18" s="64"/>
      <c r="LXY18" s="64"/>
      <c r="LXZ18" s="64"/>
      <c r="LYA18" s="64"/>
      <c r="LYB18" s="64"/>
      <c r="LYC18" s="64"/>
      <c r="LYD18" s="64"/>
      <c r="LYE18" s="64"/>
      <c r="LYF18" s="64"/>
      <c r="LYG18" s="64"/>
      <c r="LYH18" s="64"/>
      <c r="LYI18" s="64"/>
      <c r="LYJ18" s="64"/>
      <c r="LYK18" s="64"/>
      <c r="LYL18" s="64"/>
      <c r="LYM18" s="64"/>
      <c r="LYN18" s="64"/>
      <c r="LYO18" s="64"/>
      <c r="LYP18" s="64"/>
      <c r="LYQ18" s="64"/>
      <c r="LYR18" s="64"/>
      <c r="LYS18" s="64"/>
      <c r="LYT18" s="64"/>
      <c r="LYU18" s="64"/>
      <c r="LYV18" s="64"/>
      <c r="LYW18" s="64"/>
      <c r="LYX18" s="64"/>
      <c r="LYY18" s="64"/>
      <c r="LYZ18" s="64"/>
      <c r="LZA18" s="64"/>
      <c r="LZB18" s="64"/>
      <c r="LZC18" s="64"/>
      <c r="LZD18" s="64"/>
      <c r="LZE18" s="64"/>
      <c r="LZF18" s="64"/>
      <c r="LZG18" s="64"/>
      <c r="LZH18" s="64"/>
      <c r="LZI18" s="64"/>
      <c r="LZJ18" s="64"/>
      <c r="LZK18" s="64"/>
      <c r="LZL18" s="64"/>
      <c r="LZM18" s="64"/>
      <c r="LZN18" s="64"/>
      <c r="LZO18" s="64"/>
      <c r="LZP18" s="64"/>
      <c r="LZQ18" s="64"/>
      <c r="LZR18" s="64"/>
      <c r="LZS18" s="64"/>
      <c r="LZT18" s="64"/>
      <c r="LZU18" s="64"/>
      <c r="LZV18" s="64"/>
      <c r="LZW18" s="64"/>
      <c r="LZX18" s="64"/>
      <c r="LZY18" s="64"/>
      <c r="LZZ18" s="64"/>
      <c r="MAA18" s="64"/>
      <c r="MAB18" s="64"/>
      <c r="MAC18" s="64"/>
      <c r="MAD18" s="64"/>
      <c r="MAE18" s="64"/>
      <c r="MAF18" s="64"/>
      <c r="MAG18" s="64"/>
      <c r="MAH18" s="64"/>
      <c r="MAI18" s="64"/>
      <c r="MAJ18" s="64"/>
      <c r="MAK18" s="64"/>
      <c r="MAL18" s="64"/>
      <c r="MAM18" s="64"/>
      <c r="MAN18" s="64"/>
      <c r="MAO18" s="64"/>
      <c r="MAP18" s="64"/>
      <c r="MAQ18" s="64"/>
      <c r="MAR18" s="64"/>
      <c r="MAS18" s="64"/>
      <c r="MAT18" s="64"/>
      <c r="MAU18" s="64"/>
      <c r="MAV18" s="64"/>
      <c r="MAW18" s="64"/>
      <c r="MAX18" s="64"/>
      <c r="MAY18" s="64"/>
      <c r="MAZ18" s="64"/>
      <c r="MBA18" s="64"/>
      <c r="MBB18" s="64"/>
      <c r="MBC18" s="64"/>
      <c r="MBD18" s="64"/>
      <c r="MBE18" s="64"/>
      <c r="MBF18" s="64"/>
      <c r="MBG18" s="64"/>
      <c r="MBH18" s="64"/>
      <c r="MBI18" s="64"/>
      <c r="MBJ18" s="64"/>
      <c r="MBK18" s="64"/>
      <c r="MBL18" s="64"/>
      <c r="MBM18" s="64"/>
      <c r="MBN18" s="64"/>
      <c r="MBO18" s="64"/>
      <c r="MBP18" s="64"/>
      <c r="MBQ18" s="64"/>
      <c r="MBR18" s="64"/>
      <c r="MBS18" s="64"/>
      <c r="MBT18" s="64"/>
      <c r="MBU18" s="64"/>
      <c r="MBV18" s="64"/>
      <c r="MBW18" s="64"/>
      <c r="MBX18" s="64"/>
      <c r="MBY18" s="64"/>
      <c r="MBZ18" s="64"/>
      <c r="MCA18" s="64"/>
      <c r="MCB18" s="64"/>
      <c r="MCC18" s="64"/>
      <c r="MCD18" s="64"/>
      <c r="MCE18" s="64"/>
      <c r="MCF18" s="64"/>
      <c r="MCG18" s="64"/>
      <c r="MCH18" s="64"/>
      <c r="MCI18" s="64"/>
      <c r="MCJ18" s="64"/>
      <c r="MCK18" s="64"/>
      <c r="MCL18" s="64"/>
      <c r="MCM18" s="64"/>
      <c r="MCN18" s="64"/>
      <c r="MCO18" s="64"/>
      <c r="MCP18" s="64"/>
      <c r="MCQ18" s="64"/>
      <c r="MCR18" s="64"/>
      <c r="MCS18" s="64"/>
      <c r="MCT18" s="64"/>
      <c r="MCU18" s="64"/>
      <c r="MCV18" s="64"/>
      <c r="MCW18" s="64"/>
      <c r="MCX18" s="64"/>
      <c r="MCY18" s="64"/>
      <c r="MCZ18" s="64"/>
      <c r="MDA18" s="64"/>
      <c r="MDB18" s="64"/>
      <c r="MDC18" s="64"/>
      <c r="MDD18" s="64"/>
      <c r="MDE18" s="64"/>
      <c r="MDF18" s="64"/>
      <c r="MDG18" s="64"/>
      <c r="MDH18" s="64"/>
      <c r="MDI18" s="64"/>
      <c r="MDJ18" s="64"/>
      <c r="MDK18" s="64"/>
      <c r="MDL18" s="64"/>
      <c r="MDM18" s="64"/>
      <c r="MDN18" s="64"/>
      <c r="MDO18" s="64"/>
      <c r="MDP18" s="64"/>
      <c r="MDQ18" s="64"/>
      <c r="MDR18" s="64"/>
      <c r="MDS18" s="64"/>
      <c r="MDT18" s="64"/>
      <c r="MDU18" s="64"/>
      <c r="MDV18" s="64"/>
      <c r="MDW18" s="64"/>
      <c r="MDX18" s="64"/>
      <c r="MDY18" s="64"/>
      <c r="MDZ18" s="64"/>
      <c r="MEA18" s="64"/>
      <c r="MEB18" s="64"/>
      <c r="MEC18" s="64"/>
      <c r="MED18" s="64"/>
      <c r="MEE18" s="64"/>
      <c r="MEF18" s="64"/>
      <c r="MEG18" s="64"/>
      <c r="MEH18" s="64"/>
      <c r="MEI18" s="64"/>
      <c r="MEJ18" s="64"/>
      <c r="MEK18" s="64"/>
      <c r="MEL18" s="64"/>
      <c r="MEM18" s="64"/>
      <c r="MEN18" s="64"/>
      <c r="MEO18" s="64"/>
      <c r="MEP18" s="64"/>
      <c r="MEQ18" s="64"/>
      <c r="MER18" s="64"/>
      <c r="MES18" s="64"/>
      <c r="MET18" s="64"/>
      <c r="MEU18" s="64"/>
      <c r="MEV18" s="64"/>
      <c r="MEW18" s="64"/>
      <c r="MEX18" s="64"/>
      <c r="MEY18" s="64"/>
      <c r="MEZ18" s="64"/>
      <c r="MFA18" s="64"/>
      <c r="MFB18" s="64"/>
      <c r="MFC18" s="64"/>
      <c r="MFD18" s="64"/>
      <c r="MFE18" s="64"/>
      <c r="MFF18" s="64"/>
      <c r="MFG18" s="64"/>
      <c r="MFH18" s="64"/>
      <c r="MFI18" s="64"/>
      <c r="MFJ18" s="64"/>
      <c r="MFK18" s="64"/>
      <c r="MFL18" s="64"/>
      <c r="MFM18" s="64"/>
      <c r="MFN18" s="64"/>
      <c r="MFO18" s="64"/>
      <c r="MFP18" s="64"/>
      <c r="MFQ18" s="64"/>
      <c r="MFR18" s="64"/>
      <c r="MFS18" s="64"/>
      <c r="MFT18" s="64"/>
      <c r="MFU18" s="64"/>
      <c r="MFV18" s="64"/>
      <c r="MFW18" s="64"/>
      <c r="MFX18" s="64"/>
      <c r="MFY18" s="64"/>
      <c r="MFZ18" s="64"/>
      <c r="MGA18" s="64"/>
      <c r="MGB18" s="64"/>
      <c r="MGC18" s="64"/>
      <c r="MGD18" s="64"/>
      <c r="MGE18" s="64"/>
      <c r="MGF18" s="64"/>
      <c r="MGG18" s="64"/>
      <c r="MGH18" s="64"/>
      <c r="MGI18" s="64"/>
      <c r="MGJ18" s="64"/>
      <c r="MGK18" s="64"/>
      <c r="MGL18" s="64"/>
      <c r="MGM18" s="64"/>
      <c r="MGN18" s="64"/>
      <c r="MGO18" s="64"/>
      <c r="MGP18" s="64"/>
      <c r="MGQ18" s="64"/>
      <c r="MGR18" s="64"/>
      <c r="MGS18" s="64"/>
      <c r="MGT18" s="64"/>
      <c r="MGU18" s="64"/>
      <c r="MGV18" s="64"/>
      <c r="MGW18" s="64"/>
      <c r="MGX18" s="64"/>
      <c r="MGY18" s="64"/>
      <c r="MGZ18" s="64"/>
      <c r="MHA18" s="64"/>
      <c r="MHB18" s="64"/>
      <c r="MHC18" s="64"/>
      <c r="MHD18" s="64"/>
      <c r="MHE18" s="64"/>
      <c r="MHF18" s="64"/>
      <c r="MHG18" s="64"/>
      <c r="MHH18" s="64"/>
      <c r="MHI18" s="64"/>
      <c r="MHJ18" s="64"/>
      <c r="MHK18" s="64"/>
      <c r="MHL18" s="64"/>
      <c r="MHM18" s="64"/>
      <c r="MHN18" s="64"/>
      <c r="MHO18" s="64"/>
      <c r="MHP18" s="64"/>
      <c r="MHQ18" s="64"/>
      <c r="MHR18" s="64"/>
      <c r="MHS18" s="64"/>
      <c r="MHT18" s="64"/>
      <c r="MHU18" s="64"/>
      <c r="MHV18" s="64"/>
      <c r="MHW18" s="64"/>
      <c r="MHX18" s="64"/>
      <c r="MHY18" s="64"/>
      <c r="MHZ18" s="64"/>
      <c r="MIA18" s="64"/>
      <c r="MIB18" s="64"/>
      <c r="MIC18" s="64"/>
      <c r="MID18" s="64"/>
      <c r="MIE18" s="64"/>
      <c r="MIF18" s="64"/>
      <c r="MIG18" s="64"/>
      <c r="MIH18" s="64"/>
      <c r="MII18" s="64"/>
      <c r="MIJ18" s="64"/>
      <c r="MIK18" s="64"/>
      <c r="MIL18" s="64"/>
      <c r="MIM18" s="64"/>
      <c r="MIN18" s="64"/>
      <c r="MIO18" s="64"/>
      <c r="MIP18" s="64"/>
      <c r="MIQ18" s="64"/>
      <c r="MIR18" s="64"/>
      <c r="MIS18" s="64"/>
      <c r="MIT18" s="64"/>
      <c r="MIU18" s="64"/>
      <c r="MIV18" s="64"/>
      <c r="MIW18" s="64"/>
      <c r="MIX18" s="64"/>
      <c r="MIY18" s="64"/>
      <c r="MIZ18" s="64"/>
      <c r="MJA18" s="64"/>
      <c r="MJB18" s="64"/>
      <c r="MJC18" s="64"/>
      <c r="MJD18" s="64"/>
      <c r="MJE18" s="64"/>
      <c r="MJF18" s="64"/>
      <c r="MJG18" s="64"/>
      <c r="MJH18" s="64"/>
      <c r="MJI18" s="64"/>
      <c r="MJJ18" s="64"/>
      <c r="MJK18" s="64"/>
      <c r="MJL18" s="64"/>
      <c r="MJM18" s="64"/>
      <c r="MJN18" s="64"/>
      <c r="MJO18" s="64"/>
      <c r="MJP18" s="64"/>
      <c r="MJQ18" s="64"/>
      <c r="MJR18" s="64"/>
      <c r="MJS18" s="64"/>
      <c r="MJT18" s="64"/>
      <c r="MJU18" s="64"/>
      <c r="MJV18" s="64"/>
      <c r="MJW18" s="64"/>
      <c r="MJX18" s="64"/>
      <c r="MJY18" s="64"/>
      <c r="MJZ18" s="64"/>
      <c r="MKA18" s="64"/>
      <c r="MKB18" s="64"/>
      <c r="MKC18" s="64"/>
      <c r="MKD18" s="64"/>
      <c r="MKE18" s="64"/>
      <c r="MKF18" s="64"/>
      <c r="MKG18" s="64"/>
      <c r="MKH18" s="64"/>
      <c r="MKI18" s="64"/>
      <c r="MKJ18" s="64"/>
      <c r="MKK18" s="64"/>
      <c r="MKL18" s="64"/>
      <c r="MKM18" s="64"/>
      <c r="MKN18" s="64"/>
      <c r="MKO18" s="64"/>
      <c r="MKP18" s="64"/>
      <c r="MKQ18" s="64"/>
      <c r="MKR18" s="64"/>
      <c r="MKS18" s="64"/>
      <c r="MKT18" s="64"/>
      <c r="MKU18" s="64"/>
      <c r="MKV18" s="64"/>
      <c r="MKW18" s="64"/>
      <c r="MKX18" s="64"/>
      <c r="MKY18" s="64"/>
      <c r="MKZ18" s="64"/>
      <c r="MLA18" s="64"/>
      <c r="MLB18" s="64"/>
      <c r="MLC18" s="64"/>
      <c r="MLD18" s="64"/>
      <c r="MLE18" s="64"/>
      <c r="MLF18" s="64"/>
      <c r="MLG18" s="64"/>
      <c r="MLH18" s="64"/>
      <c r="MLI18" s="64"/>
      <c r="MLJ18" s="64"/>
      <c r="MLK18" s="64"/>
      <c r="MLL18" s="64"/>
      <c r="MLM18" s="64"/>
      <c r="MLN18" s="64"/>
      <c r="MLO18" s="64"/>
      <c r="MLP18" s="64"/>
      <c r="MLQ18" s="64"/>
      <c r="MLR18" s="64"/>
      <c r="MLS18" s="64"/>
      <c r="MLT18" s="64"/>
      <c r="MLU18" s="64"/>
      <c r="MLV18" s="64"/>
      <c r="MLW18" s="64"/>
      <c r="MLX18" s="64"/>
      <c r="MLY18" s="64"/>
      <c r="MLZ18" s="64"/>
      <c r="MMA18" s="64"/>
      <c r="MMB18" s="64"/>
      <c r="MMC18" s="64"/>
      <c r="MMD18" s="64"/>
      <c r="MME18" s="64"/>
      <c r="MMF18" s="64"/>
      <c r="MMG18" s="64"/>
      <c r="MMH18" s="64"/>
      <c r="MMI18" s="64"/>
      <c r="MMJ18" s="64"/>
      <c r="MMK18" s="64"/>
      <c r="MML18" s="64"/>
      <c r="MMM18" s="64"/>
      <c r="MMN18" s="64"/>
      <c r="MMO18" s="64"/>
      <c r="MMP18" s="64"/>
      <c r="MMQ18" s="64"/>
      <c r="MMR18" s="64"/>
      <c r="MMS18" s="64"/>
      <c r="MMT18" s="64"/>
      <c r="MMU18" s="64"/>
      <c r="MMV18" s="64"/>
      <c r="MMW18" s="64"/>
      <c r="MMX18" s="64"/>
      <c r="MMY18" s="64"/>
      <c r="MMZ18" s="64"/>
      <c r="MNA18" s="64"/>
      <c r="MNB18" s="64"/>
      <c r="MNC18" s="64"/>
      <c r="MND18" s="64"/>
      <c r="MNE18" s="64"/>
      <c r="MNF18" s="64"/>
      <c r="MNG18" s="64"/>
      <c r="MNH18" s="64"/>
      <c r="MNI18" s="64"/>
      <c r="MNJ18" s="64"/>
      <c r="MNK18" s="64"/>
      <c r="MNL18" s="64"/>
      <c r="MNM18" s="64"/>
      <c r="MNN18" s="64"/>
      <c r="MNO18" s="64"/>
      <c r="MNP18" s="64"/>
      <c r="MNQ18" s="64"/>
      <c r="MNR18" s="64"/>
      <c r="MNS18" s="64"/>
      <c r="MNT18" s="64"/>
      <c r="MNU18" s="64"/>
      <c r="MNV18" s="64"/>
      <c r="MNW18" s="64"/>
      <c r="MNX18" s="64"/>
      <c r="MNY18" s="64"/>
      <c r="MNZ18" s="64"/>
      <c r="MOA18" s="64"/>
      <c r="MOB18" s="64"/>
      <c r="MOC18" s="64"/>
      <c r="MOD18" s="64"/>
      <c r="MOE18" s="64"/>
      <c r="MOF18" s="64"/>
      <c r="MOG18" s="64"/>
      <c r="MOH18" s="64"/>
      <c r="MOI18" s="64"/>
      <c r="MOJ18" s="64"/>
      <c r="MOK18" s="64"/>
      <c r="MOL18" s="64"/>
      <c r="MOM18" s="64"/>
      <c r="MON18" s="64"/>
      <c r="MOO18" s="64"/>
      <c r="MOP18" s="64"/>
      <c r="MOQ18" s="64"/>
      <c r="MOR18" s="64"/>
      <c r="MOS18" s="64"/>
      <c r="MOT18" s="64"/>
      <c r="MOU18" s="64"/>
      <c r="MOV18" s="64"/>
      <c r="MOW18" s="64"/>
      <c r="MOX18" s="64"/>
      <c r="MOY18" s="64"/>
      <c r="MOZ18" s="64"/>
      <c r="MPA18" s="64"/>
      <c r="MPB18" s="64"/>
      <c r="MPC18" s="64"/>
      <c r="MPD18" s="64"/>
      <c r="MPE18" s="64"/>
      <c r="MPF18" s="64"/>
      <c r="MPG18" s="64"/>
      <c r="MPH18" s="64"/>
      <c r="MPI18" s="64"/>
      <c r="MPJ18" s="64"/>
      <c r="MPK18" s="64"/>
      <c r="MPL18" s="64"/>
      <c r="MPM18" s="64"/>
      <c r="MPN18" s="64"/>
      <c r="MPO18" s="64"/>
      <c r="MPP18" s="64"/>
      <c r="MPQ18" s="64"/>
      <c r="MPR18" s="64"/>
      <c r="MPS18" s="64"/>
      <c r="MPT18" s="64"/>
      <c r="MPU18" s="64"/>
      <c r="MPV18" s="64"/>
      <c r="MPW18" s="64"/>
      <c r="MPX18" s="64"/>
      <c r="MPY18" s="64"/>
      <c r="MPZ18" s="64"/>
      <c r="MQA18" s="64"/>
      <c r="MQB18" s="64"/>
      <c r="MQC18" s="64"/>
      <c r="MQD18" s="64"/>
      <c r="MQE18" s="64"/>
      <c r="MQF18" s="64"/>
      <c r="MQG18" s="64"/>
      <c r="MQH18" s="64"/>
      <c r="MQI18" s="64"/>
      <c r="MQJ18" s="64"/>
      <c r="MQK18" s="64"/>
      <c r="MQL18" s="64"/>
      <c r="MQM18" s="64"/>
      <c r="MQN18" s="64"/>
      <c r="MQO18" s="64"/>
      <c r="MQP18" s="64"/>
      <c r="MQQ18" s="64"/>
      <c r="MQR18" s="64"/>
      <c r="MQS18" s="64"/>
      <c r="MQT18" s="64"/>
      <c r="MQU18" s="64"/>
      <c r="MQV18" s="64"/>
      <c r="MQW18" s="64"/>
      <c r="MQX18" s="64"/>
      <c r="MQY18" s="64"/>
      <c r="MQZ18" s="64"/>
      <c r="MRA18" s="64"/>
      <c r="MRB18" s="64"/>
      <c r="MRC18" s="64"/>
      <c r="MRD18" s="64"/>
      <c r="MRE18" s="64"/>
      <c r="MRF18" s="64"/>
      <c r="MRG18" s="64"/>
      <c r="MRH18" s="64"/>
      <c r="MRI18" s="64"/>
      <c r="MRJ18" s="64"/>
      <c r="MRK18" s="64"/>
      <c r="MRL18" s="64"/>
      <c r="MRM18" s="64"/>
      <c r="MRN18" s="64"/>
      <c r="MRO18" s="64"/>
      <c r="MRP18" s="64"/>
      <c r="MRQ18" s="64"/>
      <c r="MRR18" s="64"/>
      <c r="MRS18" s="64"/>
      <c r="MRT18" s="64"/>
      <c r="MRU18" s="64"/>
      <c r="MRV18" s="64"/>
      <c r="MRW18" s="64"/>
      <c r="MRX18" s="64"/>
      <c r="MRY18" s="64"/>
      <c r="MRZ18" s="64"/>
      <c r="MSA18" s="64"/>
      <c r="MSB18" s="64"/>
      <c r="MSC18" s="64"/>
      <c r="MSD18" s="64"/>
      <c r="MSE18" s="64"/>
      <c r="MSF18" s="64"/>
      <c r="MSG18" s="64"/>
      <c r="MSH18" s="64"/>
      <c r="MSI18" s="64"/>
      <c r="MSJ18" s="64"/>
      <c r="MSK18" s="64"/>
      <c r="MSL18" s="64"/>
      <c r="MSM18" s="64"/>
      <c r="MSN18" s="64"/>
      <c r="MSO18" s="64"/>
      <c r="MSP18" s="64"/>
      <c r="MSQ18" s="64"/>
      <c r="MSR18" s="64"/>
      <c r="MSS18" s="64"/>
      <c r="MST18" s="64"/>
      <c r="MSU18" s="64"/>
      <c r="MSV18" s="64"/>
      <c r="MSW18" s="64"/>
      <c r="MSX18" s="64"/>
      <c r="MSY18" s="64"/>
      <c r="MSZ18" s="64"/>
      <c r="MTA18" s="64"/>
      <c r="MTB18" s="64"/>
      <c r="MTC18" s="64"/>
      <c r="MTD18" s="64"/>
      <c r="MTE18" s="64"/>
      <c r="MTF18" s="64"/>
      <c r="MTG18" s="64"/>
      <c r="MTH18" s="64"/>
      <c r="MTI18" s="64"/>
      <c r="MTJ18" s="64"/>
      <c r="MTK18" s="64"/>
      <c r="MTL18" s="64"/>
      <c r="MTM18" s="64"/>
      <c r="MTN18" s="64"/>
      <c r="MTO18" s="64"/>
      <c r="MTP18" s="64"/>
      <c r="MTQ18" s="64"/>
      <c r="MTR18" s="64"/>
      <c r="MTS18" s="64"/>
      <c r="MTT18" s="64"/>
      <c r="MTU18" s="64"/>
      <c r="MTV18" s="64"/>
      <c r="MTW18" s="64"/>
      <c r="MTX18" s="64"/>
      <c r="MTY18" s="64"/>
      <c r="MTZ18" s="64"/>
      <c r="MUA18" s="64"/>
      <c r="MUB18" s="64"/>
      <c r="MUC18" s="64"/>
      <c r="MUD18" s="64"/>
      <c r="MUE18" s="64"/>
      <c r="MUF18" s="64"/>
      <c r="MUG18" s="64"/>
      <c r="MUH18" s="64"/>
      <c r="MUI18" s="64"/>
      <c r="MUJ18" s="64"/>
      <c r="MUK18" s="64"/>
      <c r="MUL18" s="64"/>
      <c r="MUM18" s="64"/>
      <c r="MUN18" s="64"/>
      <c r="MUO18" s="64"/>
      <c r="MUP18" s="64"/>
      <c r="MUQ18" s="64"/>
      <c r="MUR18" s="64"/>
      <c r="MUS18" s="64"/>
      <c r="MUT18" s="64"/>
      <c r="MUU18" s="64"/>
      <c r="MUV18" s="64"/>
      <c r="MUW18" s="64"/>
      <c r="MUX18" s="64"/>
      <c r="MUY18" s="64"/>
      <c r="MUZ18" s="64"/>
      <c r="MVA18" s="64"/>
      <c r="MVB18" s="64"/>
      <c r="MVC18" s="64"/>
      <c r="MVD18" s="64"/>
      <c r="MVE18" s="64"/>
      <c r="MVF18" s="64"/>
      <c r="MVG18" s="64"/>
      <c r="MVH18" s="64"/>
      <c r="MVI18" s="64"/>
      <c r="MVJ18" s="64"/>
      <c r="MVK18" s="64"/>
      <c r="MVL18" s="64"/>
      <c r="MVM18" s="64"/>
      <c r="MVN18" s="64"/>
      <c r="MVO18" s="64"/>
      <c r="MVP18" s="64"/>
      <c r="MVQ18" s="64"/>
      <c r="MVR18" s="64"/>
      <c r="MVS18" s="64"/>
      <c r="MVT18" s="64"/>
      <c r="MVU18" s="64"/>
      <c r="MVV18" s="64"/>
      <c r="MVW18" s="64"/>
      <c r="MVX18" s="64"/>
      <c r="MVY18" s="64"/>
      <c r="MVZ18" s="64"/>
      <c r="MWA18" s="64"/>
      <c r="MWB18" s="64"/>
      <c r="MWC18" s="64"/>
      <c r="MWD18" s="64"/>
      <c r="MWE18" s="64"/>
      <c r="MWF18" s="64"/>
      <c r="MWG18" s="64"/>
      <c r="MWH18" s="64"/>
      <c r="MWI18" s="64"/>
      <c r="MWJ18" s="64"/>
      <c r="MWK18" s="64"/>
      <c r="MWL18" s="64"/>
      <c r="MWM18" s="64"/>
      <c r="MWN18" s="64"/>
      <c r="MWO18" s="64"/>
      <c r="MWP18" s="64"/>
      <c r="MWQ18" s="64"/>
      <c r="MWR18" s="64"/>
      <c r="MWS18" s="64"/>
      <c r="MWT18" s="64"/>
      <c r="MWU18" s="64"/>
      <c r="MWV18" s="64"/>
      <c r="MWW18" s="64"/>
      <c r="MWX18" s="64"/>
      <c r="MWY18" s="64"/>
      <c r="MWZ18" s="64"/>
      <c r="MXA18" s="64"/>
      <c r="MXB18" s="64"/>
      <c r="MXC18" s="64"/>
      <c r="MXD18" s="64"/>
      <c r="MXE18" s="64"/>
      <c r="MXF18" s="64"/>
      <c r="MXG18" s="64"/>
      <c r="MXH18" s="64"/>
      <c r="MXI18" s="64"/>
      <c r="MXJ18" s="64"/>
      <c r="MXK18" s="64"/>
      <c r="MXL18" s="64"/>
      <c r="MXM18" s="64"/>
      <c r="MXN18" s="64"/>
      <c r="MXO18" s="64"/>
      <c r="MXP18" s="64"/>
      <c r="MXQ18" s="64"/>
      <c r="MXR18" s="64"/>
      <c r="MXS18" s="64"/>
      <c r="MXT18" s="64"/>
      <c r="MXU18" s="64"/>
      <c r="MXV18" s="64"/>
      <c r="MXW18" s="64"/>
      <c r="MXX18" s="64"/>
      <c r="MXY18" s="64"/>
      <c r="MXZ18" s="64"/>
      <c r="MYA18" s="64"/>
      <c r="MYB18" s="64"/>
      <c r="MYC18" s="64"/>
      <c r="MYD18" s="64"/>
      <c r="MYE18" s="64"/>
      <c r="MYF18" s="64"/>
      <c r="MYG18" s="64"/>
      <c r="MYH18" s="64"/>
      <c r="MYI18" s="64"/>
      <c r="MYJ18" s="64"/>
      <c r="MYK18" s="64"/>
      <c r="MYL18" s="64"/>
      <c r="MYM18" s="64"/>
      <c r="MYN18" s="64"/>
      <c r="MYO18" s="64"/>
      <c r="MYP18" s="64"/>
      <c r="MYQ18" s="64"/>
      <c r="MYR18" s="64"/>
      <c r="MYS18" s="64"/>
      <c r="MYT18" s="64"/>
      <c r="MYU18" s="64"/>
      <c r="MYV18" s="64"/>
      <c r="MYW18" s="64"/>
      <c r="MYX18" s="64"/>
      <c r="MYY18" s="64"/>
      <c r="MYZ18" s="64"/>
      <c r="MZA18" s="64"/>
      <c r="MZB18" s="64"/>
      <c r="MZC18" s="64"/>
      <c r="MZD18" s="64"/>
      <c r="MZE18" s="64"/>
      <c r="MZF18" s="64"/>
      <c r="MZG18" s="64"/>
      <c r="MZH18" s="64"/>
      <c r="MZI18" s="64"/>
      <c r="MZJ18" s="64"/>
      <c r="MZK18" s="64"/>
      <c r="MZL18" s="64"/>
      <c r="MZM18" s="64"/>
      <c r="MZN18" s="64"/>
      <c r="MZO18" s="64"/>
      <c r="MZP18" s="64"/>
      <c r="MZQ18" s="64"/>
      <c r="MZR18" s="64"/>
      <c r="MZS18" s="64"/>
      <c r="MZT18" s="64"/>
      <c r="MZU18" s="64"/>
      <c r="MZV18" s="64"/>
      <c r="MZW18" s="64"/>
      <c r="MZX18" s="64"/>
      <c r="MZY18" s="64"/>
      <c r="MZZ18" s="64"/>
      <c r="NAA18" s="64"/>
      <c r="NAB18" s="64"/>
      <c r="NAC18" s="64"/>
      <c r="NAD18" s="64"/>
      <c r="NAE18" s="64"/>
      <c r="NAF18" s="64"/>
      <c r="NAG18" s="64"/>
      <c r="NAH18" s="64"/>
      <c r="NAI18" s="64"/>
      <c r="NAJ18" s="64"/>
      <c r="NAK18" s="64"/>
      <c r="NAL18" s="64"/>
      <c r="NAM18" s="64"/>
      <c r="NAN18" s="64"/>
      <c r="NAO18" s="64"/>
      <c r="NAP18" s="64"/>
      <c r="NAQ18" s="64"/>
      <c r="NAR18" s="64"/>
      <c r="NAS18" s="64"/>
      <c r="NAT18" s="64"/>
      <c r="NAU18" s="64"/>
      <c r="NAV18" s="64"/>
      <c r="NAW18" s="64"/>
      <c r="NAX18" s="64"/>
      <c r="NAY18" s="64"/>
      <c r="NAZ18" s="64"/>
      <c r="NBA18" s="64"/>
      <c r="NBB18" s="64"/>
      <c r="NBC18" s="64"/>
      <c r="NBD18" s="64"/>
      <c r="NBE18" s="64"/>
      <c r="NBF18" s="64"/>
      <c r="NBG18" s="64"/>
      <c r="NBH18" s="64"/>
      <c r="NBI18" s="64"/>
      <c r="NBJ18" s="64"/>
      <c r="NBK18" s="64"/>
      <c r="NBL18" s="64"/>
      <c r="NBM18" s="64"/>
      <c r="NBN18" s="64"/>
      <c r="NBO18" s="64"/>
      <c r="NBP18" s="64"/>
      <c r="NBQ18" s="64"/>
      <c r="NBR18" s="64"/>
      <c r="NBS18" s="64"/>
      <c r="NBT18" s="64"/>
      <c r="NBU18" s="64"/>
      <c r="NBV18" s="64"/>
      <c r="NBW18" s="64"/>
      <c r="NBX18" s="64"/>
      <c r="NBY18" s="64"/>
      <c r="NBZ18" s="64"/>
      <c r="NCA18" s="64"/>
      <c r="NCB18" s="64"/>
      <c r="NCC18" s="64"/>
      <c r="NCD18" s="64"/>
      <c r="NCE18" s="64"/>
      <c r="NCF18" s="64"/>
      <c r="NCG18" s="64"/>
      <c r="NCH18" s="64"/>
      <c r="NCI18" s="64"/>
      <c r="NCJ18" s="64"/>
      <c r="NCK18" s="64"/>
      <c r="NCL18" s="64"/>
      <c r="NCM18" s="64"/>
      <c r="NCN18" s="64"/>
      <c r="NCO18" s="64"/>
      <c r="NCP18" s="64"/>
      <c r="NCQ18" s="64"/>
      <c r="NCR18" s="64"/>
      <c r="NCS18" s="64"/>
      <c r="NCT18" s="64"/>
      <c r="NCU18" s="64"/>
      <c r="NCV18" s="64"/>
      <c r="NCW18" s="64"/>
      <c r="NCX18" s="64"/>
      <c r="NCY18" s="64"/>
      <c r="NCZ18" s="64"/>
      <c r="NDA18" s="64"/>
      <c r="NDB18" s="64"/>
      <c r="NDC18" s="64"/>
      <c r="NDD18" s="64"/>
      <c r="NDE18" s="64"/>
      <c r="NDF18" s="64"/>
      <c r="NDG18" s="64"/>
      <c r="NDH18" s="64"/>
      <c r="NDI18" s="64"/>
      <c r="NDJ18" s="64"/>
      <c r="NDK18" s="64"/>
      <c r="NDL18" s="64"/>
      <c r="NDM18" s="64"/>
      <c r="NDN18" s="64"/>
      <c r="NDO18" s="64"/>
      <c r="NDP18" s="64"/>
      <c r="NDQ18" s="64"/>
      <c r="NDR18" s="64"/>
      <c r="NDS18" s="64"/>
      <c r="NDT18" s="64"/>
      <c r="NDU18" s="64"/>
      <c r="NDV18" s="64"/>
      <c r="NDW18" s="64"/>
      <c r="NDX18" s="64"/>
      <c r="NDY18" s="64"/>
      <c r="NDZ18" s="64"/>
      <c r="NEA18" s="64"/>
      <c r="NEB18" s="64"/>
      <c r="NEC18" s="64"/>
      <c r="NED18" s="64"/>
      <c r="NEE18" s="64"/>
      <c r="NEF18" s="64"/>
      <c r="NEG18" s="64"/>
      <c r="NEH18" s="64"/>
      <c r="NEI18" s="64"/>
      <c r="NEJ18" s="64"/>
      <c r="NEK18" s="64"/>
      <c r="NEL18" s="64"/>
      <c r="NEM18" s="64"/>
      <c r="NEN18" s="64"/>
      <c r="NEO18" s="64"/>
      <c r="NEP18" s="64"/>
      <c r="NEQ18" s="64"/>
      <c r="NER18" s="64"/>
      <c r="NES18" s="64"/>
      <c r="NET18" s="64"/>
      <c r="NEU18" s="64"/>
      <c r="NEV18" s="64"/>
      <c r="NEW18" s="64"/>
      <c r="NEX18" s="64"/>
      <c r="NEY18" s="64"/>
      <c r="NEZ18" s="64"/>
      <c r="NFA18" s="64"/>
      <c r="NFB18" s="64"/>
      <c r="NFC18" s="64"/>
      <c r="NFD18" s="64"/>
      <c r="NFE18" s="64"/>
      <c r="NFF18" s="64"/>
      <c r="NFG18" s="64"/>
      <c r="NFH18" s="64"/>
      <c r="NFI18" s="64"/>
      <c r="NFJ18" s="64"/>
      <c r="NFK18" s="64"/>
      <c r="NFL18" s="64"/>
      <c r="NFM18" s="64"/>
      <c r="NFN18" s="64"/>
      <c r="NFO18" s="64"/>
      <c r="NFP18" s="64"/>
      <c r="NFQ18" s="64"/>
      <c r="NFR18" s="64"/>
      <c r="NFS18" s="64"/>
      <c r="NFT18" s="64"/>
      <c r="NFU18" s="64"/>
      <c r="NFV18" s="64"/>
      <c r="NFW18" s="64"/>
      <c r="NFX18" s="64"/>
      <c r="NFY18" s="64"/>
      <c r="NFZ18" s="64"/>
      <c r="NGA18" s="64"/>
      <c r="NGB18" s="64"/>
      <c r="NGC18" s="64"/>
      <c r="NGD18" s="64"/>
      <c r="NGE18" s="64"/>
      <c r="NGF18" s="64"/>
      <c r="NGG18" s="64"/>
      <c r="NGH18" s="64"/>
      <c r="NGI18" s="64"/>
      <c r="NGJ18" s="64"/>
      <c r="NGK18" s="64"/>
      <c r="NGL18" s="64"/>
      <c r="NGM18" s="64"/>
      <c r="NGN18" s="64"/>
      <c r="NGO18" s="64"/>
      <c r="NGP18" s="64"/>
      <c r="NGQ18" s="64"/>
      <c r="NGR18" s="64"/>
      <c r="NGS18" s="64"/>
      <c r="NGT18" s="64"/>
      <c r="NGU18" s="64"/>
      <c r="NGV18" s="64"/>
      <c r="NGW18" s="64"/>
      <c r="NGX18" s="64"/>
      <c r="NGY18" s="64"/>
      <c r="NGZ18" s="64"/>
      <c r="NHA18" s="64"/>
      <c r="NHB18" s="64"/>
      <c r="NHC18" s="64"/>
      <c r="NHD18" s="64"/>
      <c r="NHE18" s="64"/>
      <c r="NHF18" s="64"/>
      <c r="NHG18" s="64"/>
      <c r="NHH18" s="64"/>
      <c r="NHI18" s="64"/>
      <c r="NHJ18" s="64"/>
      <c r="NHK18" s="64"/>
      <c r="NHL18" s="64"/>
      <c r="NHM18" s="64"/>
      <c r="NHN18" s="64"/>
      <c r="NHO18" s="64"/>
      <c r="NHP18" s="64"/>
      <c r="NHQ18" s="64"/>
      <c r="NHR18" s="64"/>
      <c r="NHS18" s="64"/>
      <c r="NHT18" s="64"/>
      <c r="NHU18" s="64"/>
      <c r="NHV18" s="64"/>
      <c r="NHW18" s="64"/>
      <c r="NHX18" s="64"/>
      <c r="NHY18" s="64"/>
      <c r="NHZ18" s="64"/>
      <c r="NIA18" s="64"/>
      <c r="NIB18" s="64"/>
      <c r="NIC18" s="64"/>
      <c r="NID18" s="64"/>
      <c r="NIE18" s="64"/>
      <c r="NIF18" s="64"/>
      <c r="NIG18" s="64"/>
      <c r="NIH18" s="64"/>
      <c r="NII18" s="64"/>
      <c r="NIJ18" s="64"/>
      <c r="NIK18" s="64"/>
      <c r="NIL18" s="64"/>
      <c r="NIM18" s="64"/>
      <c r="NIN18" s="64"/>
      <c r="NIO18" s="64"/>
      <c r="NIP18" s="64"/>
      <c r="NIQ18" s="64"/>
      <c r="NIR18" s="64"/>
      <c r="NIS18" s="64"/>
      <c r="NIT18" s="64"/>
      <c r="NIU18" s="64"/>
      <c r="NIV18" s="64"/>
      <c r="NIW18" s="64"/>
      <c r="NIX18" s="64"/>
      <c r="NIY18" s="64"/>
      <c r="NIZ18" s="64"/>
      <c r="NJA18" s="64"/>
      <c r="NJB18" s="64"/>
      <c r="NJC18" s="64"/>
      <c r="NJD18" s="64"/>
      <c r="NJE18" s="64"/>
      <c r="NJF18" s="64"/>
      <c r="NJG18" s="64"/>
      <c r="NJH18" s="64"/>
      <c r="NJI18" s="64"/>
      <c r="NJJ18" s="64"/>
      <c r="NJK18" s="64"/>
      <c r="NJL18" s="64"/>
      <c r="NJM18" s="64"/>
      <c r="NJN18" s="64"/>
      <c r="NJO18" s="64"/>
      <c r="NJP18" s="64"/>
      <c r="NJQ18" s="64"/>
      <c r="NJR18" s="64"/>
      <c r="NJS18" s="64"/>
      <c r="NJT18" s="64"/>
      <c r="NJU18" s="64"/>
      <c r="NJV18" s="64"/>
      <c r="NJW18" s="64"/>
      <c r="NJX18" s="64"/>
      <c r="NJY18" s="64"/>
      <c r="NJZ18" s="64"/>
      <c r="NKA18" s="64"/>
      <c r="NKB18" s="64"/>
      <c r="NKC18" s="64"/>
      <c r="NKD18" s="64"/>
      <c r="NKE18" s="64"/>
      <c r="NKF18" s="64"/>
      <c r="NKG18" s="64"/>
      <c r="NKH18" s="64"/>
      <c r="NKI18" s="64"/>
      <c r="NKJ18" s="64"/>
      <c r="NKK18" s="64"/>
      <c r="NKL18" s="64"/>
      <c r="NKM18" s="64"/>
      <c r="NKN18" s="64"/>
      <c r="NKO18" s="64"/>
      <c r="NKP18" s="64"/>
      <c r="NKQ18" s="64"/>
      <c r="NKR18" s="64"/>
      <c r="NKS18" s="64"/>
      <c r="NKT18" s="64"/>
      <c r="NKU18" s="64"/>
      <c r="NKV18" s="64"/>
      <c r="NKW18" s="64"/>
      <c r="NKX18" s="64"/>
      <c r="NKY18" s="64"/>
      <c r="NKZ18" s="64"/>
      <c r="NLA18" s="64"/>
      <c r="NLB18" s="64"/>
      <c r="NLC18" s="64"/>
      <c r="NLD18" s="64"/>
      <c r="NLE18" s="64"/>
      <c r="NLF18" s="64"/>
      <c r="NLG18" s="64"/>
      <c r="NLH18" s="64"/>
      <c r="NLI18" s="64"/>
      <c r="NLJ18" s="64"/>
      <c r="NLK18" s="64"/>
      <c r="NLL18" s="64"/>
      <c r="NLM18" s="64"/>
      <c r="NLN18" s="64"/>
      <c r="NLO18" s="64"/>
      <c r="NLP18" s="64"/>
      <c r="NLQ18" s="64"/>
      <c r="NLR18" s="64"/>
      <c r="NLS18" s="64"/>
      <c r="NLT18" s="64"/>
      <c r="NLU18" s="64"/>
      <c r="NLV18" s="64"/>
      <c r="NLW18" s="64"/>
      <c r="NLX18" s="64"/>
      <c r="NLY18" s="64"/>
      <c r="NLZ18" s="64"/>
      <c r="NMA18" s="64"/>
      <c r="NMB18" s="64"/>
      <c r="NMC18" s="64"/>
      <c r="NMD18" s="64"/>
      <c r="NME18" s="64"/>
      <c r="NMF18" s="64"/>
      <c r="NMG18" s="64"/>
      <c r="NMH18" s="64"/>
      <c r="NMI18" s="64"/>
      <c r="NMJ18" s="64"/>
      <c r="NMK18" s="64"/>
      <c r="NML18" s="64"/>
      <c r="NMM18" s="64"/>
      <c r="NMN18" s="64"/>
      <c r="NMO18" s="64"/>
      <c r="NMP18" s="64"/>
      <c r="NMQ18" s="64"/>
      <c r="NMR18" s="64"/>
      <c r="NMS18" s="64"/>
      <c r="NMT18" s="64"/>
      <c r="NMU18" s="64"/>
      <c r="NMV18" s="64"/>
      <c r="NMW18" s="64"/>
      <c r="NMX18" s="64"/>
      <c r="NMY18" s="64"/>
      <c r="NMZ18" s="64"/>
      <c r="NNA18" s="64"/>
      <c r="NNB18" s="64"/>
      <c r="NNC18" s="64"/>
      <c r="NND18" s="64"/>
      <c r="NNE18" s="64"/>
      <c r="NNF18" s="64"/>
      <c r="NNG18" s="64"/>
      <c r="NNH18" s="64"/>
      <c r="NNI18" s="64"/>
      <c r="NNJ18" s="64"/>
      <c r="NNK18" s="64"/>
      <c r="NNL18" s="64"/>
      <c r="NNM18" s="64"/>
      <c r="NNN18" s="64"/>
      <c r="NNO18" s="64"/>
      <c r="NNP18" s="64"/>
      <c r="NNQ18" s="64"/>
      <c r="NNR18" s="64"/>
      <c r="NNS18" s="64"/>
      <c r="NNT18" s="64"/>
      <c r="NNU18" s="64"/>
      <c r="NNV18" s="64"/>
      <c r="NNW18" s="64"/>
      <c r="NNX18" s="64"/>
      <c r="NNY18" s="64"/>
      <c r="NNZ18" s="64"/>
      <c r="NOA18" s="64"/>
      <c r="NOB18" s="64"/>
      <c r="NOC18" s="64"/>
      <c r="NOD18" s="64"/>
      <c r="NOE18" s="64"/>
      <c r="NOF18" s="64"/>
      <c r="NOG18" s="64"/>
      <c r="NOH18" s="64"/>
      <c r="NOI18" s="64"/>
      <c r="NOJ18" s="64"/>
      <c r="NOK18" s="64"/>
      <c r="NOL18" s="64"/>
      <c r="NOM18" s="64"/>
      <c r="NON18" s="64"/>
      <c r="NOO18" s="64"/>
      <c r="NOP18" s="64"/>
      <c r="NOQ18" s="64"/>
      <c r="NOR18" s="64"/>
      <c r="NOS18" s="64"/>
      <c r="NOT18" s="64"/>
      <c r="NOU18" s="64"/>
      <c r="NOV18" s="64"/>
      <c r="NOW18" s="64"/>
      <c r="NOX18" s="64"/>
      <c r="NOY18" s="64"/>
      <c r="NOZ18" s="64"/>
      <c r="NPA18" s="64"/>
      <c r="NPB18" s="64"/>
      <c r="NPC18" s="64"/>
      <c r="NPD18" s="64"/>
      <c r="NPE18" s="64"/>
      <c r="NPF18" s="64"/>
      <c r="NPG18" s="64"/>
      <c r="NPH18" s="64"/>
      <c r="NPI18" s="64"/>
      <c r="NPJ18" s="64"/>
      <c r="NPK18" s="64"/>
      <c r="NPL18" s="64"/>
      <c r="NPM18" s="64"/>
      <c r="NPN18" s="64"/>
      <c r="NPO18" s="64"/>
      <c r="NPP18" s="64"/>
      <c r="NPQ18" s="64"/>
      <c r="NPR18" s="64"/>
      <c r="NPS18" s="64"/>
      <c r="NPT18" s="64"/>
      <c r="NPU18" s="64"/>
      <c r="NPV18" s="64"/>
      <c r="NPW18" s="64"/>
      <c r="NPX18" s="64"/>
      <c r="NPY18" s="64"/>
      <c r="NPZ18" s="64"/>
      <c r="NQA18" s="64"/>
      <c r="NQB18" s="64"/>
      <c r="NQC18" s="64"/>
      <c r="NQD18" s="64"/>
      <c r="NQE18" s="64"/>
      <c r="NQF18" s="64"/>
      <c r="NQG18" s="64"/>
      <c r="NQH18" s="64"/>
      <c r="NQI18" s="64"/>
      <c r="NQJ18" s="64"/>
      <c r="NQK18" s="64"/>
      <c r="NQL18" s="64"/>
      <c r="NQM18" s="64"/>
      <c r="NQN18" s="64"/>
      <c r="NQO18" s="64"/>
      <c r="NQP18" s="64"/>
      <c r="NQQ18" s="64"/>
      <c r="NQR18" s="64"/>
      <c r="NQS18" s="64"/>
      <c r="NQT18" s="64"/>
      <c r="NQU18" s="64"/>
      <c r="NQV18" s="64"/>
      <c r="NQW18" s="64"/>
      <c r="NQX18" s="64"/>
      <c r="NQY18" s="64"/>
      <c r="NQZ18" s="64"/>
      <c r="NRA18" s="64"/>
      <c r="NRB18" s="64"/>
      <c r="NRC18" s="64"/>
      <c r="NRD18" s="64"/>
      <c r="NRE18" s="64"/>
      <c r="NRF18" s="64"/>
      <c r="NRG18" s="64"/>
      <c r="NRH18" s="64"/>
      <c r="NRI18" s="64"/>
      <c r="NRJ18" s="64"/>
      <c r="NRK18" s="64"/>
      <c r="NRL18" s="64"/>
      <c r="NRM18" s="64"/>
      <c r="NRN18" s="64"/>
      <c r="NRO18" s="64"/>
      <c r="NRP18" s="64"/>
      <c r="NRQ18" s="64"/>
      <c r="NRR18" s="64"/>
      <c r="NRS18" s="64"/>
      <c r="NRT18" s="64"/>
      <c r="NRU18" s="64"/>
      <c r="NRV18" s="64"/>
      <c r="NRW18" s="64"/>
      <c r="NRX18" s="64"/>
      <c r="NRY18" s="64"/>
      <c r="NRZ18" s="64"/>
      <c r="NSA18" s="64"/>
      <c r="NSB18" s="64"/>
      <c r="NSC18" s="64"/>
      <c r="NSD18" s="64"/>
      <c r="NSE18" s="64"/>
      <c r="NSF18" s="64"/>
      <c r="NSG18" s="64"/>
      <c r="NSH18" s="64"/>
      <c r="NSI18" s="64"/>
      <c r="NSJ18" s="64"/>
      <c r="NSK18" s="64"/>
      <c r="NSL18" s="64"/>
      <c r="NSM18" s="64"/>
      <c r="NSN18" s="64"/>
      <c r="NSO18" s="64"/>
      <c r="NSP18" s="64"/>
      <c r="NSQ18" s="64"/>
      <c r="NSR18" s="64"/>
      <c r="NSS18" s="64"/>
      <c r="NST18" s="64"/>
      <c r="NSU18" s="64"/>
      <c r="NSV18" s="64"/>
      <c r="NSW18" s="64"/>
      <c r="NSX18" s="64"/>
      <c r="NSY18" s="64"/>
      <c r="NSZ18" s="64"/>
      <c r="NTA18" s="64"/>
      <c r="NTB18" s="64"/>
      <c r="NTC18" s="64"/>
      <c r="NTD18" s="64"/>
      <c r="NTE18" s="64"/>
      <c r="NTF18" s="64"/>
      <c r="NTG18" s="64"/>
      <c r="NTH18" s="64"/>
      <c r="NTI18" s="64"/>
      <c r="NTJ18" s="64"/>
      <c r="NTK18" s="64"/>
      <c r="NTL18" s="64"/>
      <c r="NTM18" s="64"/>
      <c r="NTN18" s="64"/>
      <c r="NTO18" s="64"/>
      <c r="NTP18" s="64"/>
      <c r="NTQ18" s="64"/>
      <c r="NTR18" s="64"/>
      <c r="NTS18" s="64"/>
      <c r="NTT18" s="64"/>
      <c r="NTU18" s="64"/>
      <c r="NTV18" s="64"/>
      <c r="NTW18" s="64"/>
      <c r="NTX18" s="64"/>
      <c r="NTY18" s="64"/>
      <c r="NTZ18" s="64"/>
      <c r="NUA18" s="64"/>
      <c r="NUB18" s="64"/>
      <c r="NUC18" s="64"/>
      <c r="NUD18" s="64"/>
      <c r="NUE18" s="64"/>
      <c r="NUF18" s="64"/>
      <c r="NUG18" s="64"/>
      <c r="NUH18" s="64"/>
      <c r="NUI18" s="64"/>
      <c r="NUJ18" s="64"/>
      <c r="NUK18" s="64"/>
      <c r="NUL18" s="64"/>
      <c r="NUM18" s="64"/>
      <c r="NUN18" s="64"/>
      <c r="NUO18" s="64"/>
      <c r="NUP18" s="64"/>
      <c r="NUQ18" s="64"/>
      <c r="NUR18" s="64"/>
      <c r="NUS18" s="64"/>
      <c r="NUT18" s="64"/>
      <c r="NUU18" s="64"/>
      <c r="NUV18" s="64"/>
      <c r="NUW18" s="64"/>
      <c r="NUX18" s="64"/>
      <c r="NUY18" s="64"/>
      <c r="NUZ18" s="64"/>
      <c r="NVA18" s="64"/>
      <c r="NVB18" s="64"/>
      <c r="NVC18" s="64"/>
      <c r="NVD18" s="64"/>
      <c r="NVE18" s="64"/>
      <c r="NVF18" s="64"/>
      <c r="NVG18" s="64"/>
      <c r="NVH18" s="64"/>
      <c r="NVI18" s="64"/>
      <c r="NVJ18" s="64"/>
      <c r="NVK18" s="64"/>
      <c r="NVL18" s="64"/>
      <c r="NVM18" s="64"/>
      <c r="NVN18" s="64"/>
      <c r="NVO18" s="64"/>
      <c r="NVP18" s="64"/>
      <c r="NVQ18" s="64"/>
      <c r="NVR18" s="64"/>
      <c r="NVS18" s="64"/>
      <c r="NVT18" s="64"/>
      <c r="NVU18" s="64"/>
      <c r="NVV18" s="64"/>
      <c r="NVW18" s="64"/>
      <c r="NVX18" s="64"/>
      <c r="NVY18" s="64"/>
      <c r="NVZ18" s="64"/>
      <c r="NWA18" s="64"/>
      <c r="NWB18" s="64"/>
      <c r="NWC18" s="64"/>
      <c r="NWD18" s="64"/>
      <c r="NWE18" s="64"/>
      <c r="NWF18" s="64"/>
      <c r="NWG18" s="64"/>
      <c r="NWH18" s="64"/>
      <c r="NWI18" s="64"/>
      <c r="NWJ18" s="64"/>
      <c r="NWK18" s="64"/>
      <c r="NWL18" s="64"/>
      <c r="NWM18" s="64"/>
      <c r="NWN18" s="64"/>
      <c r="NWO18" s="64"/>
      <c r="NWP18" s="64"/>
      <c r="NWQ18" s="64"/>
      <c r="NWR18" s="64"/>
      <c r="NWS18" s="64"/>
      <c r="NWT18" s="64"/>
      <c r="NWU18" s="64"/>
      <c r="NWV18" s="64"/>
      <c r="NWW18" s="64"/>
      <c r="NWX18" s="64"/>
      <c r="NWY18" s="64"/>
      <c r="NWZ18" s="64"/>
      <c r="NXA18" s="64"/>
      <c r="NXB18" s="64"/>
      <c r="NXC18" s="64"/>
      <c r="NXD18" s="64"/>
      <c r="NXE18" s="64"/>
      <c r="NXF18" s="64"/>
      <c r="NXG18" s="64"/>
      <c r="NXH18" s="64"/>
      <c r="NXI18" s="64"/>
      <c r="NXJ18" s="64"/>
      <c r="NXK18" s="64"/>
      <c r="NXL18" s="64"/>
      <c r="NXM18" s="64"/>
      <c r="NXN18" s="64"/>
      <c r="NXO18" s="64"/>
      <c r="NXP18" s="64"/>
      <c r="NXQ18" s="64"/>
      <c r="NXR18" s="64"/>
      <c r="NXS18" s="64"/>
      <c r="NXT18" s="64"/>
      <c r="NXU18" s="64"/>
      <c r="NXV18" s="64"/>
      <c r="NXW18" s="64"/>
      <c r="NXX18" s="64"/>
      <c r="NXY18" s="64"/>
      <c r="NXZ18" s="64"/>
      <c r="NYA18" s="64"/>
      <c r="NYB18" s="64"/>
      <c r="NYC18" s="64"/>
      <c r="NYD18" s="64"/>
      <c r="NYE18" s="64"/>
      <c r="NYF18" s="64"/>
      <c r="NYG18" s="64"/>
      <c r="NYH18" s="64"/>
      <c r="NYI18" s="64"/>
      <c r="NYJ18" s="64"/>
      <c r="NYK18" s="64"/>
      <c r="NYL18" s="64"/>
      <c r="NYM18" s="64"/>
      <c r="NYN18" s="64"/>
      <c r="NYO18" s="64"/>
      <c r="NYP18" s="64"/>
      <c r="NYQ18" s="64"/>
      <c r="NYR18" s="64"/>
      <c r="NYS18" s="64"/>
      <c r="NYT18" s="64"/>
      <c r="NYU18" s="64"/>
      <c r="NYV18" s="64"/>
      <c r="NYW18" s="64"/>
      <c r="NYX18" s="64"/>
      <c r="NYY18" s="64"/>
      <c r="NYZ18" s="64"/>
      <c r="NZA18" s="64"/>
      <c r="NZB18" s="64"/>
      <c r="NZC18" s="64"/>
      <c r="NZD18" s="64"/>
      <c r="NZE18" s="64"/>
      <c r="NZF18" s="64"/>
      <c r="NZG18" s="64"/>
      <c r="NZH18" s="64"/>
      <c r="NZI18" s="64"/>
      <c r="NZJ18" s="64"/>
      <c r="NZK18" s="64"/>
      <c r="NZL18" s="64"/>
      <c r="NZM18" s="64"/>
      <c r="NZN18" s="64"/>
      <c r="NZO18" s="64"/>
      <c r="NZP18" s="64"/>
      <c r="NZQ18" s="64"/>
      <c r="NZR18" s="64"/>
      <c r="NZS18" s="64"/>
      <c r="NZT18" s="64"/>
      <c r="NZU18" s="64"/>
      <c r="NZV18" s="64"/>
      <c r="NZW18" s="64"/>
      <c r="NZX18" s="64"/>
      <c r="NZY18" s="64"/>
      <c r="NZZ18" s="64"/>
      <c r="OAA18" s="64"/>
      <c r="OAB18" s="64"/>
      <c r="OAC18" s="64"/>
      <c r="OAD18" s="64"/>
      <c r="OAE18" s="64"/>
      <c r="OAF18" s="64"/>
      <c r="OAG18" s="64"/>
      <c r="OAH18" s="64"/>
      <c r="OAI18" s="64"/>
      <c r="OAJ18" s="64"/>
      <c r="OAK18" s="64"/>
      <c r="OAL18" s="64"/>
      <c r="OAM18" s="64"/>
      <c r="OAN18" s="64"/>
      <c r="OAO18" s="64"/>
      <c r="OAP18" s="64"/>
      <c r="OAQ18" s="64"/>
      <c r="OAR18" s="64"/>
      <c r="OAS18" s="64"/>
      <c r="OAT18" s="64"/>
      <c r="OAU18" s="64"/>
      <c r="OAV18" s="64"/>
      <c r="OAW18" s="64"/>
      <c r="OAX18" s="64"/>
      <c r="OAY18" s="64"/>
      <c r="OAZ18" s="64"/>
      <c r="OBA18" s="64"/>
      <c r="OBB18" s="64"/>
      <c r="OBC18" s="64"/>
      <c r="OBD18" s="64"/>
      <c r="OBE18" s="64"/>
      <c r="OBF18" s="64"/>
      <c r="OBG18" s="64"/>
      <c r="OBH18" s="64"/>
      <c r="OBI18" s="64"/>
      <c r="OBJ18" s="64"/>
      <c r="OBK18" s="64"/>
      <c r="OBL18" s="64"/>
      <c r="OBM18" s="64"/>
      <c r="OBN18" s="64"/>
      <c r="OBO18" s="64"/>
      <c r="OBP18" s="64"/>
      <c r="OBQ18" s="64"/>
      <c r="OBR18" s="64"/>
      <c r="OBS18" s="64"/>
      <c r="OBT18" s="64"/>
      <c r="OBU18" s="64"/>
      <c r="OBV18" s="64"/>
      <c r="OBW18" s="64"/>
      <c r="OBX18" s="64"/>
      <c r="OBY18" s="64"/>
      <c r="OBZ18" s="64"/>
      <c r="OCA18" s="64"/>
      <c r="OCB18" s="64"/>
      <c r="OCC18" s="64"/>
      <c r="OCD18" s="64"/>
      <c r="OCE18" s="64"/>
      <c r="OCF18" s="64"/>
      <c r="OCG18" s="64"/>
      <c r="OCH18" s="64"/>
      <c r="OCI18" s="64"/>
      <c r="OCJ18" s="64"/>
      <c r="OCK18" s="64"/>
      <c r="OCL18" s="64"/>
      <c r="OCM18" s="64"/>
      <c r="OCN18" s="64"/>
      <c r="OCO18" s="64"/>
      <c r="OCP18" s="64"/>
      <c r="OCQ18" s="64"/>
      <c r="OCR18" s="64"/>
      <c r="OCS18" s="64"/>
      <c r="OCT18" s="64"/>
      <c r="OCU18" s="64"/>
      <c r="OCV18" s="64"/>
      <c r="OCW18" s="64"/>
      <c r="OCX18" s="64"/>
      <c r="OCY18" s="64"/>
      <c r="OCZ18" s="64"/>
      <c r="ODA18" s="64"/>
      <c r="ODB18" s="64"/>
      <c r="ODC18" s="64"/>
      <c r="ODD18" s="64"/>
      <c r="ODE18" s="64"/>
      <c r="ODF18" s="64"/>
      <c r="ODG18" s="64"/>
      <c r="ODH18" s="64"/>
      <c r="ODI18" s="64"/>
      <c r="ODJ18" s="64"/>
      <c r="ODK18" s="64"/>
      <c r="ODL18" s="64"/>
      <c r="ODM18" s="64"/>
      <c r="ODN18" s="64"/>
      <c r="ODO18" s="64"/>
      <c r="ODP18" s="64"/>
      <c r="ODQ18" s="64"/>
      <c r="ODR18" s="64"/>
      <c r="ODS18" s="64"/>
      <c r="ODT18" s="64"/>
      <c r="ODU18" s="64"/>
      <c r="ODV18" s="64"/>
      <c r="ODW18" s="64"/>
      <c r="ODX18" s="64"/>
      <c r="ODY18" s="64"/>
      <c r="ODZ18" s="64"/>
      <c r="OEA18" s="64"/>
      <c r="OEB18" s="64"/>
      <c r="OEC18" s="64"/>
      <c r="OED18" s="64"/>
      <c r="OEE18" s="64"/>
      <c r="OEF18" s="64"/>
      <c r="OEG18" s="64"/>
      <c r="OEH18" s="64"/>
      <c r="OEI18" s="64"/>
      <c r="OEJ18" s="64"/>
      <c r="OEK18" s="64"/>
      <c r="OEL18" s="64"/>
      <c r="OEM18" s="64"/>
      <c r="OEN18" s="64"/>
      <c r="OEO18" s="64"/>
      <c r="OEP18" s="64"/>
      <c r="OEQ18" s="64"/>
      <c r="OER18" s="64"/>
      <c r="OES18" s="64"/>
      <c r="OET18" s="64"/>
      <c r="OEU18" s="64"/>
      <c r="OEV18" s="64"/>
      <c r="OEW18" s="64"/>
      <c r="OEX18" s="64"/>
      <c r="OEY18" s="64"/>
      <c r="OEZ18" s="64"/>
      <c r="OFA18" s="64"/>
      <c r="OFB18" s="64"/>
      <c r="OFC18" s="64"/>
      <c r="OFD18" s="64"/>
      <c r="OFE18" s="64"/>
      <c r="OFF18" s="64"/>
      <c r="OFG18" s="64"/>
      <c r="OFH18" s="64"/>
      <c r="OFI18" s="64"/>
      <c r="OFJ18" s="64"/>
      <c r="OFK18" s="64"/>
      <c r="OFL18" s="64"/>
      <c r="OFM18" s="64"/>
      <c r="OFN18" s="64"/>
      <c r="OFO18" s="64"/>
      <c r="OFP18" s="64"/>
      <c r="OFQ18" s="64"/>
      <c r="OFR18" s="64"/>
      <c r="OFS18" s="64"/>
      <c r="OFT18" s="64"/>
      <c r="OFU18" s="64"/>
      <c r="OFV18" s="64"/>
      <c r="OFW18" s="64"/>
      <c r="OFX18" s="64"/>
      <c r="OFY18" s="64"/>
      <c r="OFZ18" s="64"/>
      <c r="OGA18" s="64"/>
      <c r="OGB18" s="64"/>
      <c r="OGC18" s="64"/>
      <c r="OGD18" s="64"/>
      <c r="OGE18" s="64"/>
      <c r="OGF18" s="64"/>
      <c r="OGG18" s="64"/>
      <c r="OGH18" s="64"/>
      <c r="OGI18" s="64"/>
      <c r="OGJ18" s="64"/>
      <c r="OGK18" s="64"/>
      <c r="OGL18" s="64"/>
      <c r="OGM18" s="64"/>
      <c r="OGN18" s="64"/>
      <c r="OGO18" s="64"/>
      <c r="OGP18" s="64"/>
      <c r="OGQ18" s="64"/>
      <c r="OGR18" s="64"/>
      <c r="OGS18" s="64"/>
      <c r="OGT18" s="64"/>
      <c r="OGU18" s="64"/>
      <c r="OGV18" s="64"/>
      <c r="OGW18" s="64"/>
      <c r="OGX18" s="64"/>
      <c r="OGY18" s="64"/>
      <c r="OGZ18" s="64"/>
      <c r="OHA18" s="64"/>
      <c r="OHB18" s="64"/>
      <c r="OHC18" s="64"/>
      <c r="OHD18" s="64"/>
      <c r="OHE18" s="64"/>
      <c r="OHF18" s="64"/>
      <c r="OHG18" s="64"/>
      <c r="OHH18" s="64"/>
      <c r="OHI18" s="64"/>
      <c r="OHJ18" s="64"/>
      <c r="OHK18" s="64"/>
      <c r="OHL18" s="64"/>
      <c r="OHM18" s="64"/>
      <c r="OHN18" s="64"/>
      <c r="OHO18" s="64"/>
      <c r="OHP18" s="64"/>
      <c r="OHQ18" s="64"/>
      <c r="OHR18" s="64"/>
      <c r="OHS18" s="64"/>
      <c r="OHT18" s="64"/>
      <c r="OHU18" s="64"/>
      <c r="OHV18" s="64"/>
      <c r="OHW18" s="64"/>
      <c r="OHX18" s="64"/>
      <c r="OHY18" s="64"/>
      <c r="OHZ18" s="64"/>
      <c r="OIA18" s="64"/>
      <c r="OIB18" s="64"/>
      <c r="OIC18" s="64"/>
      <c r="OID18" s="64"/>
      <c r="OIE18" s="64"/>
      <c r="OIF18" s="64"/>
      <c r="OIG18" s="64"/>
      <c r="OIH18" s="64"/>
      <c r="OII18" s="64"/>
      <c r="OIJ18" s="64"/>
      <c r="OIK18" s="64"/>
      <c r="OIL18" s="64"/>
      <c r="OIM18" s="64"/>
      <c r="OIN18" s="64"/>
      <c r="OIO18" s="64"/>
      <c r="OIP18" s="64"/>
      <c r="OIQ18" s="64"/>
      <c r="OIR18" s="64"/>
      <c r="OIS18" s="64"/>
      <c r="OIT18" s="64"/>
      <c r="OIU18" s="64"/>
      <c r="OIV18" s="64"/>
      <c r="OIW18" s="64"/>
      <c r="OIX18" s="64"/>
      <c r="OIY18" s="64"/>
      <c r="OIZ18" s="64"/>
      <c r="OJA18" s="64"/>
      <c r="OJB18" s="64"/>
      <c r="OJC18" s="64"/>
      <c r="OJD18" s="64"/>
      <c r="OJE18" s="64"/>
      <c r="OJF18" s="64"/>
      <c r="OJG18" s="64"/>
      <c r="OJH18" s="64"/>
      <c r="OJI18" s="64"/>
      <c r="OJJ18" s="64"/>
      <c r="OJK18" s="64"/>
      <c r="OJL18" s="64"/>
      <c r="OJM18" s="64"/>
      <c r="OJN18" s="64"/>
      <c r="OJO18" s="64"/>
      <c r="OJP18" s="64"/>
      <c r="OJQ18" s="64"/>
      <c r="OJR18" s="64"/>
      <c r="OJS18" s="64"/>
      <c r="OJT18" s="64"/>
      <c r="OJU18" s="64"/>
      <c r="OJV18" s="64"/>
      <c r="OJW18" s="64"/>
      <c r="OJX18" s="64"/>
      <c r="OJY18" s="64"/>
      <c r="OJZ18" s="64"/>
      <c r="OKA18" s="64"/>
      <c r="OKB18" s="64"/>
      <c r="OKC18" s="64"/>
      <c r="OKD18" s="64"/>
      <c r="OKE18" s="64"/>
      <c r="OKF18" s="64"/>
      <c r="OKG18" s="64"/>
      <c r="OKH18" s="64"/>
      <c r="OKI18" s="64"/>
      <c r="OKJ18" s="64"/>
      <c r="OKK18" s="64"/>
      <c r="OKL18" s="64"/>
      <c r="OKM18" s="64"/>
      <c r="OKN18" s="64"/>
      <c r="OKO18" s="64"/>
      <c r="OKP18" s="64"/>
      <c r="OKQ18" s="64"/>
      <c r="OKR18" s="64"/>
      <c r="OKS18" s="64"/>
      <c r="OKT18" s="64"/>
      <c r="OKU18" s="64"/>
      <c r="OKV18" s="64"/>
      <c r="OKW18" s="64"/>
      <c r="OKX18" s="64"/>
      <c r="OKY18" s="64"/>
      <c r="OKZ18" s="64"/>
      <c r="OLA18" s="64"/>
      <c r="OLB18" s="64"/>
      <c r="OLC18" s="64"/>
      <c r="OLD18" s="64"/>
      <c r="OLE18" s="64"/>
      <c r="OLF18" s="64"/>
      <c r="OLG18" s="64"/>
      <c r="OLH18" s="64"/>
      <c r="OLI18" s="64"/>
      <c r="OLJ18" s="64"/>
      <c r="OLK18" s="64"/>
      <c r="OLL18" s="64"/>
      <c r="OLM18" s="64"/>
      <c r="OLN18" s="64"/>
      <c r="OLO18" s="64"/>
      <c r="OLP18" s="64"/>
      <c r="OLQ18" s="64"/>
      <c r="OLR18" s="64"/>
      <c r="OLS18" s="64"/>
      <c r="OLT18" s="64"/>
      <c r="OLU18" s="64"/>
      <c r="OLV18" s="64"/>
      <c r="OLW18" s="64"/>
      <c r="OLX18" s="64"/>
      <c r="OLY18" s="64"/>
      <c r="OLZ18" s="64"/>
      <c r="OMA18" s="64"/>
      <c r="OMB18" s="64"/>
      <c r="OMC18" s="64"/>
      <c r="OMD18" s="64"/>
      <c r="OME18" s="64"/>
      <c r="OMF18" s="64"/>
      <c r="OMG18" s="64"/>
      <c r="OMH18" s="64"/>
      <c r="OMI18" s="64"/>
      <c r="OMJ18" s="64"/>
      <c r="OMK18" s="64"/>
      <c r="OML18" s="64"/>
      <c r="OMM18" s="64"/>
      <c r="OMN18" s="64"/>
      <c r="OMO18" s="64"/>
      <c r="OMP18" s="64"/>
      <c r="OMQ18" s="64"/>
      <c r="OMR18" s="64"/>
      <c r="OMS18" s="64"/>
      <c r="OMT18" s="64"/>
      <c r="OMU18" s="64"/>
      <c r="OMV18" s="64"/>
      <c r="OMW18" s="64"/>
      <c r="OMX18" s="64"/>
      <c r="OMY18" s="64"/>
      <c r="OMZ18" s="64"/>
      <c r="ONA18" s="64"/>
      <c r="ONB18" s="64"/>
      <c r="ONC18" s="64"/>
      <c r="OND18" s="64"/>
      <c r="ONE18" s="64"/>
      <c r="ONF18" s="64"/>
      <c r="ONG18" s="64"/>
      <c r="ONH18" s="64"/>
      <c r="ONI18" s="64"/>
      <c r="ONJ18" s="64"/>
      <c r="ONK18" s="64"/>
      <c r="ONL18" s="64"/>
      <c r="ONM18" s="64"/>
      <c r="ONN18" s="64"/>
      <c r="ONO18" s="64"/>
      <c r="ONP18" s="64"/>
      <c r="ONQ18" s="64"/>
      <c r="ONR18" s="64"/>
      <c r="ONS18" s="64"/>
      <c r="ONT18" s="64"/>
      <c r="ONU18" s="64"/>
      <c r="ONV18" s="64"/>
      <c r="ONW18" s="64"/>
      <c r="ONX18" s="64"/>
      <c r="ONY18" s="64"/>
      <c r="ONZ18" s="64"/>
      <c r="OOA18" s="64"/>
      <c r="OOB18" s="64"/>
      <c r="OOC18" s="64"/>
      <c r="OOD18" s="64"/>
      <c r="OOE18" s="64"/>
      <c r="OOF18" s="64"/>
      <c r="OOG18" s="64"/>
      <c r="OOH18" s="64"/>
      <c r="OOI18" s="64"/>
      <c r="OOJ18" s="64"/>
      <c r="OOK18" s="64"/>
      <c r="OOL18" s="64"/>
      <c r="OOM18" s="64"/>
      <c r="OON18" s="64"/>
      <c r="OOO18" s="64"/>
      <c r="OOP18" s="64"/>
      <c r="OOQ18" s="64"/>
      <c r="OOR18" s="64"/>
      <c r="OOS18" s="64"/>
      <c r="OOT18" s="64"/>
      <c r="OOU18" s="64"/>
      <c r="OOV18" s="64"/>
      <c r="OOW18" s="64"/>
      <c r="OOX18" s="64"/>
      <c r="OOY18" s="64"/>
      <c r="OOZ18" s="64"/>
      <c r="OPA18" s="64"/>
      <c r="OPB18" s="64"/>
      <c r="OPC18" s="64"/>
      <c r="OPD18" s="64"/>
      <c r="OPE18" s="64"/>
      <c r="OPF18" s="64"/>
      <c r="OPG18" s="64"/>
      <c r="OPH18" s="64"/>
      <c r="OPI18" s="64"/>
      <c r="OPJ18" s="64"/>
      <c r="OPK18" s="64"/>
      <c r="OPL18" s="64"/>
      <c r="OPM18" s="64"/>
      <c r="OPN18" s="64"/>
      <c r="OPO18" s="64"/>
      <c r="OPP18" s="64"/>
      <c r="OPQ18" s="64"/>
      <c r="OPR18" s="64"/>
      <c r="OPS18" s="64"/>
      <c r="OPT18" s="64"/>
      <c r="OPU18" s="64"/>
      <c r="OPV18" s="64"/>
      <c r="OPW18" s="64"/>
      <c r="OPX18" s="64"/>
      <c r="OPY18" s="64"/>
      <c r="OPZ18" s="64"/>
      <c r="OQA18" s="64"/>
      <c r="OQB18" s="64"/>
      <c r="OQC18" s="64"/>
      <c r="OQD18" s="64"/>
      <c r="OQE18" s="64"/>
      <c r="OQF18" s="64"/>
      <c r="OQG18" s="64"/>
      <c r="OQH18" s="64"/>
      <c r="OQI18" s="64"/>
      <c r="OQJ18" s="64"/>
      <c r="OQK18" s="64"/>
      <c r="OQL18" s="64"/>
      <c r="OQM18" s="64"/>
      <c r="OQN18" s="64"/>
      <c r="OQO18" s="64"/>
      <c r="OQP18" s="64"/>
      <c r="OQQ18" s="64"/>
      <c r="OQR18" s="64"/>
      <c r="OQS18" s="64"/>
      <c r="OQT18" s="64"/>
      <c r="OQU18" s="64"/>
      <c r="OQV18" s="64"/>
      <c r="OQW18" s="64"/>
      <c r="OQX18" s="64"/>
      <c r="OQY18" s="64"/>
      <c r="OQZ18" s="64"/>
      <c r="ORA18" s="64"/>
      <c r="ORB18" s="64"/>
      <c r="ORC18" s="64"/>
      <c r="ORD18" s="64"/>
      <c r="ORE18" s="64"/>
      <c r="ORF18" s="64"/>
      <c r="ORG18" s="64"/>
      <c r="ORH18" s="64"/>
      <c r="ORI18" s="64"/>
      <c r="ORJ18" s="64"/>
      <c r="ORK18" s="64"/>
      <c r="ORL18" s="64"/>
      <c r="ORM18" s="64"/>
      <c r="ORN18" s="64"/>
      <c r="ORO18" s="64"/>
      <c r="ORP18" s="64"/>
      <c r="ORQ18" s="64"/>
      <c r="ORR18" s="64"/>
      <c r="ORS18" s="64"/>
      <c r="ORT18" s="64"/>
      <c r="ORU18" s="64"/>
      <c r="ORV18" s="64"/>
      <c r="ORW18" s="64"/>
      <c r="ORX18" s="64"/>
      <c r="ORY18" s="64"/>
      <c r="ORZ18" s="64"/>
      <c r="OSA18" s="64"/>
      <c r="OSB18" s="64"/>
      <c r="OSC18" s="64"/>
      <c r="OSD18" s="64"/>
      <c r="OSE18" s="64"/>
      <c r="OSF18" s="64"/>
      <c r="OSG18" s="64"/>
      <c r="OSH18" s="64"/>
      <c r="OSI18" s="64"/>
      <c r="OSJ18" s="64"/>
      <c r="OSK18" s="64"/>
      <c r="OSL18" s="64"/>
      <c r="OSM18" s="64"/>
      <c r="OSN18" s="64"/>
      <c r="OSO18" s="64"/>
      <c r="OSP18" s="64"/>
      <c r="OSQ18" s="64"/>
      <c r="OSR18" s="64"/>
      <c r="OSS18" s="64"/>
      <c r="OST18" s="64"/>
      <c r="OSU18" s="64"/>
      <c r="OSV18" s="64"/>
      <c r="OSW18" s="64"/>
      <c r="OSX18" s="64"/>
      <c r="OSY18" s="64"/>
      <c r="OSZ18" s="64"/>
      <c r="OTA18" s="64"/>
      <c r="OTB18" s="64"/>
      <c r="OTC18" s="64"/>
      <c r="OTD18" s="64"/>
      <c r="OTE18" s="64"/>
      <c r="OTF18" s="64"/>
      <c r="OTG18" s="64"/>
      <c r="OTH18" s="64"/>
      <c r="OTI18" s="64"/>
      <c r="OTJ18" s="64"/>
      <c r="OTK18" s="64"/>
      <c r="OTL18" s="64"/>
      <c r="OTM18" s="64"/>
      <c r="OTN18" s="64"/>
      <c r="OTO18" s="64"/>
      <c r="OTP18" s="64"/>
      <c r="OTQ18" s="64"/>
      <c r="OTR18" s="64"/>
      <c r="OTS18" s="64"/>
      <c r="OTT18" s="64"/>
      <c r="OTU18" s="64"/>
      <c r="OTV18" s="64"/>
      <c r="OTW18" s="64"/>
      <c r="OTX18" s="64"/>
      <c r="OTY18" s="64"/>
      <c r="OTZ18" s="64"/>
      <c r="OUA18" s="64"/>
      <c r="OUB18" s="64"/>
      <c r="OUC18" s="64"/>
      <c r="OUD18" s="64"/>
      <c r="OUE18" s="64"/>
      <c r="OUF18" s="64"/>
      <c r="OUG18" s="64"/>
      <c r="OUH18" s="64"/>
      <c r="OUI18" s="64"/>
      <c r="OUJ18" s="64"/>
      <c r="OUK18" s="64"/>
      <c r="OUL18" s="64"/>
      <c r="OUM18" s="64"/>
      <c r="OUN18" s="64"/>
      <c r="OUO18" s="64"/>
      <c r="OUP18" s="64"/>
      <c r="OUQ18" s="64"/>
      <c r="OUR18" s="64"/>
      <c r="OUS18" s="64"/>
      <c r="OUT18" s="64"/>
      <c r="OUU18" s="64"/>
      <c r="OUV18" s="64"/>
      <c r="OUW18" s="64"/>
      <c r="OUX18" s="64"/>
      <c r="OUY18" s="64"/>
      <c r="OUZ18" s="64"/>
      <c r="OVA18" s="64"/>
      <c r="OVB18" s="64"/>
      <c r="OVC18" s="64"/>
      <c r="OVD18" s="64"/>
      <c r="OVE18" s="64"/>
      <c r="OVF18" s="64"/>
      <c r="OVG18" s="64"/>
      <c r="OVH18" s="64"/>
      <c r="OVI18" s="64"/>
      <c r="OVJ18" s="64"/>
      <c r="OVK18" s="64"/>
      <c r="OVL18" s="64"/>
      <c r="OVM18" s="64"/>
      <c r="OVN18" s="64"/>
      <c r="OVO18" s="64"/>
      <c r="OVP18" s="64"/>
      <c r="OVQ18" s="64"/>
      <c r="OVR18" s="64"/>
      <c r="OVS18" s="64"/>
      <c r="OVT18" s="64"/>
      <c r="OVU18" s="64"/>
      <c r="OVV18" s="64"/>
      <c r="OVW18" s="64"/>
      <c r="OVX18" s="64"/>
      <c r="OVY18" s="64"/>
      <c r="OVZ18" s="64"/>
      <c r="OWA18" s="64"/>
      <c r="OWB18" s="64"/>
      <c r="OWC18" s="64"/>
      <c r="OWD18" s="64"/>
      <c r="OWE18" s="64"/>
      <c r="OWF18" s="64"/>
      <c r="OWG18" s="64"/>
      <c r="OWH18" s="64"/>
      <c r="OWI18" s="64"/>
      <c r="OWJ18" s="64"/>
      <c r="OWK18" s="64"/>
      <c r="OWL18" s="64"/>
      <c r="OWM18" s="64"/>
      <c r="OWN18" s="64"/>
      <c r="OWO18" s="64"/>
      <c r="OWP18" s="64"/>
      <c r="OWQ18" s="64"/>
      <c r="OWR18" s="64"/>
      <c r="OWS18" s="64"/>
      <c r="OWT18" s="64"/>
      <c r="OWU18" s="64"/>
      <c r="OWV18" s="64"/>
      <c r="OWW18" s="64"/>
      <c r="OWX18" s="64"/>
      <c r="OWY18" s="64"/>
      <c r="OWZ18" s="64"/>
      <c r="OXA18" s="64"/>
      <c r="OXB18" s="64"/>
      <c r="OXC18" s="64"/>
      <c r="OXD18" s="64"/>
      <c r="OXE18" s="64"/>
      <c r="OXF18" s="64"/>
      <c r="OXG18" s="64"/>
      <c r="OXH18" s="64"/>
      <c r="OXI18" s="64"/>
      <c r="OXJ18" s="64"/>
      <c r="OXK18" s="64"/>
      <c r="OXL18" s="64"/>
      <c r="OXM18" s="64"/>
      <c r="OXN18" s="64"/>
      <c r="OXO18" s="64"/>
      <c r="OXP18" s="64"/>
      <c r="OXQ18" s="64"/>
      <c r="OXR18" s="64"/>
      <c r="OXS18" s="64"/>
      <c r="OXT18" s="64"/>
      <c r="OXU18" s="64"/>
      <c r="OXV18" s="64"/>
      <c r="OXW18" s="64"/>
      <c r="OXX18" s="64"/>
      <c r="OXY18" s="64"/>
      <c r="OXZ18" s="64"/>
      <c r="OYA18" s="64"/>
      <c r="OYB18" s="64"/>
      <c r="OYC18" s="64"/>
      <c r="OYD18" s="64"/>
      <c r="OYE18" s="64"/>
      <c r="OYF18" s="64"/>
      <c r="OYG18" s="64"/>
      <c r="OYH18" s="64"/>
      <c r="OYI18" s="64"/>
      <c r="OYJ18" s="64"/>
      <c r="OYK18" s="64"/>
      <c r="OYL18" s="64"/>
      <c r="OYM18" s="64"/>
      <c r="OYN18" s="64"/>
      <c r="OYO18" s="64"/>
      <c r="OYP18" s="64"/>
      <c r="OYQ18" s="64"/>
      <c r="OYR18" s="64"/>
      <c r="OYS18" s="64"/>
      <c r="OYT18" s="64"/>
      <c r="OYU18" s="64"/>
      <c r="OYV18" s="64"/>
      <c r="OYW18" s="64"/>
      <c r="OYX18" s="64"/>
      <c r="OYY18" s="64"/>
      <c r="OYZ18" s="64"/>
      <c r="OZA18" s="64"/>
      <c r="OZB18" s="64"/>
      <c r="OZC18" s="64"/>
      <c r="OZD18" s="64"/>
      <c r="OZE18" s="64"/>
      <c r="OZF18" s="64"/>
      <c r="OZG18" s="64"/>
      <c r="OZH18" s="64"/>
      <c r="OZI18" s="64"/>
      <c r="OZJ18" s="64"/>
      <c r="OZK18" s="64"/>
      <c r="OZL18" s="64"/>
      <c r="OZM18" s="64"/>
      <c r="OZN18" s="64"/>
      <c r="OZO18" s="64"/>
      <c r="OZP18" s="64"/>
      <c r="OZQ18" s="64"/>
      <c r="OZR18" s="64"/>
      <c r="OZS18" s="64"/>
      <c r="OZT18" s="64"/>
      <c r="OZU18" s="64"/>
      <c r="OZV18" s="64"/>
      <c r="OZW18" s="64"/>
      <c r="OZX18" s="64"/>
      <c r="OZY18" s="64"/>
      <c r="OZZ18" s="64"/>
      <c r="PAA18" s="64"/>
      <c r="PAB18" s="64"/>
      <c r="PAC18" s="64"/>
      <c r="PAD18" s="64"/>
      <c r="PAE18" s="64"/>
      <c r="PAF18" s="64"/>
      <c r="PAG18" s="64"/>
      <c r="PAH18" s="64"/>
      <c r="PAI18" s="64"/>
      <c r="PAJ18" s="64"/>
      <c r="PAK18" s="64"/>
      <c r="PAL18" s="64"/>
      <c r="PAM18" s="64"/>
      <c r="PAN18" s="64"/>
      <c r="PAO18" s="64"/>
      <c r="PAP18" s="64"/>
      <c r="PAQ18" s="64"/>
      <c r="PAR18" s="64"/>
      <c r="PAS18" s="64"/>
      <c r="PAT18" s="64"/>
      <c r="PAU18" s="64"/>
      <c r="PAV18" s="64"/>
      <c r="PAW18" s="64"/>
      <c r="PAX18" s="64"/>
      <c r="PAY18" s="64"/>
      <c r="PAZ18" s="64"/>
      <c r="PBA18" s="64"/>
      <c r="PBB18" s="64"/>
      <c r="PBC18" s="64"/>
      <c r="PBD18" s="64"/>
      <c r="PBE18" s="64"/>
      <c r="PBF18" s="64"/>
      <c r="PBG18" s="64"/>
      <c r="PBH18" s="64"/>
      <c r="PBI18" s="64"/>
      <c r="PBJ18" s="64"/>
      <c r="PBK18" s="64"/>
      <c r="PBL18" s="64"/>
      <c r="PBM18" s="64"/>
      <c r="PBN18" s="64"/>
      <c r="PBO18" s="64"/>
      <c r="PBP18" s="64"/>
      <c r="PBQ18" s="64"/>
      <c r="PBR18" s="64"/>
      <c r="PBS18" s="64"/>
      <c r="PBT18" s="64"/>
      <c r="PBU18" s="64"/>
      <c r="PBV18" s="64"/>
      <c r="PBW18" s="64"/>
      <c r="PBX18" s="64"/>
      <c r="PBY18" s="64"/>
      <c r="PBZ18" s="64"/>
      <c r="PCA18" s="64"/>
      <c r="PCB18" s="64"/>
      <c r="PCC18" s="64"/>
      <c r="PCD18" s="64"/>
      <c r="PCE18" s="64"/>
      <c r="PCF18" s="64"/>
      <c r="PCG18" s="64"/>
      <c r="PCH18" s="64"/>
      <c r="PCI18" s="64"/>
      <c r="PCJ18" s="64"/>
      <c r="PCK18" s="64"/>
      <c r="PCL18" s="64"/>
      <c r="PCM18" s="64"/>
      <c r="PCN18" s="64"/>
      <c r="PCO18" s="64"/>
      <c r="PCP18" s="64"/>
      <c r="PCQ18" s="64"/>
      <c r="PCR18" s="64"/>
      <c r="PCS18" s="64"/>
      <c r="PCT18" s="64"/>
      <c r="PCU18" s="64"/>
      <c r="PCV18" s="64"/>
      <c r="PCW18" s="64"/>
      <c r="PCX18" s="64"/>
      <c r="PCY18" s="64"/>
      <c r="PCZ18" s="64"/>
      <c r="PDA18" s="64"/>
      <c r="PDB18" s="64"/>
      <c r="PDC18" s="64"/>
      <c r="PDD18" s="64"/>
      <c r="PDE18" s="64"/>
      <c r="PDF18" s="64"/>
      <c r="PDG18" s="64"/>
      <c r="PDH18" s="64"/>
      <c r="PDI18" s="64"/>
      <c r="PDJ18" s="64"/>
      <c r="PDK18" s="64"/>
      <c r="PDL18" s="64"/>
      <c r="PDM18" s="64"/>
      <c r="PDN18" s="64"/>
      <c r="PDO18" s="64"/>
      <c r="PDP18" s="64"/>
      <c r="PDQ18" s="64"/>
      <c r="PDR18" s="64"/>
      <c r="PDS18" s="64"/>
      <c r="PDT18" s="64"/>
      <c r="PDU18" s="64"/>
      <c r="PDV18" s="64"/>
      <c r="PDW18" s="64"/>
      <c r="PDX18" s="64"/>
      <c r="PDY18" s="64"/>
      <c r="PDZ18" s="64"/>
      <c r="PEA18" s="64"/>
      <c r="PEB18" s="64"/>
      <c r="PEC18" s="64"/>
      <c r="PED18" s="64"/>
      <c r="PEE18" s="64"/>
      <c r="PEF18" s="64"/>
      <c r="PEG18" s="64"/>
      <c r="PEH18" s="64"/>
      <c r="PEI18" s="64"/>
      <c r="PEJ18" s="64"/>
      <c r="PEK18" s="64"/>
      <c r="PEL18" s="64"/>
      <c r="PEM18" s="64"/>
      <c r="PEN18" s="64"/>
      <c r="PEO18" s="64"/>
      <c r="PEP18" s="64"/>
      <c r="PEQ18" s="64"/>
      <c r="PER18" s="64"/>
      <c r="PES18" s="64"/>
      <c r="PET18" s="64"/>
      <c r="PEU18" s="64"/>
      <c r="PEV18" s="64"/>
      <c r="PEW18" s="64"/>
      <c r="PEX18" s="64"/>
      <c r="PEY18" s="64"/>
      <c r="PEZ18" s="64"/>
      <c r="PFA18" s="64"/>
      <c r="PFB18" s="64"/>
      <c r="PFC18" s="64"/>
      <c r="PFD18" s="64"/>
      <c r="PFE18" s="64"/>
      <c r="PFF18" s="64"/>
      <c r="PFG18" s="64"/>
      <c r="PFH18" s="64"/>
      <c r="PFI18" s="64"/>
      <c r="PFJ18" s="64"/>
      <c r="PFK18" s="64"/>
      <c r="PFL18" s="64"/>
      <c r="PFM18" s="64"/>
      <c r="PFN18" s="64"/>
      <c r="PFO18" s="64"/>
      <c r="PFP18" s="64"/>
      <c r="PFQ18" s="64"/>
      <c r="PFR18" s="64"/>
      <c r="PFS18" s="64"/>
      <c r="PFT18" s="64"/>
      <c r="PFU18" s="64"/>
      <c r="PFV18" s="64"/>
      <c r="PFW18" s="64"/>
      <c r="PFX18" s="64"/>
      <c r="PFY18" s="64"/>
      <c r="PFZ18" s="64"/>
      <c r="PGA18" s="64"/>
      <c r="PGB18" s="64"/>
      <c r="PGC18" s="64"/>
      <c r="PGD18" s="64"/>
      <c r="PGE18" s="64"/>
      <c r="PGF18" s="64"/>
      <c r="PGG18" s="64"/>
      <c r="PGH18" s="64"/>
      <c r="PGI18" s="64"/>
      <c r="PGJ18" s="64"/>
      <c r="PGK18" s="64"/>
      <c r="PGL18" s="64"/>
      <c r="PGM18" s="64"/>
      <c r="PGN18" s="64"/>
      <c r="PGO18" s="64"/>
      <c r="PGP18" s="64"/>
      <c r="PGQ18" s="64"/>
      <c r="PGR18" s="64"/>
      <c r="PGS18" s="64"/>
      <c r="PGT18" s="64"/>
      <c r="PGU18" s="64"/>
      <c r="PGV18" s="64"/>
      <c r="PGW18" s="64"/>
      <c r="PGX18" s="64"/>
      <c r="PGY18" s="64"/>
      <c r="PGZ18" s="64"/>
      <c r="PHA18" s="64"/>
      <c r="PHB18" s="64"/>
      <c r="PHC18" s="64"/>
      <c r="PHD18" s="64"/>
      <c r="PHE18" s="64"/>
      <c r="PHF18" s="64"/>
      <c r="PHG18" s="64"/>
      <c r="PHH18" s="64"/>
      <c r="PHI18" s="64"/>
      <c r="PHJ18" s="64"/>
      <c r="PHK18" s="64"/>
      <c r="PHL18" s="64"/>
      <c r="PHM18" s="64"/>
      <c r="PHN18" s="64"/>
      <c r="PHO18" s="64"/>
      <c r="PHP18" s="64"/>
      <c r="PHQ18" s="64"/>
      <c r="PHR18" s="64"/>
      <c r="PHS18" s="64"/>
      <c r="PHT18" s="64"/>
      <c r="PHU18" s="64"/>
      <c r="PHV18" s="64"/>
      <c r="PHW18" s="64"/>
      <c r="PHX18" s="64"/>
      <c r="PHY18" s="64"/>
      <c r="PHZ18" s="64"/>
      <c r="PIA18" s="64"/>
      <c r="PIB18" s="64"/>
      <c r="PIC18" s="64"/>
      <c r="PID18" s="64"/>
      <c r="PIE18" s="64"/>
      <c r="PIF18" s="64"/>
      <c r="PIG18" s="64"/>
      <c r="PIH18" s="64"/>
      <c r="PII18" s="64"/>
      <c r="PIJ18" s="64"/>
      <c r="PIK18" s="64"/>
      <c r="PIL18" s="64"/>
      <c r="PIM18" s="64"/>
      <c r="PIN18" s="64"/>
      <c r="PIO18" s="64"/>
      <c r="PIP18" s="64"/>
      <c r="PIQ18" s="64"/>
      <c r="PIR18" s="64"/>
      <c r="PIS18" s="64"/>
      <c r="PIT18" s="64"/>
      <c r="PIU18" s="64"/>
      <c r="PIV18" s="64"/>
      <c r="PIW18" s="64"/>
      <c r="PIX18" s="64"/>
      <c r="PIY18" s="64"/>
      <c r="PIZ18" s="64"/>
      <c r="PJA18" s="64"/>
      <c r="PJB18" s="64"/>
      <c r="PJC18" s="64"/>
      <c r="PJD18" s="64"/>
      <c r="PJE18" s="64"/>
      <c r="PJF18" s="64"/>
      <c r="PJG18" s="64"/>
      <c r="PJH18" s="64"/>
      <c r="PJI18" s="64"/>
      <c r="PJJ18" s="64"/>
      <c r="PJK18" s="64"/>
      <c r="PJL18" s="64"/>
      <c r="PJM18" s="64"/>
      <c r="PJN18" s="64"/>
      <c r="PJO18" s="64"/>
      <c r="PJP18" s="64"/>
      <c r="PJQ18" s="64"/>
      <c r="PJR18" s="64"/>
      <c r="PJS18" s="64"/>
      <c r="PJT18" s="64"/>
      <c r="PJU18" s="64"/>
      <c r="PJV18" s="64"/>
      <c r="PJW18" s="64"/>
      <c r="PJX18" s="64"/>
      <c r="PJY18" s="64"/>
      <c r="PJZ18" s="64"/>
      <c r="PKA18" s="64"/>
      <c r="PKB18" s="64"/>
      <c r="PKC18" s="64"/>
      <c r="PKD18" s="64"/>
      <c r="PKE18" s="64"/>
      <c r="PKF18" s="64"/>
      <c r="PKG18" s="64"/>
      <c r="PKH18" s="64"/>
      <c r="PKI18" s="64"/>
      <c r="PKJ18" s="64"/>
      <c r="PKK18" s="64"/>
      <c r="PKL18" s="64"/>
      <c r="PKM18" s="64"/>
      <c r="PKN18" s="64"/>
      <c r="PKO18" s="64"/>
      <c r="PKP18" s="64"/>
      <c r="PKQ18" s="64"/>
      <c r="PKR18" s="64"/>
      <c r="PKS18" s="64"/>
      <c r="PKT18" s="64"/>
      <c r="PKU18" s="64"/>
      <c r="PKV18" s="64"/>
      <c r="PKW18" s="64"/>
      <c r="PKX18" s="64"/>
      <c r="PKY18" s="64"/>
      <c r="PKZ18" s="64"/>
      <c r="PLA18" s="64"/>
      <c r="PLB18" s="64"/>
      <c r="PLC18" s="64"/>
      <c r="PLD18" s="64"/>
      <c r="PLE18" s="64"/>
      <c r="PLF18" s="64"/>
      <c r="PLG18" s="64"/>
      <c r="PLH18" s="64"/>
      <c r="PLI18" s="64"/>
      <c r="PLJ18" s="64"/>
      <c r="PLK18" s="64"/>
      <c r="PLL18" s="64"/>
      <c r="PLM18" s="64"/>
      <c r="PLN18" s="64"/>
      <c r="PLO18" s="64"/>
      <c r="PLP18" s="64"/>
      <c r="PLQ18" s="64"/>
      <c r="PLR18" s="64"/>
      <c r="PLS18" s="64"/>
      <c r="PLT18" s="64"/>
      <c r="PLU18" s="64"/>
      <c r="PLV18" s="64"/>
      <c r="PLW18" s="64"/>
      <c r="PLX18" s="64"/>
      <c r="PLY18" s="64"/>
      <c r="PLZ18" s="64"/>
      <c r="PMA18" s="64"/>
      <c r="PMB18" s="64"/>
      <c r="PMC18" s="64"/>
      <c r="PMD18" s="64"/>
      <c r="PME18" s="64"/>
      <c r="PMF18" s="64"/>
      <c r="PMG18" s="64"/>
      <c r="PMH18" s="64"/>
      <c r="PMI18" s="64"/>
      <c r="PMJ18" s="64"/>
      <c r="PMK18" s="64"/>
      <c r="PML18" s="64"/>
      <c r="PMM18" s="64"/>
      <c r="PMN18" s="64"/>
      <c r="PMO18" s="64"/>
      <c r="PMP18" s="64"/>
      <c r="PMQ18" s="64"/>
      <c r="PMR18" s="64"/>
      <c r="PMS18" s="64"/>
      <c r="PMT18" s="64"/>
      <c r="PMU18" s="64"/>
      <c r="PMV18" s="64"/>
      <c r="PMW18" s="64"/>
      <c r="PMX18" s="64"/>
      <c r="PMY18" s="64"/>
      <c r="PMZ18" s="64"/>
      <c r="PNA18" s="64"/>
      <c r="PNB18" s="64"/>
      <c r="PNC18" s="64"/>
      <c r="PND18" s="64"/>
      <c r="PNE18" s="64"/>
      <c r="PNF18" s="64"/>
      <c r="PNG18" s="64"/>
      <c r="PNH18" s="64"/>
      <c r="PNI18" s="64"/>
      <c r="PNJ18" s="64"/>
      <c r="PNK18" s="64"/>
      <c r="PNL18" s="64"/>
      <c r="PNM18" s="64"/>
      <c r="PNN18" s="64"/>
      <c r="PNO18" s="64"/>
      <c r="PNP18" s="64"/>
      <c r="PNQ18" s="64"/>
      <c r="PNR18" s="64"/>
      <c r="PNS18" s="64"/>
      <c r="PNT18" s="64"/>
      <c r="PNU18" s="64"/>
      <c r="PNV18" s="64"/>
      <c r="PNW18" s="64"/>
      <c r="PNX18" s="64"/>
      <c r="PNY18" s="64"/>
      <c r="PNZ18" s="64"/>
      <c r="POA18" s="64"/>
      <c r="POB18" s="64"/>
      <c r="POC18" s="64"/>
      <c r="POD18" s="64"/>
      <c r="POE18" s="64"/>
      <c r="POF18" s="64"/>
      <c r="POG18" s="64"/>
      <c r="POH18" s="64"/>
      <c r="POI18" s="64"/>
      <c r="POJ18" s="64"/>
      <c r="POK18" s="64"/>
      <c r="POL18" s="64"/>
      <c r="POM18" s="64"/>
      <c r="PON18" s="64"/>
      <c r="POO18" s="64"/>
      <c r="POP18" s="64"/>
      <c r="POQ18" s="64"/>
      <c r="POR18" s="64"/>
      <c r="POS18" s="64"/>
      <c r="POT18" s="64"/>
      <c r="POU18" s="64"/>
      <c r="POV18" s="64"/>
      <c r="POW18" s="64"/>
      <c r="POX18" s="64"/>
      <c r="POY18" s="64"/>
      <c r="POZ18" s="64"/>
      <c r="PPA18" s="64"/>
      <c r="PPB18" s="64"/>
      <c r="PPC18" s="64"/>
      <c r="PPD18" s="64"/>
      <c r="PPE18" s="64"/>
      <c r="PPF18" s="64"/>
      <c r="PPG18" s="64"/>
      <c r="PPH18" s="64"/>
      <c r="PPI18" s="64"/>
      <c r="PPJ18" s="64"/>
      <c r="PPK18" s="64"/>
      <c r="PPL18" s="64"/>
      <c r="PPM18" s="64"/>
      <c r="PPN18" s="64"/>
      <c r="PPO18" s="64"/>
      <c r="PPP18" s="64"/>
      <c r="PPQ18" s="64"/>
      <c r="PPR18" s="64"/>
      <c r="PPS18" s="64"/>
      <c r="PPT18" s="64"/>
      <c r="PPU18" s="64"/>
      <c r="PPV18" s="64"/>
      <c r="PPW18" s="64"/>
      <c r="PPX18" s="64"/>
      <c r="PPY18" s="64"/>
      <c r="PPZ18" s="64"/>
      <c r="PQA18" s="64"/>
      <c r="PQB18" s="64"/>
      <c r="PQC18" s="64"/>
      <c r="PQD18" s="64"/>
      <c r="PQE18" s="64"/>
      <c r="PQF18" s="64"/>
      <c r="PQG18" s="64"/>
      <c r="PQH18" s="64"/>
      <c r="PQI18" s="64"/>
      <c r="PQJ18" s="64"/>
      <c r="PQK18" s="64"/>
      <c r="PQL18" s="64"/>
      <c r="PQM18" s="64"/>
      <c r="PQN18" s="64"/>
      <c r="PQO18" s="64"/>
      <c r="PQP18" s="64"/>
      <c r="PQQ18" s="64"/>
      <c r="PQR18" s="64"/>
      <c r="PQS18" s="64"/>
      <c r="PQT18" s="64"/>
      <c r="PQU18" s="64"/>
      <c r="PQV18" s="64"/>
      <c r="PQW18" s="64"/>
      <c r="PQX18" s="64"/>
      <c r="PQY18" s="64"/>
      <c r="PQZ18" s="64"/>
      <c r="PRA18" s="64"/>
      <c r="PRB18" s="64"/>
      <c r="PRC18" s="64"/>
      <c r="PRD18" s="64"/>
      <c r="PRE18" s="64"/>
      <c r="PRF18" s="64"/>
      <c r="PRG18" s="64"/>
      <c r="PRH18" s="64"/>
      <c r="PRI18" s="64"/>
      <c r="PRJ18" s="64"/>
      <c r="PRK18" s="64"/>
      <c r="PRL18" s="64"/>
      <c r="PRM18" s="64"/>
      <c r="PRN18" s="64"/>
      <c r="PRO18" s="64"/>
      <c r="PRP18" s="64"/>
      <c r="PRQ18" s="64"/>
      <c r="PRR18" s="64"/>
      <c r="PRS18" s="64"/>
      <c r="PRT18" s="64"/>
      <c r="PRU18" s="64"/>
      <c r="PRV18" s="64"/>
      <c r="PRW18" s="64"/>
      <c r="PRX18" s="64"/>
      <c r="PRY18" s="64"/>
      <c r="PRZ18" s="64"/>
      <c r="PSA18" s="64"/>
      <c r="PSB18" s="64"/>
      <c r="PSC18" s="64"/>
      <c r="PSD18" s="64"/>
      <c r="PSE18" s="64"/>
      <c r="PSF18" s="64"/>
      <c r="PSG18" s="64"/>
      <c r="PSH18" s="64"/>
      <c r="PSI18" s="64"/>
      <c r="PSJ18" s="64"/>
      <c r="PSK18" s="64"/>
      <c r="PSL18" s="64"/>
      <c r="PSM18" s="64"/>
      <c r="PSN18" s="64"/>
      <c r="PSO18" s="64"/>
      <c r="PSP18" s="64"/>
      <c r="PSQ18" s="64"/>
      <c r="PSR18" s="64"/>
      <c r="PSS18" s="64"/>
      <c r="PST18" s="64"/>
      <c r="PSU18" s="64"/>
      <c r="PSV18" s="64"/>
      <c r="PSW18" s="64"/>
      <c r="PSX18" s="64"/>
      <c r="PSY18" s="64"/>
      <c r="PSZ18" s="64"/>
      <c r="PTA18" s="64"/>
      <c r="PTB18" s="64"/>
      <c r="PTC18" s="64"/>
      <c r="PTD18" s="64"/>
      <c r="PTE18" s="64"/>
      <c r="PTF18" s="64"/>
      <c r="PTG18" s="64"/>
      <c r="PTH18" s="64"/>
      <c r="PTI18" s="64"/>
      <c r="PTJ18" s="64"/>
      <c r="PTK18" s="64"/>
      <c r="PTL18" s="64"/>
      <c r="PTM18" s="64"/>
      <c r="PTN18" s="64"/>
      <c r="PTO18" s="64"/>
      <c r="PTP18" s="64"/>
      <c r="PTQ18" s="64"/>
      <c r="PTR18" s="64"/>
      <c r="PTS18" s="64"/>
      <c r="PTT18" s="64"/>
      <c r="PTU18" s="64"/>
      <c r="PTV18" s="64"/>
      <c r="PTW18" s="64"/>
      <c r="PTX18" s="64"/>
      <c r="PTY18" s="64"/>
      <c r="PTZ18" s="64"/>
      <c r="PUA18" s="64"/>
      <c r="PUB18" s="64"/>
      <c r="PUC18" s="64"/>
      <c r="PUD18" s="64"/>
      <c r="PUE18" s="64"/>
      <c r="PUF18" s="64"/>
      <c r="PUG18" s="64"/>
      <c r="PUH18" s="64"/>
      <c r="PUI18" s="64"/>
      <c r="PUJ18" s="64"/>
      <c r="PUK18" s="64"/>
      <c r="PUL18" s="64"/>
      <c r="PUM18" s="64"/>
      <c r="PUN18" s="64"/>
      <c r="PUO18" s="64"/>
      <c r="PUP18" s="64"/>
      <c r="PUQ18" s="64"/>
      <c r="PUR18" s="64"/>
      <c r="PUS18" s="64"/>
      <c r="PUT18" s="64"/>
      <c r="PUU18" s="64"/>
      <c r="PUV18" s="64"/>
      <c r="PUW18" s="64"/>
      <c r="PUX18" s="64"/>
      <c r="PUY18" s="64"/>
      <c r="PUZ18" s="64"/>
      <c r="PVA18" s="64"/>
      <c r="PVB18" s="64"/>
      <c r="PVC18" s="64"/>
      <c r="PVD18" s="64"/>
      <c r="PVE18" s="64"/>
      <c r="PVF18" s="64"/>
      <c r="PVG18" s="64"/>
      <c r="PVH18" s="64"/>
      <c r="PVI18" s="64"/>
      <c r="PVJ18" s="64"/>
      <c r="PVK18" s="64"/>
      <c r="PVL18" s="64"/>
      <c r="PVM18" s="64"/>
      <c r="PVN18" s="64"/>
      <c r="PVO18" s="64"/>
      <c r="PVP18" s="64"/>
      <c r="PVQ18" s="64"/>
      <c r="PVR18" s="64"/>
      <c r="PVS18" s="64"/>
      <c r="PVT18" s="64"/>
      <c r="PVU18" s="64"/>
      <c r="PVV18" s="64"/>
      <c r="PVW18" s="64"/>
      <c r="PVX18" s="64"/>
      <c r="PVY18" s="64"/>
      <c r="PVZ18" s="64"/>
      <c r="PWA18" s="64"/>
      <c r="PWB18" s="64"/>
      <c r="PWC18" s="64"/>
      <c r="PWD18" s="64"/>
      <c r="PWE18" s="64"/>
      <c r="PWF18" s="64"/>
      <c r="PWG18" s="64"/>
      <c r="PWH18" s="64"/>
      <c r="PWI18" s="64"/>
      <c r="PWJ18" s="64"/>
      <c r="PWK18" s="64"/>
      <c r="PWL18" s="64"/>
      <c r="PWM18" s="64"/>
      <c r="PWN18" s="64"/>
      <c r="PWO18" s="64"/>
      <c r="PWP18" s="64"/>
      <c r="PWQ18" s="64"/>
      <c r="PWR18" s="64"/>
      <c r="PWS18" s="64"/>
      <c r="PWT18" s="64"/>
      <c r="PWU18" s="64"/>
      <c r="PWV18" s="64"/>
      <c r="PWW18" s="64"/>
      <c r="PWX18" s="64"/>
      <c r="PWY18" s="64"/>
      <c r="PWZ18" s="64"/>
      <c r="PXA18" s="64"/>
      <c r="PXB18" s="64"/>
      <c r="PXC18" s="64"/>
      <c r="PXD18" s="64"/>
      <c r="PXE18" s="64"/>
      <c r="PXF18" s="64"/>
      <c r="PXG18" s="64"/>
      <c r="PXH18" s="64"/>
      <c r="PXI18" s="64"/>
      <c r="PXJ18" s="64"/>
      <c r="PXK18" s="64"/>
      <c r="PXL18" s="64"/>
      <c r="PXM18" s="64"/>
      <c r="PXN18" s="64"/>
      <c r="PXO18" s="64"/>
      <c r="PXP18" s="64"/>
      <c r="PXQ18" s="64"/>
      <c r="PXR18" s="64"/>
      <c r="PXS18" s="64"/>
      <c r="PXT18" s="64"/>
      <c r="PXU18" s="64"/>
      <c r="PXV18" s="64"/>
      <c r="PXW18" s="64"/>
      <c r="PXX18" s="64"/>
      <c r="PXY18" s="64"/>
      <c r="PXZ18" s="64"/>
      <c r="PYA18" s="64"/>
      <c r="PYB18" s="64"/>
      <c r="PYC18" s="64"/>
      <c r="PYD18" s="64"/>
      <c r="PYE18" s="64"/>
      <c r="PYF18" s="64"/>
      <c r="PYG18" s="64"/>
      <c r="PYH18" s="64"/>
      <c r="PYI18" s="64"/>
      <c r="PYJ18" s="64"/>
      <c r="PYK18" s="64"/>
      <c r="PYL18" s="64"/>
      <c r="PYM18" s="64"/>
      <c r="PYN18" s="64"/>
      <c r="PYO18" s="64"/>
      <c r="PYP18" s="64"/>
      <c r="PYQ18" s="64"/>
      <c r="PYR18" s="64"/>
      <c r="PYS18" s="64"/>
      <c r="PYT18" s="64"/>
      <c r="PYU18" s="64"/>
      <c r="PYV18" s="64"/>
      <c r="PYW18" s="64"/>
      <c r="PYX18" s="64"/>
      <c r="PYY18" s="64"/>
      <c r="PYZ18" s="64"/>
      <c r="PZA18" s="64"/>
      <c r="PZB18" s="64"/>
      <c r="PZC18" s="64"/>
      <c r="PZD18" s="64"/>
      <c r="PZE18" s="64"/>
      <c r="PZF18" s="64"/>
      <c r="PZG18" s="64"/>
      <c r="PZH18" s="64"/>
      <c r="PZI18" s="64"/>
      <c r="PZJ18" s="64"/>
      <c r="PZK18" s="64"/>
      <c r="PZL18" s="64"/>
      <c r="PZM18" s="64"/>
      <c r="PZN18" s="64"/>
      <c r="PZO18" s="64"/>
      <c r="PZP18" s="64"/>
      <c r="PZQ18" s="64"/>
      <c r="PZR18" s="64"/>
      <c r="PZS18" s="64"/>
      <c r="PZT18" s="64"/>
      <c r="PZU18" s="64"/>
      <c r="PZV18" s="64"/>
      <c r="PZW18" s="64"/>
      <c r="PZX18" s="64"/>
      <c r="PZY18" s="64"/>
      <c r="PZZ18" s="64"/>
      <c r="QAA18" s="64"/>
      <c r="QAB18" s="64"/>
      <c r="QAC18" s="64"/>
      <c r="QAD18" s="64"/>
      <c r="QAE18" s="64"/>
      <c r="QAF18" s="64"/>
      <c r="QAG18" s="64"/>
      <c r="QAH18" s="64"/>
      <c r="QAI18" s="64"/>
      <c r="QAJ18" s="64"/>
      <c r="QAK18" s="64"/>
      <c r="QAL18" s="64"/>
      <c r="QAM18" s="64"/>
      <c r="QAN18" s="64"/>
      <c r="QAO18" s="64"/>
      <c r="QAP18" s="64"/>
      <c r="QAQ18" s="64"/>
      <c r="QAR18" s="64"/>
      <c r="QAS18" s="64"/>
      <c r="QAT18" s="64"/>
      <c r="QAU18" s="64"/>
      <c r="QAV18" s="64"/>
      <c r="QAW18" s="64"/>
      <c r="QAX18" s="64"/>
      <c r="QAY18" s="64"/>
      <c r="QAZ18" s="64"/>
      <c r="QBA18" s="64"/>
      <c r="QBB18" s="64"/>
      <c r="QBC18" s="64"/>
      <c r="QBD18" s="64"/>
      <c r="QBE18" s="64"/>
      <c r="QBF18" s="64"/>
      <c r="QBG18" s="64"/>
      <c r="QBH18" s="64"/>
      <c r="QBI18" s="64"/>
      <c r="QBJ18" s="64"/>
      <c r="QBK18" s="64"/>
      <c r="QBL18" s="64"/>
      <c r="QBM18" s="64"/>
      <c r="QBN18" s="64"/>
      <c r="QBO18" s="64"/>
      <c r="QBP18" s="64"/>
      <c r="QBQ18" s="64"/>
      <c r="QBR18" s="64"/>
      <c r="QBS18" s="64"/>
      <c r="QBT18" s="64"/>
      <c r="QBU18" s="64"/>
      <c r="QBV18" s="64"/>
      <c r="QBW18" s="64"/>
      <c r="QBX18" s="64"/>
      <c r="QBY18" s="64"/>
      <c r="QBZ18" s="64"/>
      <c r="QCA18" s="64"/>
      <c r="QCB18" s="64"/>
      <c r="QCC18" s="64"/>
      <c r="QCD18" s="64"/>
      <c r="QCE18" s="64"/>
      <c r="QCF18" s="64"/>
      <c r="QCG18" s="64"/>
      <c r="QCH18" s="64"/>
      <c r="QCI18" s="64"/>
      <c r="QCJ18" s="64"/>
      <c r="QCK18" s="64"/>
      <c r="QCL18" s="64"/>
      <c r="QCM18" s="64"/>
      <c r="QCN18" s="64"/>
      <c r="QCO18" s="64"/>
      <c r="QCP18" s="64"/>
      <c r="QCQ18" s="64"/>
      <c r="QCR18" s="64"/>
      <c r="QCS18" s="64"/>
      <c r="QCT18" s="64"/>
      <c r="QCU18" s="64"/>
      <c r="QCV18" s="64"/>
      <c r="QCW18" s="64"/>
      <c r="QCX18" s="64"/>
      <c r="QCY18" s="64"/>
      <c r="QCZ18" s="64"/>
      <c r="QDA18" s="64"/>
      <c r="QDB18" s="64"/>
      <c r="QDC18" s="64"/>
      <c r="QDD18" s="64"/>
      <c r="QDE18" s="64"/>
      <c r="QDF18" s="64"/>
      <c r="QDG18" s="64"/>
      <c r="QDH18" s="64"/>
      <c r="QDI18" s="64"/>
      <c r="QDJ18" s="64"/>
      <c r="QDK18" s="64"/>
      <c r="QDL18" s="64"/>
      <c r="QDM18" s="64"/>
      <c r="QDN18" s="64"/>
      <c r="QDO18" s="64"/>
      <c r="QDP18" s="64"/>
      <c r="QDQ18" s="64"/>
      <c r="QDR18" s="64"/>
      <c r="QDS18" s="64"/>
      <c r="QDT18" s="64"/>
      <c r="QDU18" s="64"/>
      <c r="QDV18" s="64"/>
      <c r="QDW18" s="64"/>
      <c r="QDX18" s="64"/>
      <c r="QDY18" s="64"/>
      <c r="QDZ18" s="64"/>
      <c r="QEA18" s="64"/>
      <c r="QEB18" s="64"/>
      <c r="QEC18" s="64"/>
      <c r="QED18" s="64"/>
      <c r="QEE18" s="64"/>
      <c r="QEF18" s="64"/>
      <c r="QEG18" s="64"/>
      <c r="QEH18" s="64"/>
      <c r="QEI18" s="64"/>
      <c r="QEJ18" s="64"/>
      <c r="QEK18" s="64"/>
      <c r="QEL18" s="64"/>
      <c r="QEM18" s="64"/>
      <c r="QEN18" s="64"/>
      <c r="QEO18" s="64"/>
      <c r="QEP18" s="64"/>
      <c r="QEQ18" s="64"/>
      <c r="QER18" s="64"/>
      <c r="QES18" s="64"/>
      <c r="QET18" s="64"/>
      <c r="QEU18" s="64"/>
      <c r="QEV18" s="64"/>
      <c r="QEW18" s="64"/>
      <c r="QEX18" s="64"/>
      <c r="QEY18" s="64"/>
      <c r="QEZ18" s="64"/>
      <c r="QFA18" s="64"/>
      <c r="QFB18" s="64"/>
      <c r="QFC18" s="64"/>
      <c r="QFD18" s="64"/>
      <c r="QFE18" s="64"/>
      <c r="QFF18" s="64"/>
      <c r="QFG18" s="64"/>
      <c r="QFH18" s="64"/>
      <c r="QFI18" s="64"/>
      <c r="QFJ18" s="64"/>
      <c r="QFK18" s="64"/>
      <c r="QFL18" s="64"/>
      <c r="QFM18" s="64"/>
      <c r="QFN18" s="64"/>
      <c r="QFO18" s="64"/>
      <c r="QFP18" s="64"/>
      <c r="QFQ18" s="64"/>
      <c r="QFR18" s="64"/>
      <c r="QFS18" s="64"/>
      <c r="QFT18" s="64"/>
      <c r="QFU18" s="64"/>
      <c r="QFV18" s="64"/>
      <c r="QFW18" s="64"/>
      <c r="QFX18" s="64"/>
      <c r="QFY18" s="64"/>
      <c r="QFZ18" s="64"/>
      <c r="QGA18" s="64"/>
      <c r="QGB18" s="64"/>
      <c r="QGC18" s="64"/>
      <c r="QGD18" s="64"/>
      <c r="QGE18" s="64"/>
      <c r="QGF18" s="64"/>
      <c r="QGG18" s="64"/>
      <c r="QGH18" s="64"/>
      <c r="QGI18" s="64"/>
      <c r="QGJ18" s="64"/>
      <c r="QGK18" s="64"/>
      <c r="QGL18" s="64"/>
      <c r="QGM18" s="64"/>
      <c r="QGN18" s="64"/>
      <c r="QGO18" s="64"/>
      <c r="QGP18" s="64"/>
      <c r="QGQ18" s="64"/>
      <c r="QGR18" s="64"/>
      <c r="QGS18" s="64"/>
      <c r="QGT18" s="64"/>
      <c r="QGU18" s="64"/>
      <c r="QGV18" s="64"/>
      <c r="QGW18" s="64"/>
      <c r="QGX18" s="64"/>
      <c r="QGY18" s="64"/>
      <c r="QGZ18" s="64"/>
      <c r="QHA18" s="64"/>
      <c r="QHB18" s="64"/>
      <c r="QHC18" s="64"/>
      <c r="QHD18" s="64"/>
      <c r="QHE18" s="64"/>
      <c r="QHF18" s="64"/>
      <c r="QHG18" s="64"/>
      <c r="QHH18" s="64"/>
      <c r="QHI18" s="64"/>
      <c r="QHJ18" s="64"/>
      <c r="QHK18" s="64"/>
      <c r="QHL18" s="64"/>
      <c r="QHM18" s="64"/>
      <c r="QHN18" s="64"/>
      <c r="QHO18" s="64"/>
      <c r="QHP18" s="64"/>
      <c r="QHQ18" s="64"/>
      <c r="QHR18" s="64"/>
      <c r="QHS18" s="64"/>
      <c r="QHT18" s="64"/>
      <c r="QHU18" s="64"/>
      <c r="QHV18" s="64"/>
      <c r="QHW18" s="64"/>
      <c r="QHX18" s="64"/>
      <c r="QHY18" s="64"/>
      <c r="QHZ18" s="64"/>
      <c r="QIA18" s="64"/>
      <c r="QIB18" s="64"/>
      <c r="QIC18" s="64"/>
      <c r="QID18" s="64"/>
      <c r="QIE18" s="64"/>
      <c r="QIF18" s="64"/>
      <c r="QIG18" s="64"/>
      <c r="QIH18" s="64"/>
      <c r="QII18" s="64"/>
      <c r="QIJ18" s="64"/>
      <c r="QIK18" s="64"/>
      <c r="QIL18" s="64"/>
      <c r="QIM18" s="64"/>
      <c r="QIN18" s="64"/>
      <c r="QIO18" s="64"/>
      <c r="QIP18" s="64"/>
      <c r="QIQ18" s="64"/>
      <c r="QIR18" s="64"/>
      <c r="QIS18" s="64"/>
      <c r="QIT18" s="64"/>
      <c r="QIU18" s="64"/>
      <c r="QIV18" s="64"/>
      <c r="QIW18" s="64"/>
      <c r="QIX18" s="64"/>
      <c r="QIY18" s="64"/>
      <c r="QIZ18" s="64"/>
      <c r="QJA18" s="64"/>
      <c r="QJB18" s="64"/>
      <c r="QJC18" s="64"/>
      <c r="QJD18" s="64"/>
      <c r="QJE18" s="64"/>
      <c r="QJF18" s="64"/>
      <c r="QJG18" s="64"/>
      <c r="QJH18" s="64"/>
      <c r="QJI18" s="64"/>
      <c r="QJJ18" s="64"/>
      <c r="QJK18" s="64"/>
      <c r="QJL18" s="64"/>
      <c r="QJM18" s="64"/>
      <c r="QJN18" s="64"/>
      <c r="QJO18" s="64"/>
      <c r="QJP18" s="64"/>
      <c r="QJQ18" s="64"/>
      <c r="QJR18" s="64"/>
      <c r="QJS18" s="64"/>
      <c r="QJT18" s="64"/>
      <c r="QJU18" s="64"/>
      <c r="QJV18" s="64"/>
      <c r="QJW18" s="64"/>
      <c r="QJX18" s="64"/>
      <c r="QJY18" s="64"/>
      <c r="QJZ18" s="64"/>
      <c r="QKA18" s="64"/>
      <c r="QKB18" s="64"/>
      <c r="QKC18" s="64"/>
      <c r="QKD18" s="64"/>
      <c r="QKE18" s="64"/>
      <c r="QKF18" s="64"/>
      <c r="QKG18" s="64"/>
      <c r="QKH18" s="64"/>
      <c r="QKI18" s="64"/>
      <c r="QKJ18" s="64"/>
      <c r="QKK18" s="64"/>
      <c r="QKL18" s="64"/>
      <c r="QKM18" s="64"/>
      <c r="QKN18" s="64"/>
      <c r="QKO18" s="64"/>
      <c r="QKP18" s="64"/>
      <c r="QKQ18" s="64"/>
      <c r="QKR18" s="64"/>
      <c r="QKS18" s="64"/>
      <c r="QKT18" s="64"/>
      <c r="QKU18" s="64"/>
      <c r="QKV18" s="64"/>
      <c r="QKW18" s="64"/>
      <c r="QKX18" s="64"/>
      <c r="QKY18" s="64"/>
      <c r="QKZ18" s="64"/>
      <c r="QLA18" s="64"/>
      <c r="QLB18" s="64"/>
      <c r="QLC18" s="64"/>
      <c r="QLD18" s="64"/>
      <c r="QLE18" s="64"/>
      <c r="QLF18" s="64"/>
      <c r="QLG18" s="64"/>
      <c r="QLH18" s="64"/>
      <c r="QLI18" s="64"/>
      <c r="QLJ18" s="64"/>
      <c r="QLK18" s="64"/>
      <c r="QLL18" s="64"/>
      <c r="QLM18" s="64"/>
      <c r="QLN18" s="64"/>
      <c r="QLO18" s="64"/>
      <c r="QLP18" s="64"/>
      <c r="QLQ18" s="64"/>
      <c r="QLR18" s="64"/>
      <c r="QLS18" s="64"/>
      <c r="QLT18" s="64"/>
      <c r="QLU18" s="64"/>
      <c r="QLV18" s="64"/>
      <c r="QLW18" s="64"/>
      <c r="QLX18" s="64"/>
      <c r="QLY18" s="64"/>
      <c r="QLZ18" s="64"/>
      <c r="QMA18" s="64"/>
      <c r="QMB18" s="64"/>
      <c r="QMC18" s="64"/>
      <c r="QMD18" s="64"/>
      <c r="QME18" s="64"/>
      <c r="QMF18" s="64"/>
      <c r="QMG18" s="64"/>
      <c r="QMH18" s="64"/>
      <c r="QMI18" s="64"/>
      <c r="QMJ18" s="64"/>
      <c r="QMK18" s="64"/>
      <c r="QML18" s="64"/>
      <c r="QMM18" s="64"/>
      <c r="QMN18" s="64"/>
      <c r="QMO18" s="64"/>
      <c r="QMP18" s="64"/>
      <c r="QMQ18" s="64"/>
      <c r="QMR18" s="64"/>
      <c r="QMS18" s="64"/>
      <c r="QMT18" s="64"/>
      <c r="QMU18" s="64"/>
      <c r="QMV18" s="64"/>
      <c r="QMW18" s="64"/>
      <c r="QMX18" s="64"/>
      <c r="QMY18" s="64"/>
      <c r="QMZ18" s="64"/>
      <c r="QNA18" s="64"/>
      <c r="QNB18" s="64"/>
      <c r="QNC18" s="64"/>
      <c r="QND18" s="64"/>
      <c r="QNE18" s="64"/>
      <c r="QNF18" s="64"/>
      <c r="QNG18" s="64"/>
      <c r="QNH18" s="64"/>
      <c r="QNI18" s="64"/>
      <c r="QNJ18" s="64"/>
      <c r="QNK18" s="64"/>
      <c r="QNL18" s="64"/>
      <c r="QNM18" s="64"/>
      <c r="QNN18" s="64"/>
      <c r="QNO18" s="64"/>
      <c r="QNP18" s="64"/>
      <c r="QNQ18" s="64"/>
      <c r="QNR18" s="64"/>
      <c r="QNS18" s="64"/>
      <c r="QNT18" s="64"/>
      <c r="QNU18" s="64"/>
      <c r="QNV18" s="64"/>
      <c r="QNW18" s="64"/>
      <c r="QNX18" s="64"/>
      <c r="QNY18" s="64"/>
      <c r="QNZ18" s="64"/>
      <c r="QOA18" s="64"/>
      <c r="QOB18" s="64"/>
      <c r="QOC18" s="64"/>
      <c r="QOD18" s="64"/>
      <c r="QOE18" s="64"/>
      <c r="QOF18" s="64"/>
      <c r="QOG18" s="64"/>
      <c r="QOH18" s="64"/>
      <c r="QOI18" s="64"/>
      <c r="QOJ18" s="64"/>
      <c r="QOK18" s="64"/>
      <c r="QOL18" s="64"/>
      <c r="QOM18" s="64"/>
      <c r="QON18" s="64"/>
      <c r="QOO18" s="64"/>
      <c r="QOP18" s="64"/>
      <c r="QOQ18" s="64"/>
      <c r="QOR18" s="64"/>
      <c r="QOS18" s="64"/>
      <c r="QOT18" s="64"/>
      <c r="QOU18" s="64"/>
      <c r="QOV18" s="64"/>
      <c r="QOW18" s="64"/>
      <c r="QOX18" s="64"/>
      <c r="QOY18" s="64"/>
      <c r="QOZ18" s="64"/>
      <c r="QPA18" s="64"/>
      <c r="QPB18" s="64"/>
      <c r="QPC18" s="64"/>
      <c r="QPD18" s="64"/>
      <c r="QPE18" s="64"/>
      <c r="QPF18" s="64"/>
      <c r="QPG18" s="64"/>
      <c r="QPH18" s="64"/>
      <c r="QPI18" s="64"/>
      <c r="QPJ18" s="64"/>
      <c r="QPK18" s="64"/>
      <c r="QPL18" s="64"/>
      <c r="QPM18" s="64"/>
      <c r="QPN18" s="64"/>
      <c r="QPO18" s="64"/>
      <c r="QPP18" s="64"/>
      <c r="QPQ18" s="64"/>
      <c r="QPR18" s="64"/>
      <c r="QPS18" s="64"/>
      <c r="QPT18" s="64"/>
      <c r="QPU18" s="64"/>
      <c r="QPV18" s="64"/>
      <c r="QPW18" s="64"/>
      <c r="QPX18" s="64"/>
      <c r="QPY18" s="64"/>
      <c r="QPZ18" s="64"/>
      <c r="QQA18" s="64"/>
      <c r="QQB18" s="64"/>
      <c r="QQC18" s="64"/>
      <c r="QQD18" s="64"/>
      <c r="QQE18" s="64"/>
      <c r="QQF18" s="64"/>
      <c r="QQG18" s="64"/>
      <c r="QQH18" s="64"/>
      <c r="QQI18" s="64"/>
      <c r="QQJ18" s="64"/>
      <c r="QQK18" s="64"/>
      <c r="QQL18" s="64"/>
      <c r="QQM18" s="64"/>
      <c r="QQN18" s="64"/>
      <c r="QQO18" s="64"/>
      <c r="QQP18" s="64"/>
      <c r="QQQ18" s="64"/>
      <c r="QQR18" s="64"/>
      <c r="QQS18" s="64"/>
      <c r="QQT18" s="64"/>
      <c r="QQU18" s="64"/>
      <c r="QQV18" s="64"/>
      <c r="QQW18" s="64"/>
      <c r="QQX18" s="64"/>
      <c r="QQY18" s="64"/>
      <c r="QQZ18" s="64"/>
      <c r="QRA18" s="64"/>
      <c r="QRB18" s="64"/>
      <c r="QRC18" s="64"/>
      <c r="QRD18" s="64"/>
      <c r="QRE18" s="64"/>
      <c r="QRF18" s="64"/>
      <c r="QRG18" s="64"/>
      <c r="QRH18" s="64"/>
      <c r="QRI18" s="64"/>
      <c r="QRJ18" s="64"/>
      <c r="QRK18" s="64"/>
      <c r="QRL18" s="64"/>
      <c r="QRM18" s="64"/>
      <c r="QRN18" s="64"/>
      <c r="QRO18" s="64"/>
      <c r="QRP18" s="64"/>
      <c r="QRQ18" s="64"/>
      <c r="QRR18" s="64"/>
      <c r="QRS18" s="64"/>
      <c r="QRT18" s="64"/>
      <c r="QRU18" s="64"/>
      <c r="QRV18" s="64"/>
      <c r="QRW18" s="64"/>
      <c r="QRX18" s="64"/>
      <c r="QRY18" s="64"/>
      <c r="QRZ18" s="64"/>
      <c r="QSA18" s="64"/>
      <c r="QSB18" s="64"/>
      <c r="QSC18" s="64"/>
      <c r="QSD18" s="64"/>
      <c r="QSE18" s="64"/>
      <c r="QSF18" s="64"/>
      <c r="QSG18" s="64"/>
      <c r="QSH18" s="64"/>
      <c r="QSI18" s="64"/>
      <c r="QSJ18" s="64"/>
      <c r="QSK18" s="64"/>
      <c r="QSL18" s="64"/>
      <c r="QSM18" s="64"/>
      <c r="QSN18" s="64"/>
      <c r="QSO18" s="64"/>
      <c r="QSP18" s="64"/>
      <c r="QSQ18" s="64"/>
      <c r="QSR18" s="64"/>
      <c r="QSS18" s="64"/>
      <c r="QST18" s="64"/>
      <c r="QSU18" s="64"/>
      <c r="QSV18" s="64"/>
      <c r="QSW18" s="64"/>
      <c r="QSX18" s="64"/>
      <c r="QSY18" s="64"/>
      <c r="QSZ18" s="64"/>
      <c r="QTA18" s="64"/>
      <c r="QTB18" s="64"/>
      <c r="QTC18" s="64"/>
      <c r="QTD18" s="64"/>
      <c r="QTE18" s="64"/>
      <c r="QTF18" s="64"/>
      <c r="QTG18" s="64"/>
      <c r="QTH18" s="64"/>
      <c r="QTI18" s="64"/>
      <c r="QTJ18" s="64"/>
      <c r="QTK18" s="64"/>
      <c r="QTL18" s="64"/>
      <c r="QTM18" s="64"/>
      <c r="QTN18" s="64"/>
      <c r="QTO18" s="64"/>
      <c r="QTP18" s="64"/>
      <c r="QTQ18" s="64"/>
      <c r="QTR18" s="64"/>
      <c r="QTS18" s="64"/>
      <c r="QTT18" s="64"/>
      <c r="QTU18" s="64"/>
      <c r="QTV18" s="64"/>
      <c r="QTW18" s="64"/>
      <c r="QTX18" s="64"/>
      <c r="QTY18" s="64"/>
      <c r="QTZ18" s="64"/>
      <c r="QUA18" s="64"/>
      <c r="QUB18" s="64"/>
      <c r="QUC18" s="64"/>
      <c r="QUD18" s="64"/>
      <c r="QUE18" s="64"/>
      <c r="QUF18" s="64"/>
      <c r="QUG18" s="64"/>
      <c r="QUH18" s="64"/>
      <c r="QUI18" s="64"/>
      <c r="QUJ18" s="64"/>
      <c r="QUK18" s="64"/>
      <c r="QUL18" s="64"/>
      <c r="QUM18" s="64"/>
      <c r="QUN18" s="64"/>
      <c r="QUO18" s="64"/>
      <c r="QUP18" s="64"/>
      <c r="QUQ18" s="64"/>
      <c r="QUR18" s="64"/>
      <c r="QUS18" s="64"/>
      <c r="QUT18" s="64"/>
      <c r="QUU18" s="64"/>
      <c r="QUV18" s="64"/>
      <c r="QUW18" s="64"/>
      <c r="QUX18" s="64"/>
      <c r="QUY18" s="64"/>
      <c r="QUZ18" s="64"/>
      <c r="QVA18" s="64"/>
      <c r="QVB18" s="64"/>
      <c r="QVC18" s="64"/>
      <c r="QVD18" s="64"/>
      <c r="QVE18" s="64"/>
      <c r="QVF18" s="64"/>
      <c r="QVG18" s="64"/>
      <c r="QVH18" s="64"/>
      <c r="QVI18" s="64"/>
      <c r="QVJ18" s="64"/>
      <c r="QVK18" s="64"/>
      <c r="QVL18" s="64"/>
      <c r="QVM18" s="64"/>
      <c r="QVN18" s="64"/>
      <c r="QVO18" s="64"/>
      <c r="QVP18" s="64"/>
      <c r="QVQ18" s="64"/>
      <c r="QVR18" s="64"/>
      <c r="QVS18" s="64"/>
      <c r="QVT18" s="64"/>
      <c r="QVU18" s="64"/>
      <c r="QVV18" s="64"/>
      <c r="QVW18" s="64"/>
      <c r="QVX18" s="64"/>
      <c r="QVY18" s="64"/>
      <c r="QVZ18" s="64"/>
      <c r="QWA18" s="64"/>
      <c r="QWB18" s="64"/>
      <c r="QWC18" s="64"/>
      <c r="QWD18" s="64"/>
      <c r="QWE18" s="64"/>
      <c r="QWF18" s="64"/>
      <c r="QWG18" s="64"/>
      <c r="QWH18" s="64"/>
      <c r="QWI18" s="64"/>
      <c r="QWJ18" s="64"/>
      <c r="QWK18" s="64"/>
      <c r="QWL18" s="64"/>
      <c r="QWM18" s="64"/>
      <c r="QWN18" s="64"/>
      <c r="QWO18" s="64"/>
      <c r="QWP18" s="64"/>
      <c r="QWQ18" s="64"/>
      <c r="QWR18" s="64"/>
      <c r="QWS18" s="64"/>
      <c r="QWT18" s="64"/>
      <c r="QWU18" s="64"/>
      <c r="QWV18" s="64"/>
      <c r="QWW18" s="64"/>
      <c r="QWX18" s="64"/>
      <c r="QWY18" s="64"/>
      <c r="QWZ18" s="64"/>
      <c r="QXA18" s="64"/>
      <c r="QXB18" s="64"/>
      <c r="QXC18" s="64"/>
      <c r="QXD18" s="64"/>
      <c r="QXE18" s="64"/>
      <c r="QXF18" s="64"/>
      <c r="QXG18" s="64"/>
      <c r="QXH18" s="64"/>
      <c r="QXI18" s="64"/>
      <c r="QXJ18" s="64"/>
      <c r="QXK18" s="64"/>
      <c r="QXL18" s="64"/>
      <c r="QXM18" s="64"/>
      <c r="QXN18" s="64"/>
      <c r="QXO18" s="64"/>
      <c r="QXP18" s="64"/>
      <c r="QXQ18" s="64"/>
      <c r="QXR18" s="64"/>
      <c r="QXS18" s="64"/>
      <c r="QXT18" s="64"/>
      <c r="QXU18" s="64"/>
      <c r="QXV18" s="64"/>
      <c r="QXW18" s="64"/>
      <c r="QXX18" s="64"/>
      <c r="QXY18" s="64"/>
      <c r="QXZ18" s="64"/>
      <c r="QYA18" s="64"/>
      <c r="QYB18" s="64"/>
      <c r="QYC18" s="64"/>
      <c r="QYD18" s="64"/>
      <c r="QYE18" s="64"/>
      <c r="QYF18" s="64"/>
      <c r="QYG18" s="64"/>
      <c r="QYH18" s="64"/>
      <c r="QYI18" s="64"/>
      <c r="QYJ18" s="64"/>
      <c r="QYK18" s="64"/>
      <c r="QYL18" s="64"/>
      <c r="QYM18" s="64"/>
      <c r="QYN18" s="64"/>
      <c r="QYO18" s="64"/>
      <c r="QYP18" s="64"/>
      <c r="QYQ18" s="64"/>
      <c r="QYR18" s="64"/>
      <c r="QYS18" s="64"/>
      <c r="QYT18" s="64"/>
      <c r="QYU18" s="64"/>
      <c r="QYV18" s="64"/>
      <c r="QYW18" s="64"/>
      <c r="QYX18" s="64"/>
      <c r="QYY18" s="64"/>
      <c r="QYZ18" s="64"/>
      <c r="QZA18" s="64"/>
      <c r="QZB18" s="64"/>
      <c r="QZC18" s="64"/>
      <c r="QZD18" s="64"/>
      <c r="QZE18" s="64"/>
      <c r="QZF18" s="64"/>
      <c r="QZG18" s="64"/>
      <c r="QZH18" s="64"/>
      <c r="QZI18" s="64"/>
      <c r="QZJ18" s="64"/>
      <c r="QZK18" s="64"/>
      <c r="QZL18" s="64"/>
      <c r="QZM18" s="64"/>
      <c r="QZN18" s="64"/>
      <c r="QZO18" s="64"/>
      <c r="QZP18" s="64"/>
      <c r="QZQ18" s="64"/>
      <c r="QZR18" s="64"/>
      <c r="QZS18" s="64"/>
      <c r="QZT18" s="64"/>
      <c r="QZU18" s="64"/>
      <c r="QZV18" s="64"/>
      <c r="QZW18" s="64"/>
      <c r="QZX18" s="64"/>
      <c r="QZY18" s="64"/>
      <c r="QZZ18" s="64"/>
      <c r="RAA18" s="64"/>
      <c r="RAB18" s="64"/>
      <c r="RAC18" s="64"/>
      <c r="RAD18" s="64"/>
      <c r="RAE18" s="64"/>
      <c r="RAF18" s="64"/>
      <c r="RAG18" s="64"/>
      <c r="RAH18" s="64"/>
      <c r="RAI18" s="64"/>
      <c r="RAJ18" s="64"/>
      <c r="RAK18" s="64"/>
      <c r="RAL18" s="64"/>
      <c r="RAM18" s="64"/>
      <c r="RAN18" s="64"/>
      <c r="RAO18" s="64"/>
      <c r="RAP18" s="64"/>
      <c r="RAQ18" s="64"/>
      <c r="RAR18" s="64"/>
      <c r="RAS18" s="64"/>
      <c r="RAT18" s="64"/>
      <c r="RAU18" s="64"/>
      <c r="RAV18" s="64"/>
      <c r="RAW18" s="64"/>
      <c r="RAX18" s="64"/>
      <c r="RAY18" s="64"/>
      <c r="RAZ18" s="64"/>
      <c r="RBA18" s="64"/>
      <c r="RBB18" s="64"/>
      <c r="RBC18" s="64"/>
      <c r="RBD18" s="64"/>
      <c r="RBE18" s="64"/>
      <c r="RBF18" s="64"/>
      <c r="RBG18" s="64"/>
      <c r="RBH18" s="64"/>
      <c r="RBI18" s="64"/>
      <c r="RBJ18" s="64"/>
      <c r="RBK18" s="64"/>
      <c r="RBL18" s="64"/>
      <c r="RBM18" s="64"/>
      <c r="RBN18" s="64"/>
      <c r="RBO18" s="64"/>
      <c r="RBP18" s="64"/>
      <c r="RBQ18" s="64"/>
      <c r="RBR18" s="64"/>
      <c r="RBS18" s="64"/>
      <c r="RBT18" s="64"/>
      <c r="RBU18" s="64"/>
      <c r="RBV18" s="64"/>
      <c r="RBW18" s="64"/>
      <c r="RBX18" s="64"/>
      <c r="RBY18" s="64"/>
      <c r="RBZ18" s="64"/>
      <c r="RCA18" s="64"/>
      <c r="RCB18" s="64"/>
      <c r="RCC18" s="64"/>
      <c r="RCD18" s="64"/>
      <c r="RCE18" s="64"/>
      <c r="RCF18" s="64"/>
      <c r="RCG18" s="64"/>
      <c r="RCH18" s="64"/>
      <c r="RCI18" s="64"/>
      <c r="RCJ18" s="64"/>
      <c r="RCK18" s="64"/>
      <c r="RCL18" s="64"/>
      <c r="RCM18" s="64"/>
      <c r="RCN18" s="64"/>
      <c r="RCO18" s="64"/>
      <c r="RCP18" s="64"/>
      <c r="RCQ18" s="64"/>
      <c r="RCR18" s="64"/>
      <c r="RCS18" s="64"/>
      <c r="RCT18" s="64"/>
      <c r="RCU18" s="64"/>
      <c r="RCV18" s="64"/>
      <c r="RCW18" s="64"/>
      <c r="RCX18" s="64"/>
      <c r="RCY18" s="64"/>
      <c r="RCZ18" s="64"/>
      <c r="RDA18" s="64"/>
      <c r="RDB18" s="64"/>
      <c r="RDC18" s="64"/>
      <c r="RDD18" s="64"/>
      <c r="RDE18" s="64"/>
      <c r="RDF18" s="64"/>
      <c r="RDG18" s="64"/>
      <c r="RDH18" s="64"/>
      <c r="RDI18" s="64"/>
      <c r="RDJ18" s="64"/>
      <c r="RDK18" s="64"/>
      <c r="RDL18" s="64"/>
      <c r="RDM18" s="64"/>
      <c r="RDN18" s="64"/>
      <c r="RDO18" s="64"/>
      <c r="RDP18" s="64"/>
      <c r="RDQ18" s="64"/>
      <c r="RDR18" s="64"/>
      <c r="RDS18" s="64"/>
      <c r="RDT18" s="64"/>
      <c r="RDU18" s="64"/>
      <c r="RDV18" s="64"/>
      <c r="RDW18" s="64"/>
      <c r="RDX18" s="64"/>
      <c r="RDY18" s="64"/>
      <c r="RDZ18" s="64"/>
      <c r="REA18" s="64"/>
      <c r="REB18" s="64"/>
      <c r="REC18" s="64"/>
      <c r="RED18" s="64"/>
      <c r="REE18" s="64"/>
      <c r="REF18" s="64"/>
      <c r="REG18" s="64"/>
      <c r="REH18" s="64"/>
      <c r="REI18" s="64"/>
      <c r="REJ18" s="64"/>
      <c r="REK18" s="64"/>
      <c r="REL18" s="64"/>
      <c r="REM18" s="64"/>
      <c r="REN18" s="64"/>
      <c r="REO18" s="64"/>
      <c r="REP18" s="64"/>
      <c r="REQ18" s="64"/>
      <c r="RER18" s="64"/>
      <c r="RES18" s="64"/>
      <c r="RET18" s="64"/>
      <c r="REU18" s="64"/>
      <c r="REV18" s="64"/>
      <c r="REW18" s="64"/>
      <c r="REX18" s="64"/>
      <c r="REY18" s="64"/>
      <c r="REZ18" s="64"/>
      <c r="RFA18" s="64"/>
      <c r="RFB18" s="64"/>
      <c r="RFC18" s="64"/>
      <c r="RFD18" s="64"/>
      <c r="RFE18" s="64"/>
      <c r="RFF18" s="64"/>
      <c r="RFG18" s="64"/>
      <c r="RFH18" s="64"/>
      <c r="RFI18" s="64"/>
      <c r="RFJ18" s="64"/>
      <c r="RFK18" s="64"/>
      <c r="RFL18" s="64"/>
      <c r="RFM18" s="64"/>
      <c r="RFN18" s="64"/>
      <c r="RFO18" s="64"/>
      <c r="RFP18" s="64"/>
      <c r="RFQ18" s="64"/>
      <c r="RFR18" s="64"/>
      <c r="RFS18" s="64"/>
      <c r="RFT18" s="64"/>
      <c r="RFU18" s="64"/>
      <c r="RFV18" s="64"/>
      <c r="RFW18" s="64"/>
      <c r="RFX18" s="64"/>
      <c r="RFY18" s="64"/>
      <c r="RFZ18" s="64"/>
      <c r="RGA18" s="64"/>
      <c r="RGB18" s="64"/>
      <c r="RGC18" s="64"/>
      <c r="RGD18" s="64"/>
      <c r="RGE18" s="64"/>
      <c r="RGF18" s="64"/>
      <c r="RGG18" s="64"/>
      <c r="RGH18" s="64"/>
      <c r="RGI18" s="64"/>
      <c r="RGJ18" s="64"/>
      <c r="RGK18" s="64"/>
      <c r="RGL18" s="64"/>
      <c r="RGM18" s="64"/>
      <c r="RGN18" s="64"/>
      <c r="RGO18" s="64"/>
      <c r="RGP18" s="64"/>
      <c r="RGQ18" s="64"/>
      <c r="RGR18" s="64"/>
      <c r="RGS18" s="64"/>
      <c r="RGT18" s="64"/>
      <c r="RGU18" s="64"/>
      <c r="RGV18" s="64"/>
      <c r="RGW18" s="64"/>
      <c r="RGX18" s="64"/>
      <c r="RGY18" s="64"/>
      <c r="RGZ18" s="64"/>
      <c r="RHA18" s="64"/>
      <c r="RHB18" s="64"/>
      <c r="RHC18" s="64"/>
      <c r="RHD18" s="64"/>
      <c r="RHE18" s="64"/>
      <c r="RHF18" s="64"/>
      <c r="RHG18" s="64"/>
      <c r="RHH18" s="64"/>
      <c r="RHI18" s="64"/>
      <c r="RHJ18" s="64"/>
      <c r="RHK18" s="64"/>
      <c r="RHL18" s="64"/>
      <c r="RHM18" s="64"/>
      <c r="RHN18" s="64"/>
      <c r="RHO18" s="64"/>
      <c r="RHP18" s="64"/>
      <c r="RHQ18" s="64"/>
      <c r="RHR18" s="64"/>
      <c r="RHS18" s="64"/>
      <c r="RHT18" s="64"/>
      <c r="RHU18" s="64"/>
      <c r="RHV18" s="64"/>
      <c r="RHW18" s="64"/>
      <c r="RHX18" s="64"/>
      <c r="RHY18" s="64"/>
      <c r="RHZ18" s="64"/>
      <c r="RIA18" s="64"/>
      <c r="RIB18" s="64"/>
      <c r="RIC18" s="64"/>
      <c r="RID18" s="64"/>
      <c r="RIE18" s="64"/>
      <c r="RIF18" s="64"/>
      <c r="RIG18" s="64"/>
      <c r="RIH18" s="64"/>
      <c r="RII18" s="64"/>
      <c r="RIJ18" s="64"/>
      <c r="RIK18" s="64"/>
      <c r="RIL18" s="64"/>
      <c r="RIM18" s="64"/>
      <c r="RIN18" s="64"/>
      <c r="RIO18" s="64"/>
      <c r="RIP18" s="64"/>
      <c r="RIQ18" s="64"/>
      <c r="RIR18" s="64"/>
      <c r="RIS18" s="64"/>
      <c r="RIT18" s="64"/>
      <c r="RIU18" s="64"/>
      <c r="RIV18" s="64"/>
      <c r="RIW18" s="64"/>
      <c r="RIX18" s="64"/>
      <c r="RIY18" s="64"/>
      <c r="RIZ18" s="64"/>
      <c r="RJA18" s="64"/>
      <c r="RJB18" s="64"/>
      <c r="RJC18" s="64"/>
      <c r="RJD18" s="64"/>
      <c r="RJE18" s="64"/>
      <c r="RJF18" s="64"/>
      <c r="RJG18" s="64"/>
      <c r="RJH18" s="64"/>
      <c r="RJI18" s="64"/>
      <c r="RJJ18" s="64"/>
      <c r="RJK18" s="64"/>
      <c r="RJL18" s="64"/>
      <c r="RJM18" s="64"/>
      <c r="RJN18" s="64"/>
      <c r="RJO18" s="64"/>
      <c r="RJP18" s="64"/>
      <c r="RJQ18" s="64"/>
      <c r="RJR18" s="64"/>
      <c r="RJS18" s="64"/>
      <c r="RJT18" s="64"/>
      <c r="RJU18" s="64"/>
      <c r="RJV18" s="64"/>
      <c r="RJW18" s="64"/>
      <c r="RJX18" s="64"/>
      <c r="RJY18" s="64"/>
      <c r="RJZ18" s="64"/>
      <c r="RKA18" s="64"/>
      <c r="RKB18" s="64"/>
      <c r="RKC18" s="64"/>
      <c r="RKD18" s="64"/>
      <c r="RKE18" s="64"/>
      <c r="RKF18" s="64"/>
      <c r="RKG18" s="64"/>
      <c r="RKH18" s="64"/>
      <c r="RKI18" s="64"/>
      <c r="RKJ18" s="64"/>
      <c r="RKK18" s="64"/>
      <c r="RKL18" s="64"/>
      <c r="RKM18" s="64"/>
      <c r="RKN18" s="64"/>
      <c r="RKO18" s="64"/>
      <c r="RKP18" s="64"/>
      <c r="RKQ18" s="64"/>
      <c r="RKR18" s="64"/>
      <c r="RKS18" s="64"/>
      <c r="RKT18" s="64"/>
      <c r="RKU18" s="64"/>
      <c r="RKV18" s="64"/>
      <c r="RKW18" s="64"/>
      <c r="RKX18" s="64"/>
      <c r="RKY18" s="64"/>
      <c r="RKZ18" s="64"/>
      <c r="RLA18" s="64"/>
      <c r="RLB18" s="64"/>
      <c r="RLC18" s="64"/>
      <c r="RLD18" s="64"/>
      <c r="RLE18" s="64"/>
      <c r="RLF18" s="64"/>
      <c r="RLG18" s="64"/>
      <c r="RLH18" s="64"/>
      <c r="RLI18" s="64"/>
      <c r="RLJ18" s="64"/>
      <c r="RLK18" s="64"/>
      <c r="RLL18" s="64"/>
      <c r="RLM18" s="64"/>
      <c r="RLN18" s="64"/>
      <c r="RLO18" s="64"/>
      <c r="RLP18" s="64"/>
      <c r="RLQ18" s="64"/>
      <c r="RLR18" s="64"/>
      <c r="RLS18" s="64"/>
      <c r="RLT18" s="64"/>
      <c r="RLU18" s="64"/>
      <c r="RLV18" s="64"/>
      <c r="RLW18" s="64"/>
      <c r="RLX18" s="64"/>
      <c r="RLY18" s="64"/>
      <c r="RLZ18" s="64"/>
      <c r="RMA18" s="64"/>
      <c r="RMB18" s="64"/>
      <c r="RMC18" s="64"/>
      <c r="RMD18" s="64"/>
      <c r="RME18" s="64"/>
      <c r="RMF18" s="64"/>
      <c r="RMG18" s="64"/>
      <c r="RMH18" s="64"/>
      <c r="RMI18" s="64"/>
      <c r="RMJ18" s="64"/>
      <c r="RMK18" s="64"/>
      <c r="RML18" s="64"/>
      <c r="RMM18" s="64"/>
      <c r="RMN18" s="64"/>
      <c r="RMO18" s="64"/>
      <c r="RMP18" s="64"/>
      <c r="RMQ18" s="64"/>
      <c r="RMR18" s="64"/>
      <c r="RMS18" s="64"/>
      <c r="RMT18" s="64"/>
      <c r="RMU18" s="64"/>
      <c r="RMV18" s="64"/>
      <c r="RMW18" s="64"/>
      <c r="RMX18" s="64"/>
      <c r="RMY18" s="64"/>
      <c r="RMZ18" s="64"/>
      <c r="RNA18" s="64"/>
      <c r="RNB18" s="64"/>
      <c r="RNC18" s="64"/>
      <c r="RND18" s="64"/>
      <c r="RNE18" s="64"/>
      <c r="RNF18" s="64"/>
      <c r="RNG18" s="64"/>
      <c r="RNH18" s="64"/>
      <c r="RNI18" s="64"/>
      <c r="RNJ18" s="64"/>
      <c r="RNK18" s="64"/>
      <c r="RNL18" s="64"/>
      <c r="RNM18" s="64"/>
      <c r="RNN18" s="64"/>
      <c r="RNO18" s="64"/>
      <c r="RNP18" s="64"/>
      <c r="RNQ18" s="64"/>
      <c r="RNR18" s="64"/>
      <c r="RNS18" s="64"/>
      <c r="RNT18" s="64"/>
      <c r="RNU18" s="64"/>
      <c r="RNV18" s="64"/>
      <c r="RNW18" s="64"/>
      <c r="RNX18" s="64"/>
      <c r="RNY18" s="64"/>
      <c r="RNZ18" s="64"/>
      <c r="ROA18" s="64"/>
      <c r="ROB18" s="64"/>
      <c r="ROC18" s="64"/>
      <c r="ROD18" s="64"/>
      <c r="ROE18" s="64"/>
      <c r="ROF18" s="64"/>
      <c r="ROG18" s="64"/>
      <c r="ROH18" s="64"/>
      <c r="ROI18" s="64"/>
      <c r="ROJ18" s="64"/>
      <c r="ROK18" s="64"/>
      <c r="ROL18" s="64"/>
      <c r="ROM18" s="64"/>
      <c r="RON18" s="64"/>
      <c r="ROO18" s="64"/>
      <c r="ROP18" s="64"/>
      <c r="ROQ18" s="64"/>
      <c r="ROR18" s="64"/>
      <c r="ROS18" s="64"/>
      <c r="ROT18" s="64"/>
      <c r="ROU18" s="64"/>
      <c r="ROV18" s="64"/>
      <c r="ROW18" s="64"/>
      <c r="ROX18" s="64"/>
      <c r="ROY18" s="64"/>
      <c r="ROZ18" s="64"/>
      <c r="RPA18" s="64"/>
      <c r="RPB18" s="64"/>
      <c r="RPC18" s="64"/>
      <c r="RPD18" s="64"/>
      <c r="RPE18" s="64"/>
      <c r="RPF18" s="64"/>
      <c r="RPG18" s="64"/>
      <c r="RPH18" s="64"/>
      <c r="RPI18" s="64"/>
      <c r="RPJ18" s="64"/>
      <c r="RPK18" s="64"/>
      <c r="RPL18" s="64"/>
      <c r="RPM18" s="64"/>
      <c r="RPN18" s="64"/>
      <c r="RPO18" s="64"/>
      <c r="RPP18" s="64"/>
      <c r="RPQ18" s="64"/>
      <c r="RPR18" s="64"/>
      <c r="RPS18" s="64"/>
      <c r="RPT18" s="64"/>
      <c r="RPU18" s="64"/>
      <c r="RPV18" s="64"/>
      <c r="RPW18" s="64"/>
      <c r="RPX18" s="64"/>
      <c r="RPY18" s="64"/>
      <c r="RPZ18" s="64"/>
      <c r="RQA18" s="64"/>
      <c r="RQB18" s="64"/>
      <c r="RQC18" s="64"/>
      <c r="RQD18" s="64"/>
      <c r="RQE18" s="64"/>
      <c r="RQF18" s="64"/>
      <c r="RQG18" s="64"/>
      <c r="RQH18" s="64"/>
      <c r="RQI18" s="64"/>
      <c r="RQJ18" s="64"/>
      <c r="RQK18" s="64"/>
      <c r="RQL18" s="64"/>
      <c r="RQM18" s="64"/>
      <c r="RQN18" s="64"/>
      <c r="RQO18" s="64"/>
      <c r="RQP18" s="64"/>
      <c r="RQQ18" s="64"/>
      <c r="RQR18" s="64"/>
      <c r="RQS18" s="64"/>
      <c r="RQT18" s="64"/>
      <c r="RQU18" s="64"/>
      <c r="RQV18" s="64"/>
      <c r="RQW18" s="64"/>
      <c r="RQX18" s="64"/>
      <c r="RQY18" s="64"/>
      <c r="RQZ18" s="64"/>
      <c r="RRA18" s="64"/>
      <c r="RRB18" s="64"/>
      <c r="RRC18" s="64"/>
      <c r="RRD18" s="64"/>
      <c r="RRE18" s="64"/>
      <c r="RRF18" s="64"/>
      <c r="RRG18" s="64"/>
      <c r="RRH18" s="64"/>
      <c r="RRI18" s="64"/>
      <c r="RRJ18" s="64"/>
      <c r="RRK18" s="64"/>
      <c r="RRL18" s="64"/>
      <c r="RRM18" s="64"/>
      <c r="RRN18" s="64"/>
      <c r="RRO18" s="64"/>
      <c r="RRP18" s="64"/>
      <c r="RRQ18" s="64"/>
      <c r="RRR18" s="64"/>
      <c r="RRS18" s="64"/>
      <c r="RRT18" s="64"/>
      <c r="RRU18" s="64"/>
      <c r="RRV18" s="64"/>
      <c r="RRW18" s="64"/>
      <c r="RRX18" s="64"/>
      <c r="RRY18" s="64"/>
      <c r="RRZ18" s="64"/>
      <c r="RSA18" s="64"/>
      <c r="RSB18" s="64"/>
      <c r="RSC18" s="64"/>
      <c r="RSD18" s="64"/>
      <c r="RSE18" s="64"/>
      <c r="RSF18" s="64"/>
      <c r="RSG18" s="64"/>
      <c r="RSH18" s="64"/>
      <c r="RSI18" s="64"/>
      <c r="RSJ18" s="64"/>
      <c r="RSK18" s="64"/>
      <c r="RSL18" s="64"/>
      <c r="RSM18" s="64"/>
      <c r="RSN18" s="64"/>
      <c r="RSO18" s="64"/>
      <c r="RSP18" s="64"/>
      <c r="RSQ18" s="64"/>
      <c r="RSR18" s="64"/>
      <c r="RSS18" s="64"/>
      <c r="RST18" s="64"/>
      <c r="RSU18" s="64"/>
      <c r="RSV18" s="64"/>
      <c r="RSW18" s="64"/>
      <c r="RSX18" s="64"/>
      <c r="RSY18" s="64"/>
      <c r="RSZ18" s="64"/>
      <c r="RTA18" s="64"/>
      <c r="RTB18" s="64"/>
      <c r="RTC18" s="64"/>
      <c r="RTD18" s="64"/>
      <c r="RTE18" s="64"/>
      <c r="RTF18" s="64"/>
      <c r="RTG18" s="64"/>
      <c r="RTH18" s="64"/>
      <c r="RTI18" s="64"/>
      <c r="RTJ18" s="64"/>
      <c r="RTK18" s="64"/>
      <c r="RTL18" s="64"/>
      <c r="RTM18" s="64"/>
      <c r="RTN18" s="64"/>
      <c r="RTO18" s="64"/>
      <c r="RTP18" s="64"/>
      <c r="RTQ18" s="64"/>
      <c r="RTR18" s="64"/>
      <c r="RTS18" s="64"/>
      <c r="RTT18" s="64"/>
      <c r="RTU18" s="64"/>
      <c r="RTV18" s="64"/>
      <c r="RTW18" s="64"/>
      <c r="RTX18" s="64"/>
      <c r="RTY18" s="64"/>
      <c r="RTZ18" s="64"/>
      <c r="RUA18" s="64"/>
      <c r="RUB18" s="64"/>
      <c r="RUC18" s="64"/>
      <c r="RUD18" s="64"/>
      <c r="RUE18" s="64"/>
      <c r="RUF18" s="64"/>
      <c r="RUG18" s="64"/>
      <c r="RUH18" s="64"/>
      <c r="RUI18" s="64"/>
      <c r="RUJ18" s="64"/>
      <c r="RUK18" s="64"/>
      <c r="RUL18" s="64"/>
      <c r="RUM18" s="64"/>
      <c r="RUN18" s="64"/>
      <c r="RUO18" s="64"/>
      <c r="RUP18" s="64"/>
      <c r="RUQ18" s="64"/>
      <c r="RUR18" s="64"/>
      <c r="RUS18" s="64"/>
      <c r="RUT18" s="64"/>
      <c r="RUU18" s="64"/>
      <c r="RUV18" s="64"/>
      <c r="RUW18" s="64"/>
      <c r="RUX18" s="64"/>
      <c r="RUY18" s="64"/>
      <c r="RUZ18" s="64"/>
      <c r="RVA18" s="64"/>
      <c r="RVB18" s="64"/>
      <c r="RVC18" s="64"/>
      <c r="RVD18" s="64"/>
      <c r="RVE18" s="64"/>
      <c r="RVF18" s="64"/>
      <c r="RVG18" s="64"/>
      <c r="RVH18" s="64"/>
      <c r="RVI18" s="64"/>
      <c r="RVJ18" s="64"/>
      <c r="RVK18" s="64"/>
      <c r="RVL18" s="64"/>
      <c r="RVM18" s="64"/>
      <c r="RVN18" s="64"/>
      <c r="RVO18" s="64"/>
      <c r="RVP18" s="64"/>
      <c r="RVQ18" s="64"/>
      <c r="RVR18" s="64"/>
      <c r="RVS18" s="64"/>
      <c r="RVT18" s="64"/>
      <c r="RVU18" s="64"/>
      <c r="RVV18" s="64"/>
      <c r="RVW18" s="64"/>
      <c r="RVX18" s="64"/>
      <c r="RVY18" s="64"/>
      <c r="RVZ18" s="64"/>
      <c r="RWA18" s="64"/>
      <c r="RWB18" s="64"/>
      <c r="RWC18" s="64"/>
      <c r="RWD18" s="64"/>
      <c r="RWE18" s="64"/>
      <c r="RWF18" s="64"/>
      <c r="RWG18" s="64"/>
      <c r="RWH18" s="64"/>
      <c r="RWI18" s="64"/>
      <c r="RWJ18" s="64"/>
      <c r="RWK18" s="64"/>
      <c r="RWL18" s="64"/>
      <c r="RWM18" s="64"/>
      <c r="RWN18" s="64"/>
      <c r="RWO18" s="64"/>
      <c r="RWP18" s="64"/>
      <c r="RWQ18" s="64"/>
      <c r="RWR18" s="64"/>
      <c r="RWS18" s="64"/>
      <c r="RWT18" s="64"/>
      <c r="RWU18" s="64"/>
      <c r="RWV18" s="64"/>
      <c r="RWW18" s="64"/>
      <c r="RWX18" s="64"/>
      <c r="RWY18" s="64"/>
      <c r="RWZ18" s="64"/>
      <c r="RXA18" s="64"/>
      <c r="RXB18" s="64"/>
      <c r="RXC18" s="64"/>
      <c r="RXD18" s="64"/>
      <c r="RXE18" s="64"/>
      <c r="RXF18" s="64"/>
      <c r="RXG18" s="64"/>
      <c r="RXH18" s="64"/>
      <c r="RXI18" s="64"/>
      <c r="RXJ18" s="64"/>
      <c r="RXK18" s="64"/>
      <c r="RXL18" s="64"/>
      <c r="RXM18" s="64"/>
      <c r="RXN18" s="64"/>
      <c r="RXO18" s="64"/>
      <c r="RXP18" s="64"/>
      <c r="RXQ18" s="64"/>
      <c r="RXR18" s="64"/>
      <c r="RXS18" s="64"/>
      <c r="RXT18" s="64"/>
      <c r="RXU18" s="64"/>
      <c r="RXV18" s="64"/>
      <c r="RXW18" s="64"/>
      <c r="RXX18" s="64"/>
      <c r="RXY18" s="64"/>
      <c r="RXZ18" s="64"/>
      <c r="RYA18" s="64"/>
      <c r="RYB18" s="64"/>
      <c r="RYC18" s="64"/>
      <c r="RYD18" s="64"/>
      <c r="RYE18" s="64"/>
      <c r="RYF18" s="64"/>
      <c r="RYG18" s="64"/>
      <c r="RYH18" s="64"/>
      <c r="RYI18" s="64"/>
      <c r="RYJ18" s="64"/>
      <c r="RYK18" s="64"/>
      <c r="RYL18" s="64"/>
      <c r="RYM18" s="64"/>
      <c r="RYN18" s="64"/>
      <c r="RYO18" s="64"/>
      <c r="RYP18" s="64"/>
      <c r="RYQ18" s="64"/>
      <c r="RYR18" s="64"/>
      <c r="RYS18" s="64"/>
      <c r="RYT18" s="64"/>
      <c r="RYU18" s="64"/>
      <c r="RYV18" s="64"/>
      <c r="RYW18" s="64"/>
      <c r="RYX18" s="64"/>
      <c r="RYY18" s="64"/>
      <c r="RYZ18" s="64"/>
      <c r="RZA18" s="64"/>
      <c r="RZB18" s="64"/>
      <c r="RZC18" s="64"/>
      <c r="RZD18" s="64"/>
      <c r="RZE18" s="64"/>
      <c r="RZF18" s="64"/>
      <c r="RZG18" s="64"/>
      <c r="RZH18" s="64"/>
      <c r="RZI18" s="64"/>
      <c r="RZJ18" s="64"/>
      <c r="RZK18" s="64"/>
      <c r="RZL18" s="64"/>
      <c r="RZM18" s="64"/>
      <c r="RZN18" s="64"/>
      <c r="RZO18" s="64"/>
      <c r="RZP18" s="64"/>
      <c r="RZQ18" s="64"/>
      <c r="RZR18" s="64"/>
      <c r="RZS18" s="64"/>
      <c r="RZT18" s="64"/>
      <c r="RZU18" s="64"/>
      <c r="RZV18" s="64"/>
      <c r="RZW18" s="64"/>
      <c r="RZX18" s="64"/>
      <c r="RZY18" s="64"/>
      <c r="RZZ18" s="64"/>
      <c r="SAA18" s="64"/>
      <c r="SAB18" s="64"/>
      <c r="SAC18" s="64"/>
      <c r="SAD18" s="64"/>
      <c r="SAE18" s="64"/>
      <c r="SAF18" s="64"/>
      <c r="SAG18" s="64"/>
      <c r="SAH18" s="64"/>
      <c r="SAI18" s="64"/>
      <c r="SAJ18" s="64"/>
      <c r="SAK18" s="64"/>
      <c r="SAL18" s="64"/>
      <c r="SAM18" s="64"/>
      <c r="SAN18" s="64"/>
      <c r="SAO18" s="64"/>
      <c r="SAP18" s="64"/>
      <c r="SAQ18" s="64"/>
      <c r="SAR18" s="64"/>
      <c r="SAS18" s="64"/>
      <c r="SAT18" s="64"/>
      <c r="SAU18" s="64"/>
      <c r="SAV18" s="64"/>
      <c r="SAW18" s="64"/>
      <c r="SAX18" s="64"/>
      <c r="SAY18" s="64"/>
      <c r="SAZ18" s="64"/>
      <c r="SBA18" s="64"/>
      <c r="SBB18" s="64"/>
      <c r="SBC18" s="64"/>
      <c r="SBD18" s="64"/>
      <c r="SBE18" s="64"/>
      <c r="SBF18" s="64"/>
      <c r="SBG18" s="64"/>
      <c r="SBH18" s="64"/>
      <c r="SBI18" s="64"/>
      <c r="SBJ18" s="64"/>
      <c r="SBK18" s="64"/>
      <c r="SBL18" s="64"/>
      <c r="SBM18" s="64"/>
      <c r="SBN18" s="64"/>
      <c r="SBO18" s="64"/>
      <c r="SBP18" s="64"/>
      <c r="SBQ18" s="64"/>
      <c r="SBR18" s="64"/>
      <c r="SBS18" s="64"/>
      <c r="SBT18" s="64"/>
      <c r="SBU18" s="64"/>
      <c r="SBV18" s="64"/>
      <c r="SBW18" s="64"/>
      <c r="SBX18" s="64"/>
      <c r="SBY18" s="64"/>
      <c r="SBZ18" s="64"/>
      <c r="SCA18" s="64"/>
      <c r="SCB18" s="64"/>
      <c r="SCC18" s="64"/>
      <c r="SCD18" s="64"/>
      <c r="SCE18" s="64"/>
      <c r="SCF18" s="64"/>
      <c r="SCG18" s="64"/>
      <c r="SCH18" s="64"/>
      <c r="SCI18" s="64"/>
      <c r="SCJ18" s="64"/>
      <c r="SCK18" s="64"/>
      <c r="SCL18" s="64"/>
      <c r="SCM18" s="64"/>
      <c r="SCN18" s="64"/>
      <c r="SCO18" s="64"/>
      <c r="SCP18" s="64"/>
      <c r="SCQ18" s="64"/>
      <c r="SCR18" s="64"/>
      <c r="SCS18" s="64"/>
      <c r="SCT18" s="64"/>
      <c r="SCU18" s="64"/>
      <c r="SCV18" s="64"/>
      <c r="SCW18" s="64"/>
      <c r="SCX18" s="64"/>
      <c r="SCY18" s="64"/>
      <c r="SCZ18" s="64"/>
      <c r="SDA18" s="64"/>
      <c r="SDB18" s="64"/>
      <c r="SDC18" s="64"/>
      <c r="SDD18" s="64"/>
      <c r="SDE18" s="64"/>
      <c r="SDF18" s="64"/>
      <c r="SDG18" s="64"/>
      <c r="SDH18" s="64"/>
      <c r="SDI18" s="64"/>
      <c r="SDJ18" s="64"/>
      <c r="SDK18" s="64"/>
      <c r="SDL18" s="64"/>
      <c r="SDM18" s="64"/>
      <c r="SDN18" s="64"/>
      <c r="SDO18" s="64"/>
      <c r="SDP18" s="64"/>
      <c r="SDQ18" s="64"/>
      <c r="SDR18" s="64"/>
      <c r="SDS18" s="64"/>
      <c r="SDT18" s="64"/>
      <c r="SDU18" s="64"/>
      <c r="SDV18" s="64"/>
      <c r="SDW18" s="64"/>
      <c r="SDX18" s="64"/>
      <c r="SDY18" s="64"/>
      <c r="SDZ18" s="64"/>
      <c r="SEA18" s="64"/>
      <c r="SEB18" s="64"/>
      <c r="SEC18" s="64"/>
      <c r="SED18" s="64"/>
      <c r="SEE18" s="64"/>
      <c r="SEF18" s="64"/>
      <c r="SEG18" s="64"/>
      <c r="SEH18" s="64"/>
      <c r="SEI18" s="64"/>
      <c r="SEJ18" s="64"/>
      <c r="SEK18" s="64"/>
      <c r="SEL18" s="64"/>
      <c r="SEM18" s="64"/>
      <c r="SEN18" s="64"/>
      <c r="SEO18" s="64"/>
      <c r="SEP18" s="64"/>
      <c r="SEQ18" s="64"/>
      <c r="SER18" s="64"/>
      <c r="SES18" s="64"/>
      <c r="SET18" s="64"/>
      <c r="SEU18" s="64"/>
      <c r="SEV18" s="64"/>
      <c r="SEW18" s="64"/>
      <c r="SEX18" s="64"/>
      <c r="SEY18" s="64"/>
      <c r="SEZ18" s="64"/>
      <c r="SFA18" s="64"/>
      <c r="SFB18" s="64"/>
      <c r="SFC18" s="64"/>
      <c r="SFD18" s="64"/>
      <c r="SFE18" s="64"/>
      <c r="SFF18" s="64"/>
      <c r="SFG18" s="64"/>
      <c r="SFH18" s="64"/>
      <c r="SFI18" s="64"/>
      <c r="SFJ18" s="64"/>
      <c r="SFK18" s="64"/>
      <c r="SFL18" s="64"/>
      <c r="SFM18" s="64"/>
      <c r="SFN18" s="64"/>
      <c r="SFO18" s="64"/>
      <c r="SFP18" s="64"/>
      <c r="SFQ18" s="64"/>
      <c r="SFR18" s="64"/>
      <c r="SFS18" s="64"/>
      <c r="SFT18" s="64"/>
      <c r="SFU18" s="64"/>
      <c r="SFV18" s="64"/>
      <c r="SFW18" s="64"/>
      <c r="SFX18" s="64"/>
      <c r="SFY18" s="64"/>
      <c r="SFZ18" s="64"/>
      <c r="SGA18" s="64"/>
      <c r="SGB18" s="64"/>
      <c r="SGC18" s="64"/>
      <c r="SGD18" s="64"/>
      <c r="SGE18" s="64"/>
      <c r="SGF18" s="64"/>
      <c r="SGG18" s="64"/>
      <c r="SGH18" s="64"/>
      <c r="SGI18" s="64"/>
      <c r="SGJ18" s="64"/>
      <c r="SGK18" s="64"/>
      <c r="SGL18" s="64"/>
      <c r="SGM18" s="64"/>
      <c r="SGN18" s="64"/>
      <c r="SGO18" s="64"/>
      <c r="SGP18" s="64"/>
      <c r="SGQ18" s="64"/>
      <c r="SGR18" s="64"/>
      <c r="SGS18" s="64"/>
      <c r="SGT18" s="64"/>
      <c r="SGU18" s="64"/>
      <c r="SGV18" s="64"/>
      <c r="SGW18" s="64"/>
      <c r="SGX18" s="64"/>
      <c r="SGY18" s="64"/>
      <c r="SGZ18" s="64"/>
      <c r="SHA18" s="64"/>
      <c r="SHB18" s="64"/>
      <c r="SHC18" s="64"/>
      <c r="SHD18" s="64"/>
      <c r="SHE18" s="64"/>
      <c r="SHF18" s="64"/>
      <c r="SHG18" s="64"/>
      <c r="SHH18" s="64"/>
      <c r="SHI18" s="64"/>
      <c r="SHJ18" s="64"/>
      <c r="SHK18" s="64"/>
      <c r="SHL18" s="64"/>
      <c r="SHM18" s="64"/>
      <c r="SHN18" s="64"/>
      <c r="SHO18" s="64"/>
      <c r="SHP18" s="64"/>
      <c r="SHQ18" s="64"/>
      <c r="SHR18" s="64"/>
      <c r="SHS18" s="64"/>
      <c r="SHT18" s="64"/>
      <c r="SHU18" s="64"/>
      <c r="SHV18" s="64"/>
      <c r="SHW18" s="64"/>
      <c r="SHX18" s="64"/>
      <c r="SHY18" s="64"/>
      <c r="SHZ18" s="64"/>
      <c r="SIA18" s="64"/>
      <c r="SIB18" s="64"/>
      <c r="SIC18" s="64"/>
      <c r="SID18" s="64"/>
      <c r="SIE18" s="64"/>
      <c r="SIF18" s="64"/>
      <c r="SIG18" s="64"/>
      <c r="SIH18" s="64"/>
      <c r="SII18" s="64"/>
      <c r="SIJ18" s="64"/>
      <c r="SIK18" s="64"/>
      <c r="SIL18" s="64"/>
      <c r="SIM18" s="64"/>
      <c r="SIN18" s="64"/>
      <c r="SIO18" s="64"/>
      <c r="SIP18" s="64"/>
      <c r="SIQ18" s="64"/>
      <c r="SIR18" s="64"/>
      <c r="SIS18" s="64"/>
      <c r="SIT18" s="64"/>
      <c r="SIU18" s="64"/>
      <c r="SIV18" s="64"/>
      <c r="SIW18" s="64"/>
      <c r="SIX18" s="64"/>
      <c r="SIY18" s="64"/>
      <c r="SIZ18" s="64"/>
      <c r="SJA18" s="64"/>
      <c r="SJB18" s="64"/>
      <c r="SJC18" s="64"/>
      <c r="SJD18" s="64"/>
      <c r="SJE18" s="64"/>
      <c r="SJF18" s="64"/>
      <c r="SJG18" s="64"/>
      <c r="SJH18" s="64"/>
      <c r="SJI18" s="64"/>
      <c r="SJJ18" s="64"/>
      <c r="SJK18" s="64"/>
      <c r="SJL18" s="64"/>
      <c r="SJM18" s="64"/>
      <c r="SJN18" s="64"/>
      <c r="SJO18" s="64"/>
      <c r="SJP18" s="64"/>
      <c r="SJQ18" s="64"/>
      <c r="SJR18" s="64"/>
      <c r="SJS18" s="64"/>
      <c r="SJT18" s="64"/>
      <c r="SJU18" s="64"/>
      <c r="SJV18" s="64"/>
      <c r="SJW18" s="64"/>
      <c r="SJX18" s="64"/>
      <c r="SJY18" s="64"/>
      <c r="SJZ18" s="64"/>
      <c r="SKA18" s="64"/>
      <c r="SKB18" s="64"/>
      <c r="SKC18" s="64"/>
      <c r="SKD18" s="64"/>
      <c r="SKE18" s="64"/>
      <c r="SKF18" s="64"/>
      <c r="SKG18" s="64"/>
      <c r="SKH18" s="64"/>
      <c r="SKI18" s="64"/>
      <c r="SKJ18" s="64"/>
      <c r="SKK18" s="64"/>
      <c r="SKL18" s="64"/>
      <c r="SKM18" s="64"/>
      <c r="SKN18" s="64"/>
      <c r="SKO18" s="64"/>
      <c r="SKP18" s="64"/>
      <c r="SKQ18" s="64"/>
      <c r="SKR18" s="64"/>
      <c r="SKS18" s="64"/>
      <c r="SKT18" s="64"/>
      <c r="SKU18" s="64"/>
      <c r="SKV18" s="64"/>
      <c r="SKW18" s="64"/>
      <c r="SKX18" s="64"/>
      <c r="SKY18" s="64"/>
      <c r="SKZ18" s="64"/>
      <c r="SLA18" s="64"/>
      <c r="SLB18" s="64"/>
      <c r="SLC18" s="64"/>
      <c r="SLD18" s="64"/>
      <c r="SLE18" s="64"/>
      <c r="SLF18" s="64"/>
      <c r="SLG18" s="64"/>
      <c r="SLH18" s="64"/>
      <c r="SLI18" s="64"/>
      <c r="SLJ18" s="64"/>
      <c r="SLK18" s="64"/>
      <c r="SLL18" s="64"/>
      <c r="SLM18" s="64"/>
      <c r="SLN18" s="64"/>
      <c r="SLO18" s="64"/>
      <c r="SLP18" s="64"/>
      <c r="SLQ18" s="64"/>
      <c r="SLR18" s="64"/>
      <c r="SLS18" s="64"/>
      <c r="SLT18" s="64"/>
      <c r="SLU18" s="64"/>
      <c r="SLV18" s="64"/>
      <c r="SLW18" s="64"/>
      <c r="SLX18" s="64"/>
      <c r="SLY18" s="64"/>
      <c r="SLZ18" s="64"/>
      <c r="SMA18" s="64"/>
      <c r="SMB18" s="64"/>
      <c r="SMC18" s="64"/>
      <c r="SMD18" s="64"/>
      <c r="SME18" s="64"/>
      <c r="SMF18" s="64"/>
      <c r="SMG18" s="64"/>
      <c r="SMH18" s="64"/>
      <c r="SMI18" s="64"/>
      <c r="SMJ18" s="64"/>
      <c r="SMK18" s="64"/>
      <c r="SML18" s="64"/>
      <c r="SMM18" s="64"/>
      <c r="SMN18" s="64"/>
      <c r="SMO18" s="64"/>
      <c r="SMP18" s="64"/>
      <c r="SMQ18" s="64"/>
      <c r="SMR18" s="64"/>
      <c r="SMS18" s="64"/>
      <c r="SMT18" s="64"/>
      <c r="SMU18" s="64"/>
      <c r="SMV18" s="64"/>
      <c r="SMW18" s="64"/>
      <c r="SMX18" s="64"/>
      <c r="SMY18" s="64"/>
      <c r="SMZ18" s="64"/>
      <c r="SNA18" s="64"/>
      <c r="SNB18" s="64"/>
      <c r="SNC18" s="64"/>
      <c r="SND18" s="64"/>
      <c r="SNE18" s="64"/>
      <c r="SNF18" s="64"/>
      <c r="SNG18" s="64"/>
      <c r="SNH18" s="64"/>
      <c r="SNI18" s="64"/>
      <c r="SNJ18" s="64"/>
      <c r="SNK18" s="64"/>
      <c r="SNL18" s="64"/>
      <c r="SNM18" s="64"/>
      <c r="SNN18" s="64"/>
      <c r="SNO18" s="64"/>
      <c r="SNP18" s="64"/>
      <c r="SNQ18" s="64"/>
      <c r="SNR18" s="64"/>
      <c r="SNS18" s="64"/>
      <c r="SNT18" s="64"/>
      <c r="SNU18" s="64"/>
      <c r="SNV18" s="64"/>
      <c r="SNW18" s="64"/>
      <c r="SNX18" s="64"/>
      <c r="SNY18" s="64"/>
      <c r="SNZ18" s="64"/>
      <c r="SOA18" s="64"/>
      <c r="SOB18" s="64"/>
      <c r="SOC18" s="64"/>
      <c r="SOD18" s="64"/>
      <c r="SOE18" s="64"/>
      <c r="SOF18" s="64"/>
      <c r="SOG18" s="64"/>
      <c r="SOH18" s="64"/>
      <c r="SOI18" s="64"/>
      <c r="SOJ18" s="64"/>
      <c r="SOK18" s="64"/>
      <c r="SOL18" s="64"/>
      <c r="SOM18" s="64"/>
      <c r="SON18" s="64"/>
      <c r="SOO18" s="64"/>
      <c r="SOP18" s="64"/>
      <c r="SOQ18" s="64"/>
      <c r="SOR18" s="64"/>
      <c r="SOS18" s="64"/>
      <c r="SOT18" s="64"/>
      <c r="SOU18" s="64"/>
      <c r="SOV18" s="64"/>
      <c r="SOW18" s="64"/>
      <c r="SOX18" s="64"/>
      <c r="SOY18" s="64"/>
      <c r="SOZ18" s="64"/>
      <c r="SPA18" s="64"/>
      <c r="SPB18" s="64"/>
      <c r="SPC18" s="64"/>
      <c r="SPD18" s="64"/>
      <c r="SPE18" s="64"/>
      <c r="SPF18" s="64"/>
      <c r="SPG18" s="64"/>
      <c r="SPH18" s="64"/>
      <c r="SPI18" s="64"/>
      <c r="SPJ18" s="64"/>
      <c r="SPK18" s="64"/>
      <c r="SPL18" s="64"/>
      <c r="SPM18" s="64"/>
      <c r="SPN18" s="64"/>
      <c r="SPO18" s="64"/>
      <c r="SPP18" s="64"/>
      <c r="SPQ18" s="64"/>
      <c r="SPR18" s="64"/>
      <c r="SPS18" s="64"/>
      <c r="SPT18" s="64"/>
      <c r="SPU18" s="64"/>
      <c r="SPV18" s="64"/>
      <c r="SPW18" s="64"/>
      <c r="SPX18" s="64"/>
      <c r="SPY18" s="64"/>
      <c r="SPZ18" s="64"/>
      <c r="SQA18" s="64"/>
      <c r="SQB18" s="64"/>
      <c r="SQC18" s="64"/>
      <c r="SQD18" s="64"/>
      <c r="SQE18" s="64"/>
      <c r="SQF18" s="64"/>
      <c r="SQG18" s="64"/>
      <c r="SQH18" s="64"/>
      <c r="SQI18" s="64"/>
      <c r="SQJ18" s="64"/>
      <c r="SQK18" s="64"/>
      <c r="SQL18" s="64"/>
      <c r="SQM18" s="64"/>
      <c r="SQN18" s="64"/>
      <c r="SQO18" s="64"/>
      <c r="SQP18" s="64"/>
      <c r="SQQ18" s="64"/>
      <c r="SQR18" s="64"/>
      <c r="SQS18" s="64"/>
      <c r="SQT18" s="64"/>
      <c r="SQU18" s="64"/>
      <c r="SQV18" s="64"/>
      <c r="SQW18" s="64"/>
      <c r="SQX18" s="64"/>
      <c r="SQY18" s="64"/>
      <c r="SQZ18" s="64"/>
      <c r="SRA18" s="64"/>
      <c r="SRB18" s="64"/>
      <c r="SRC18" s="64"/>
      <c r="SRD18" s="64"/>
      <c r="SRE18" s="64"/>
      <c r="SRF18" s="64"/>
      <c r="SRG18" s="64"/>
      <c r="SRH18" s="64"/>
      <c r="SRI18" s="64"/>
      <c r="SRJ18" s="64"/>
      <c r="SRK18" s="64"/>
      <c r="SRL18" s="64"/>
      <c r="SRM18" s="64"/>
      <c r="SRN18" s="64"/>
      <c r="SRO18" s="64"/>
      <c r="SRP18" s="64"/>
      <c r="SRQ18" s="64"/>
      <c r="SRR18" s="64"/>
      <c r="SRS18" s="64"/>
      <c r="SRT18" s="64"/>
      <c r="SRU18" s="64"/>
      <c r="SRV18" s="64"/>
      <c r="SRW18" s="64"/>
      <c r="SRX18" s="64"/>
      <c r="SRY18" s="64"/>
      <c r="SRZ18" s="64"/>
      <c r="SSA18" s="64"/>
      <c r="SSB18" s="64"/>
      <c r="SSC18" s="64"/>
      <c r="SSD18" s="64"/>
      <c r="SSE18" s="64"/>
      <c r="SSF18" s="64"/>
      <c r="SSG18" s="64"/>
      <c r="SSH18" s="64"/>
      <c r="SSI18" s="64"/>
      <c r="SSJ18" s="64"/>
      <c r="SSK18" s="64"/>
      <c r="SSL18" s="64"/>
      <c r="SSM18" s="64"/>
      <c r="SSN18" s="64"/>
      <c r="SSO18" s="64"/>
      <c r="SSP18" s="64"/>
      <c r="SSQ18" s="64"/>
      <c r="SSR18" s="64"/>
      <c r="SSS18" s="64"/>
      <c r="SST18" s="64"/>
      <c r="SSU18" s="64"/>
      <c r="SSV18" s="64"/>
      <c r="SSW18" s="64"/>
      <c r="SSX18" s="64"/>
      <c r="SSY18" s="64"/>
      <c r="SSZ18" s="64"/>
      <c r="STA18" s="64"/>
      <c r="STB18" s="64"/>
      <c r="STC18" s="64"/>
      <c r="STD18" s="64"/>
      <c r="STE18" s="64"/>
      <c r="STF18" s="64"/>
      <c r="STG18" s="64"/>
      <c r="STH18" s="64"/>
      <c r="STI18" s="64"/>
      <c r="STJ18" s="64"/>
      <c r="STK18" s="64"/>
      <c r="STL18" s="64"/>
      <c r="STM18" s="64"/>
      <c r="STN18" s="64"/>
      <c r="STO18" s="64"/>
      <c r="STP18" s="64"/>
      <c r="STQ18" s="64"/>
      <c r="STR18" s="64"/>
      <c r="STS18" s="64"/>
      <c r="STT18" s="64"/>
      <c r="STU18" s="64"/>
      <c r="STV18" s="64"/>
      <c r="STW18" s="64"/>
      <c r="STX18" s="64"/>
      <c r="STY18" s="64"/>
      <c r="STZ18" s="64"/>
      <c r="SUA18" s="64"/>
      <c r="SUB18" s="64"/>
      <c r="SUC18" s="64"/>
      <c r="SUD18" s="64"/>
      <c r="SUE18" s="64"/>
      <c r="SUF18" s="64"/>
      <c r="SUG18" s="64"/>
      <c r="SUH18" s="64"/>
      <c r="SUI18" s="64"/>
      <c r="SUJ18" s="64"/>
      <c r="SUK18" s="64"/>
      <c r="SUL18" s="64"/>
      <c r="SUM18" s="64"/>
      <c r="SUN18" s="64"/>
      <c r="SUO18" s="64"/>
      <c r="SUP18" s="64"/>
      <c r="SUQ18" s="64"/>
      <c r="SUR18" s="64"/>
      <c r="SUS18" s="64"/>
      <c r="SUT18" s="64"/>
      <c r="SUU18" s="64"/>
      <c r="SUV18" s="64"/>
      <c r="SUW18" s="64"/>
      <c r="SUX18" s="64"/>
      <c r="SUY18" s="64"/>
      <c r="SUZ18" s="64"/>
      <c r="SVA18" s="64"/>
      <c r="SVB18" s="64"/>
      <c r="SVC18" s="64"/>
      <c r="SVD18" s="64"/>
      <c r="SVE18" s="64"/>
      <c r="SVF18" s="64"/>
      <c r="SVG18" s="64"/>
      <c r="SVH18" s="64"/>
      <c r="SVI18" s="64"/>
      <c r="SVJ18" s="64"/>
      <c r="SVK18" s="64"/>
      <c r="SVL18" s="64"/>
      <c r="SVM18" s="64"/>
      <c r="SVN18" s="64"/>
      <c r="SVO18" s="64"/>
      <c r="SVP18" s="64"/>
      <c r="SVQ18" s="64"/>
      <c r="SVR18" s="64"/>
      <c r="SVS18" s="64"/>
      <c r="SVT18" s="64"/>
      <c r="SVU18" s="64"/>
      <c r="SVV18" s="64"/>
      <c r="SVW18" s="64"/>
      <c r="SVX18" s="64"/>
      <c r="SVY18" s="64"/>
      <c r="SVZ18" s="64"/>
      <c r="SWA18" s="64"/>
      <c r="SWB18" s="64"/>
      <c r="SWC18" s="64"/>
      <c r="SWD18" s="64"/>
      <c r="SWE18" s="64"/>
      <c r="SWF18" s="64"/>
      <c r="SWG18" s="64"/>
      <c r="SWH18" s="64"/>
      <c r="SWI18" s="64"/>
      <c r="SWJ18" s="64"/>
      <c r="SWK18" s="64"/>
      <c r="SWL18" s="64"/>
      <c r="SWM18" s="64"/>
      <c r="SWN18" s="64"/>
      <c r="SWO18" s="64"/>
      <c r="SWP18" s="64"/>
      <c r="SWQ18" s="64"/>
      <c r="SWR18" s="64"/>
      <c r="SWS18" s="64"/>
      <c r="SWT18" s="64"/>
      <c r="SWU18" s="64"/>
      <c r="SWV18" s="64"/>
      <c r="SWW18" s="64"/>
      <c r="SWX18" s="64"/>
      <c r="SWY18" s="64"/>
      <c r="SWZ18" s="64"/>
      <c r="SXA18" s="64"/>
      <c r="SXB18" s="64"/>
      <c r="SXC18" s="64"/>
      <c r="SXD18" s="64"/>
      <c r="SXE18" s="64"/>
      <c r="SXF18" s="64"/>
      <c r="SXG18" s="64"/>
      <c r="SXH18" s="64"/>
      <c r="SXI18" s="64"/>
      <c r="SXJ18" s="64"/>
      <c r="SXK18" s="64"/>
      <c r="SXL18" s="64"/>
      <c r="SXM18" s="64"/>
      <c r="SXN18" s="64"/>
      <c r="SXO18" s="64"/>
      <c r="SXP18" s="64"/>
      <c r="SXQ18" s="64"/>
      <c r="SXR18" s="64"/>
      <c r="SXS18" s="64"/>
      <c r="SXT18" s="64"/>
      <c r="SXU18" s="64"/>
      <c r="SXV18" s="64"/>
      <c r="SXW18" s="64"/>
      <c r="SXX18" s="64"/>
      <c r="SXY18" s="64"/>
      <c r="SXZ18" s="64"/>
      <c r="SYA18" s="64"/>
      <c r="SYB18" s="64"/>
      <c r="SYC18" s="64"/>
      <c r="SYD18" s="64"/>
      <c r="SYE18" s="64"/>
      <c r="SYF18" s="64"/>
      <c r="SYG18" s="64"/>
      <c r="SYH18" s="64"/>
      <c r="SYI18" s="64"/>
      <c r="SYJ18" s="64"/>
      <c r="SYK18" s="64"/>
      <c r="SYL18" s="64"/>
      <c r="SYM18" s="64"/>
      <c r="SYN18" s="64"/>
      <c r="SYO18" s="64"/>
      <c r="SYP18" s="64"/>
      <c r="SYQ18" s="64"/>
      <c r="SYR18" s="64"/>
      <c r="SYS18" s="64"/>
      <c r="SYT18" s="64"/>
      <c r="SYU18" s="64"/>
      <c r="SYV18" s="64"/>
      <c r="SYW18" s="64"/>
      <c r="SYX18" s="64"/>
      <c r="SYY18" s="64"/>
      <c r="SYZ18" s="64"/>
      <c r="SZA18" s="64"/>
      <c r="SZB18" s="64"/>
      <c r="SZC18" s="64"/>
      <c r="SZD18" s="64"/>
      <c r="SZE18" s="64"/>
      <c r="SZF18" s="64"/>
      <c r="SZG18" s="64"/>
      <c r="SZH18" s="64"/>
      <c r="SZI18" s="64"/>
      <c r="SZJ18" s="64"/>
      <c r="SZK18" s="64"/>
      <c r="SZL18" s="64"/>
      <c r="SZM18" s="64"/>
      <c r="SZN18" s="64"/>
      <c r="SZO18" s="64"/>
      <c r="SZP18" s="64"/>
      <c r="SZQ18" s="64"/>
      <c r="SZR18" s="64"/>
      <c r="SZS18" s="64"/>
      <c r="SZT18" s="64"/>
      <c r="SZU18" s="64"/>
      <c r="SZV18" s="64"/>
      <c r="SZW18" s="64"/>
      <c r="SZX18" s="64"/>
      <c r="SZY18" s="64"/>
      <c r="SZZ18" s="64"/>
      <c r="TAA18" s="64"/>
      <c r="TAB18" s="64"/>
      <c r="TAC18" s="64"/>
      <c r="TAD18" s="64"/>
      <c r="TAE18" s="64"/>
      <c r="TAF18" s="64"/>
      <c r="TAG18" s="64"/>
      <c r="TAH18" s="64"/>
      <c r="TAI18" s="64"/>
      <c r="TAJ18" s="64"/>
      <c r="TAK18" s="64"/>
      <c r="TAL18" s="64"/>
      <c r="TAM18" s="64"/>
      <c r="TAN18" s="64"/>
      <c r="TAO18" s="64"/>
      <c r="TAP18" s="64"/>
      <c r="TAQ18" s="64"/>
      <c r="TAR18" s="64"/>
      <c r="TAS18" s="64"/>
      <c r="TAT18" s="64"/>
      <c r="TAU18" s="64"/>
      <c r="TAV18" s="64"/>
      <c r="TAW18" s="64"/>
      <c r="TAX18" s="64"/>
      <c r="TAY18" s="64"/>
      <c r="TAZ18" s="64"/>
      <c r="TBA18" s="64"/>
      <c r="TBB18" s="64"/>
      <c r="TBC18" s="64"/>
      <c r="TBD18" s="64"/>
      <c r="TBE18" s="64"/>
      <c r="TBF18" s="64"/>
      <c r="TBG18" s="64"/>
      <c r="TBH18" s="64"/>
      <c r="TBI18" s="64"/>
      <c r="TBJ18" s="64"/>
      <c r="TBK18" s="64"/>
      <c r="TBL18" s="64"/>
      <c r="TBM18" s="64"/>
      <c r="TBN18" s="64"/>
      <c r="TBO18" s="64"/>
      <c r="TBP18" s="64"/>
      <c r="TBQ18" s="64"/>
      <c r="TBR18" s="64"/>
      <c r="TBS18" s="64"/>
      <c r="TBT18" s="64"/>
      <c r="TBU18" s="64"/>
      <c r="TBV18" s="64"/>
      <c r="TBW18" s="64"/>
      <c r="TBX18" s="64"/>
      <c r="TBY18" s="64"/>
      <c r="TBZ18" s="64"/>
      <c r="TCA18" s="64"/>
      <c r="TCB18" s="64"/>
      <c r="TCC18" s="64"/>
      <c r="TCD18" s="64"/>
      <c r="TCE18" s="64"/>
      <c r="TCF18" s="64"/>
      <c r="TCG18" s="64"/>
      <c r="TCH18" s="64"/>
      <c r="TCI18" s="64"/>
      <c r="TCJ18" s="64"/>
      <c r="TCK18" s="64"/>
      <c r="TCL18" s="64"/>
      <c r="TCM18" s="64"/>
      <c r="TCN18" s="64"/>
      <c r="TCO18" s="64"/>
      <c r="TCP18" s="64"/>
      <c r="TCQ18" s="64"/>
      <c r="TCR18" s="64"/>
      <c r="TCS18" s="64"/>
      <c r="TCT18" s="64"/>
      <c r="TCU18" s="64"/>
      <c r="TCV18" s="64"/>
      <c r="TCW18" s="64"/>
      <c r="TCX18" s="64"/>
      <c r="TCY18" s="64"/>
      <c r="TCZ18" s="64"/>
      <c r="TDA18" s="64"/>
      <c r="TDB18" s="64"/>
      <c r="TDC18" s="64"/>
      <c r="TDD18" s="64"/>
      <c r="TDE18" s="64"/>
      <c r="TDF18" s="64"/>
      <c r="TDG18" s="64"/>
      <c r="TDH18" s="64"/>
      <c r="TDI18" s="64"/>
      <c r="TDJ18" s="64"/>
      <c r="TDK18" s="64"/>
      <c r="TDL18" s="64"/>
      <c r="TDM18" s="64"/>
      <c r="TDN18" s="64"/>
      <c r="TDO18" s="64"/>
      <c r="TDP18" s="64"/>
      <c r="TDQ18" s="64"/>
      <c r="TDR18" s="64"/>
      <c r="TDS18" s="64"/>
      <c r="TDT18" s="64"/>
      <c r="TDU18" s="64"/>
      <c r="TDV18" s="64"/>
      <c r="TDW18" s="64"/>
      <c r="TDX18" s="64"/>
      <c r="TDY18" s="64"/>
      <c r="TDZ18" s="64"/>
      <c r="TEA18" s="64"/>
      <c r="TEB18" s="64"/>
      <c r="TEC18" s="64"/>
      <c r="TED18" s="64"/>
      <c r="TEE18" s="64"/>
      <c r="TEF18" s="64"/>
      <c r="TEG18" s="64"/>
      <c r="TEH18" s="64"/>
      <c r="TEI18" s="64"/>
      <c r="TEJ18" s="64"/>
      <c r="TEK18" s="64"/>
      <c r="TEL18" s="64"/>
      <c r="TEM18" s="64"/>
      <c r="TEN18" s="64"/>
      <c r="TEO18" s="64"/>
      <c r="TEP18" s="64"/>
      <c r="TEQ18" s="64"/>
      <c r="TER18" s="64"/>
      <c r="TES18" s="64"/>
      <c r="TET18" s="64"/>
      <c r="TEU18" s="64"/>
      <c r="TEV18" s="64"/>
      <c r="TEW18" s="64"/>
      <c r="TEX18" s="64"/>
      <c r="TEY18" s="64"/>
      <c r="TEZ18" s="64"/>
      <c r="TFA18" s="64"/>
      <c r="TFB18" s="64"/>
      <c r="TFC18" s="64"/>
      <c r="TFD18" s="64"/>
      <c r="TFE18" s="64"/>
      <c r="TFF18" s="64"/>
      <c r="TFG18" s="64"/>
      <c r="TFH18" s="64"/>
      <c r="TFI18" s="64"/>
      <c r="TFJ18" s="64"/>
      <c r="TFK18" s="64"/>
      <c r="TFL18" s="64"/>
      <c r="TFM18" s="64"/>
      <c r="TFN18" s="64"/>
      <c r="TFO18" s="64"/>
      <c r="TFP18" s="64"/>
      <c r="TFQ18" s="64"/>
      <c r="TFR18" s="64"/>
      <c r="TFS18" s="64"/>
      <c r="TFT18" s="64"/>
      <c r="TFU18" s="64"/>
      <c r="TFV18" s="64"/>
      <c r="TFW18" s="64"/>
      <c r="TFX18" s="64"/>
      <c r="TFY18" s="64"/>
      <c r="TFZ18" s="64"/>
      <c r="TGA18" s="64"/>
      <c r="TGB18" s="64"/>
      <c r="TGC18" s="64"/>
      <c r="TGD18" s="64"/>
      <c r="TGE18" s="64"/>
      <c r="TGF18" s="64"/>
      <c r="TGG18" s="64"/>
      <c r="TGH18" s="64"/>
      <c r="TGI18" s="64"/>
      <c r="TGJ18" s="64"/>
      <c r="TGK18" s="64"/>
      <c r="TGL18" s="64"/>
      <c r="TGM18" s="64"/>
      <c r="TGN18" s="64"/>
      <c r="TGO18" s="64"/>
      <c r="TGP18" s="64"/>
      <c r="TGQ18" s="64"/>
      <c r="TGR18" s="64"/>
      <c r="TGS18" s="64"/>
      <c r="TGT18" s="64"/>
      <c r="TGU18" s="64"/>
      <c r="TGV18" s="64"/>
      <c r="TGW18" s="64"/>
      <c r="TGX18" s="64"/>
      <c r="TGY18" s="64"/>
      <c r="TGZ18" s="64"/>
      <c r="THA18" s="64"/>
      <c r="THB18" s="64"/>
      <c r="THC18" s="64"/>
      <c r="THD18" s="64"/>
      <c r="THE18" s="64"/>
      <c r="THF18" s="64"/>
      <c r="THG18" s="64"/>
      <c r="THH18" s="64"/>
      <c r="THI18" s="64"/>
      <c r="THJ18" s="64"/>
      <c r="THK18" s="64"/>
      <c r="THL18" s="64"/>
      <c r="THM18" s="64"/>
      <c r="THN18" s="64"/>
      <c r="THO18" s="64"/>
      <c r="THP18" s="64"/>
      <c r="THQ18" s="64"/>
      <c r="THR18" s="64"/>
      <c r="THS18" s="64"/>
      <c r="THT18" s="64"/>
      <c r="THU18" s="64"/>
      <c r="THV18" s="64"/>
      <c r="THW18" s="64"/>
      <c r="THX18" s="64"/>
      <c r="THY18" s="64"/>
      <c r="THZ18" s="64"/>
      <c r="TIA18" s="64"/>
      <c r="TIB18" s="64"/>
      <c r="TIC18" s="64"/>
      <c r="TID18" s="64"/>
      <c r="TIE18" s="64"/>
      <c r="TIF18" s="64"/>
      <c r="TIG18" s="64"/>
      <c r="TIH18" s="64"/>
      <c r="TII18" s="64"/>
      <c r="TIJ18" s="64"/>
      <c r="TIK18" s="64"/>
      <c r="TIL18" s="64"/>
      <c r="TIM18" s="64"/>
      <c r="TIN18" s="64"/>
      <c r="TIO18" s="64"/>
      <c r="TIP18" s="64"/>
      <c r="TIQ18" s="64"/>
      <c r="TIR18" s="64"/>
      <c r="TIS18" s="64"/>
      <c r="TIT18" s="64"/>
      <c r="TIU18" s="64"/>
      <c r="TIV18" s="64"/>
      <c r="TIW18" s="64"/>
      <c r="TIX18" s="64"/>
      <c r="TIY18" s="64"/>
      <c r="TIZ18" s="64"/>
      <c r="TJA18" s="64"/>
      <c r="TJB18" s="64"/>
      <c r="TJC18" s="64"/>
      <c r="TJD18" s="64"/>
      <c r="TJE18" s="64"/>
      <c r="TJF18" s="64"/>
      <c r="TJG18" s="64"/>
      <c r="TJH18" s="64"/>
      <c r="TJI18" s="64"/>
      <c r="TJJ18" s="64"/>
      <c r="TJK18" s="64"/>
      <c r="TJL18" s="64"/>
      <c r="TJM18" s="64"/>
      <c r="TJN18" s="64"/>
      <c r="TJO18" s="64"/>
      <c r="TJP18" s="64"/>
      <c r="TJQ18" s="64"/>
      <c r="TJR18" s="64"/>
      <c r="TJS18" s="64"/>
      <c r="TJT18" s="64"/>
      <c r="TJU18" s="64"/>
      <c r="TJV18" s="64"/>
      <c r="TJW18" s="64"/>
      <c r="TJX18" s="64"/>
      <c r="TJY18" s="64"/>
      <c r="TJZ18" s="64"/>
      <c r="TKA18" s="64"/>
      <c r="TKB18" s="64"/>
      <c r="TKC18" s="64"/>
      <c r="TKD18" s="64"/>
      <c r="TKE18" s="64"/>
      <c r="TKF18" s="64"/>
      <c r="TKG18" s="64"/>
      <c r="TKH18" s="64"/>
      <c r="TKI18" s="64"/>
      <c r="TKJ18" s="64"/>
      <c r="TKK18" s="64"/>
      <c r="TKL18" s="64"/>
      <c r="TKM18" s="64"/>
      <c r="TKN18" s="64"/>
      <c r="TKO18" s="64"/>
      <c r="TKP18" s="64"/>
      <c r="TKQ18" s="64"/>
      <c r="TKR18" s="64"/>
      <c r="TKS18" s="64"/>
      <c r="TKT18" s="64"/>
      <c r="TKU18" s="64"/>
      <c r="TKV18" s="64"/>
      <c r="TKW18" s="64"/>
      <c r="TKX18" s="64"/>
      <c r="TKY18" s="64"/>
      <c r="TKZ18" s="64"/>
      <c r="TLA18" s="64"/>
      <c r="TLB18" s="64"/>
      <c r="TLC18" s="64"/>
      <c r="TLD18" s="64"/>
      <c r="TLE18" s="64"/>
      <c r="TLF18" s="64"/>
      <c r="TLG18" s="64"/>
      <c r="TLH18" s="64"/>
      <c r="TLI18" s="64"/>
      <c r="TLJ18" s="64"/>
      <c r="TLK18" s="64"/>
      <c r="TLL18" s="64"/>
      <c r="TLM18" s="64"/>
      <c r="TLN18" s="64"/>
      <c r="TLO18" s="64"/>
      <c r="TLP18" s="64"/>
      <c r="TLQ18" s="64"/>
      <c r="TLR18" s="64"/>
      <c r="TLS18" s="64"/>
      <c r="TLT18" s="64"/>
      <c r="TLU18" s="64"/>
      <c r="TLV18" s="64"/>
      <c r="TLW18" s="64"/>
      <c r="TLX18" s="64"/>
      <c r="TLY18" s="64"/>
      <c r="TLZ18" s="64"/>
      <c r="TMA18" s="64"/>
      <c r="TMB18" s="64"/>
      <c r="TMC18" s="64"/>
      <c r="TMD18" s="64"/>
      <c r="TME18" s="64"/>
      <c r="TMF18" s="64"/>
      <c r="TMG18" s="64"/>
      <c r="TMH18" s="64"/>
      <c r="TMI18" s="64"/>
      <c r="TMJ18" s="64"/>
      <c r="TMK18" s="64"/>
      <c r="TML18" s="64"/>
      <c r="TMM18" s="64"/>
      <c r="TMN18" s="64"/>
      <c r="TMO18" s="64"/>
      <c r="TMP18" s="64"/>
      <c r="TMQ18" s="64"/>
      <c r="TMR18" s="64"/>
      <c r="TMS18" s="64"/>
      <c r="TMT18" s="64"/>
      <c r="TMU18" s="64"/>
      <c r="TMV18" s="64"/>
      <c r="TMW18" s="64"/>
      <c r="TMX18" s="64"/>
      <c r="TMY18" s="64"/>
      <c r="TMZ18" s="64"/>
      <c r="TNA18" s="64"/>
      <c r="TNB18" s="64"/>
      <c r="TNC18" s="64"/>
      <c r="TND18" s="64"/>
      <c r="TNE18" s="64"/>
      <c r="TNF18" s="64"/>
      <c r="TNG18" s="64"/>
      <c r="TNH18" s="64"/>
      <c r="TNI18" s="64"/>
      <c r="TNJ18" s="64"/>
      <c r="TNK18" s="64"/>
      <c r="TNL18" s="64"/>
      <c r="TNM18" s="64"/>
      <c r="TNN18" s="64"/>
      <c r="TNO18" s="64"/>
      <c r="TNP18" s="64"/>
      <c r="TNQ18" s="64"/>
      <c r="TNR18" s="64"/>
      <c r="TNS18" s="64"/>
      <c r="TNT18" s="64"/>
      <c r="TNU18" s="64"/>
      <c r="TNV18" s="64"/>
      <c r="TNW18" s="64"/>
      <c r="TNX18" s="64"/>
      <c r="TNY18" s="64"/>
      <c r="TNZ18" s="64"/>
      <c r="TOA18" s="64"/>
      <c r="TOB18" s="64"/>
      <c r="TOC18" s="64"/>
      <c r="TOD18" s="64"/>
      <c r="TOE18" s="64"/>
      <c r="TOF18" s="64"/>
      <c r="TOG18" s="64"/>
      <c r="TOH18" s="64"/>
      <c r="TOI18" s="64"/>
      <c r="TOJ18" s="64"/>
      <c r="TOK18" s="64"/>
      <c r="TOL18" s="64"/>
      <c r="TOM18" s="64"/>
      <c r="TON18" s="64"/>
      <c r="TOO18" s="64"/>
      <c r="TOP18" s="64"/>
      <c r="TOQ18" s="64"/>
      <c r="TOR18" s="64"/>
      <c r="TOS18" s="64"/>
      <c r="TOT18" s="64"/>
      <c r="TOU18" s="64"/>
      <c r="TOV18" s="64"/>
      <c r="TOW18" s="64"/>
      <c r="TOX18" s="64"/>
      <c r="TOY18" s="64"/>
      <c r="TOZ18" s="64"/>
      <c r="TPA18" s="64"/>
      <c r="TPB18" s="64"/>
      <c r="TPC18" s="64"/>
      <c r="TPD18" s="64"/>
      <c r="TPE18" s="64"/>
      <c r="TPF18" s="64"/>
      <c r="TPG18" s="64"/>
      <c r="TPH18" s="64"/>
      <c r="TPI18" s="64"/>
      <c r="TPJ18" s="64"/>
      <c r="TPK18" s="64"/>
      <c r="TPL18" s="64"/>
      <c r="TPM18" s="64"/>
      <c r="TPN18" s="64"/>
      <c r="TPO18" s="64"/>
      <c r="TPP18" s="64"/>
      <c r="TPQ18" s="64"/>
      <c r="TPR18" s="64"/>
      <c r="TPS18" s="64"/>
      <c r="TPT18" s="64"/>
      <c r="TPU18" s="64"/>
      <c r="TPV18" s="64"/>
      <c r="TPW18" s="64"/>
      <c r="TPX18" s="64"/>
      <c r="TPY18" s="64"/>
      <c r="TPZ18" s="64"/>
      <c r="TQA18" s="64"/>
      <c r="TQB18" s="64"/>
      <c r="TQC18" s="64"/>
      <c r="TQD18" s="64"/>
      <c r="TQE18" s="64"/>
      <c r="TQF18" s="64"/>
      <c r="TQG18" s="64"/>
      <c r="TQH18" s="64"/>
      <c r="TQI18" s="64"/>
      <c r="TQJ18" s="64"/>
      <c r="TQK18" s="64"/>
      <c r="TQL18" s="64"/>
      <c r="TQM18" s="64"/>
      <c r="TQN18" s="64"/>
      <c r="TQO18" s="64"/>
      <c r="TQP18" s="64"/>
      <c r="TQQ18" s="64"/>
      <c r="TQR18" s="64"/>
      <c r="TQS18" s="64"/>
      <c r="TQT18" s="64"/>
      <c r="TQU18" s="64"/>
      <c r="TQV18" s="64"/>
      <c r="TQW18" s="64"/>
      <c r="TQX18" s="64"/>
      <c r="TQY18" s="64"/>
      <c r="TQZ18" s="64"/>
      <c r="TRA18" s="64"/>
      <c r="TRB18" s="64"/>
      <c r="TRC18" s="64"/>
      <c r="TRD18" s="64"/>
      <c r="TRE18" s="64"/>
      <c r="TRF18" s="64"/>
      <c r="TRG18" s="64"/>
      <c r="TRH18" s="64"/>
      <c r="TRI18" s="64"/>
      <c r="TRJ18" s="64"/>
      <c r="TRK18" s="64"/>
      <c r="TRL18" s="64"/>
      <c r="TRM18" s="64"/>
      <c r="TRN18" s="64"/>
      <c r="TRO18" s="64"/>
      <c r="TRP18" s="64"/>
      <c r="TRQ18" s="64"/>
      <c r="TRR18" s="64"/>
      <c r="TRS18" s="64"/>
      <c r="TRT18" s="64"/>
      <c r="TRU18" s="64"/>
      <c r="TRV18" s="64"/>
      <c r="TRW18" s="64"/>
      <c r="TRX18" s="64"/>
      <c r="TRY18" s="64"/>
      <c r="TRZ18" s="64"/>
      <c r="TSA18" s="64"/>
      <c r="TSB18" s="64"/>
      <c r="TSC18" s="64"/>
      <c r="TSD18" s="64"/>
      <c r="TSE18" s="64"/>
      <c r="TSF18" s="64"/>
      <c r="TSG18" s="64"/>
      <c r="TSH18" s="64"/>
      <c r="TSI18" s="64"/>
      <c r="TSJ18" s="64"/>
      <c r="TSK18" s="64"/>
      <c r="TSL18" s="64"/>
      <c r="TSM18" s="64"/>
      <c r="TSN18" s="64"/>
      <c r="TSO18" s="64"/>
      <c r="TSP18" s="64"/>
      <c r="TSQ18" s="64"/>
      <c r="TSR18" s="64"/>
      <c r="TSS18" s="64"/>
      <c r="TST18" s="64"/>
      <c r="TSU18" s="64"/>
      <c r="TSV18" s="64"/>
      <c r="TSW18" s="64"/>
      <c r="TSX18" s="64"/>
      <c r="TSY18" s="64"/>
      <c r="TSZ18" s="64"/>
      <c r="TTA18" s="64"/>
      <c r="TTB18" s="64"/>
      <c r="TTC18" s="64"/>
      <c r="TTD18" s="64"/>
      <c r="TTE18" s="64"/>
      <c r="TTF18" s="64"/>
      <c r="TTG18" s="64"/>
      <c r="TTH18" s="64"/>
      <c r="TTI18" s="64"/>
      <c r="TTJ18" s="64"/>
      <c r="TTK18" s="64"/>
      <c r="TTL18" s="64"/>
      <c r="TTM18" s="64"/>
      <c r="TTN18" s="64"/>
      <c r="TTO18" s="64"/>
      <c r="TTP18" s="64"/>
      <c r="TTQ18" s="64"/>
      <c r="TTR18" s="64"/>
      <c r="TTS18" s="64"/>
      <c r="TTT18" s="64"/>
      <c r="TTU18" s="64"/>
      <c r="TTV18" s="64"/>
      <c r="TTW18" s="64"/>
      <c r="TTX18" s="64"/>
      <c r="TTY18" s="64"/>
      <c r="TTZ18" s="64"/>
      <c r="TUA18" s="64"/>
      <c r="TUB18" s="64"/>
      <c r="TUC18" s="64"/>
      <c r="TUD18" s="64"/>
      <c r="TUE18" s="64"/>
      <c r="TUF18" s="64"/>
      <c r="TUG18" s="64"/>
      <c r="TUH18" s="64"/>
      <c r="TUI18" s="64"/>
      <c r="TUJ18" s="64"/>
      <c r="TUK18" s="64"/>
      <c r="TUL18" s="64"/>
      <c r="TUM18" s="64"/>
      <c r="TUN18" s="64"/>
      <c r="TUO18" s="64"/>
      <c r="TUP18" s="64"/>
      <c r="TUQ18" s="64"/>
      <c r="TUR18" s="64"/>
      <c r="TUS18" s="64"/>
      <c r="TUT18" s="64"/>
      <c r="TUU18" s="64"/>
      <c r="TUV18" s="64"/>
      <c r="TUW18" s="64"/>
      <c r="TUX18" s="64"/>
      <c r="TUY18" s="64"/>
      <c r="TUZ18" s="64"/>
      <c r="TVA18" s="64"/>
      <c r="TVB18" s="64"/>
      <c r="TVC18" s="64"/>
      <c r="TVD18" s="64"/>
      <c r="TVE18" s="64"/>
      <c r="TVF18" s="64"/>
      <c r="TVG18" s="64"/>
      <c r="TVH18" s="64"/>
      <c r="TVI18" s="64"/>
      <c r="TVJ18" s="64"/>
      <c r="TVK18" s="64"/>
      <c r="TVL18" s="64"/>
      <c r="TVM18" s="64"/>
      <c r="TVN18" s="64"/>
      <c r="TVO18" s="64"/>
      <c r="TVP18" s="64"/>
      <c r="TVQ18" s="64"/>
      <c r="TVR18" s="64"/>
      <c r="TVS18" s="64"/>
      <c r="TVT18" s="64"/>
      <c r="TVU18" s="64"/>
      <c r="TVV18" s="64"/>
      <c r="TVW18" s="64"/>
      <c r="TVX18" s="64"/>
      <c r="TVY18" s="64"/>
      <c r="TVZ18" s="64"/>
      <c r="TWA18" s="64"/>
      <c r="TWB18" s="64"/>
      <c r="TWC18" s="64"/>
      <c r="TWD18" s="64"/>
      <c r="TWE18" s="64"/>
      <c r="TWF18" s="64"/>
      <c r="TWG18" s="64"/>
      <c r="TWH18" s="64"/>
      <c r="TWI18" s="64"/>
      <c r="TWJ18" s="64"/>
      <c r="TWK18" s="64"/>
      <c r="TWL18" s="64"/>
      <c r="TWM18" s="64"/>
      <c r="TWN18" s="64"/>
      <c r="TWO18" s="64"/>
      <c r="TWP18" s="64"/>
      <c r="TWQ18" s="64"/>
      <c r="TWR18" s="64"/>
      <c r="TWS18" s="64"/>
      <c r="TWT18" s="64"/>
      <c r="TWU18" s="64"/>
      <c r="TWV18" s="64"/>
      <c r="TWW18" s="64"/>
      <c r="TWX18" s="64"/>
      <c r="TWY18" s="64"/>
      <c r="TWZ18" s="64"/>
      <c r="TXA18" s="64"/>
      <c r="TXB18" s="64"/>
      <c r="TXC18" s="64"/>
      <c r="TXD18" s="64"/>
      <c r="TXE18" s="64"/>
      <c r="TXF18" s="64"/>
      <c r="TXG18" s="64"/>
      <c r="TXH18" s="64"/>
      <c r="TXI18" s="64"/>
      <c r="TXJ18" s="64"/>
      <c r="TXK18" s="64"/>
      <c r="TXL18" s="64"/>
      <c r="TXM18" s="64"/>
      <c r="TXN18" s="64"/>
      <c r="TXO18" s="64"/>
      <c r="TXP18" s="64"/>
      <c r="TXQ18" s="64"/>
      <c r="TXR18" s="64"/>
      <c r="TXS18" s="64"/>
      <c r="TXT18" s="64"/>
      <c r="TXU18" s="64"/>
      <c r="TXV18" s="64"/>
      <c r="TXW18" s="64"/>
      <c r="TXX18" s="64"/>
      <c r="TXY18" s="64"/>
      <c r="TXZ18" s="64"/>
      <c r="TYA18" s="64"/>
      <c r="TYB18" s="64"/>
      <c r="TYC18" s="64"/>
      <c r="TYD18" s="64"/>
      <c r="TYE18" s="64"/>
      <c r="TYF18" s="64"/>
      <c r="TYG18" s="64"/>
      <c r="TYH18" s="64"/>
      <c r="TYI18" s="64"/>
      <c r="TYJ18" s="64"/>
      <c r="TYK18" s="64"/>
      <c r="TYL18" s="64"/>
      <c r="TYM18" s="64"/>
      <c r="TYN18" s="64"/>
      <c r="TYO18" s="64"/>
      <c r="TYP18" s="64"/>
      <c r="TYQ18" s="64"/>
      <c r="TYR18" s="64"/>
      <c r="TYS18" s="64"/>
      <c r="TYT18" s="64"/>
      <c r="TYU18" s="64"/>
      <c r="TYV18" s="64"/>
      <c r="TYW18" s="64"/>
      <c r="TYX18" s="64"/>
      <c r="TYY18" s="64"/>
      <c r="TYZ18" s="64"/>
      <c r="TZA18" s="64"/>
      <c r="TZB18" s="64"/>
      <c r="TZC18" s="64"/>
      <c r="TZD18" s="64"/>
      <c r="TZE18" s="64"/>
      <c r="TZF18" s="64"/>
      <c r="TZG18" s="64"/>
      <c r="TZH18" s="64"/>
      <c r="TZI18" s="64"/>
      <c r="TZJ18" s="64"/>
      <c r="TZK18" s="64"/>
      <c r="TZL18" s="64"/>
      <c r="TZM18" s="64"/>
      <c r="TZN18" s="64"/>
      <c r="TZO18" s="64"/>
      <c r="TZP18" s="64"/>
      <c r="TZQ18" s="64"/>
      <c r="TZR18" s="64"/>
      <c r="TZS18" s="64"/>
      <c r="TZT18" s="64"/>
      <c r="TZU18" s="64"/>
      <c r="TZV18" s="64"/>
      <c r="TZW18" s="64"/>
      <c r="TZX18" s="64"/>
      <c r="TZY18" s="64"/>
      <c r="TZZ18" s="64"/>
      <c r="UAA18" s="64"/>
      <c r="UAB18" s="64"/>
      <c r="UAC18" s="64"/>
      <c r="UAD18" s="64"/>
      <c r="UAE18" s="64"/>
      <c r="UAF18" s="64"/>
      <c r="UAG18" s="64"/>
      <c r="UAH18" s="64"/>
      <c r="UAI18" s="64"/>
      <c r="UAJ18" s="64"/>
      <c r="UAK18" s="64"/>
      <c r="UAL18" s="64"/>
      <c r="UAM18" s="64"/>
      <c r="UAN18" s="64"/>
      <c r="UAO18" s="64"/>
      <c r="UAP18" s="64"/>
      <c r="UAQ18" s="64"/>
      <c r="UAR18" s="64"/>
      <c r="UAS18" s="64"/>
      <c r="UAT18" s="64"/>
      <c r="UAU18" s="64"/>
      <c r="UAV18" s="64"/>
      <c r="UAW18" s="64"/>
      <c r="UAX18" s="64"/>
      <c r="UAY18" s="64"/>
      <c r="UAZ18" s="64"/>
      <c r="UBA18" s="64"/>
      <c r="UBB18" s="64"/>
      <c r="UBC18" s="64"/>
      <c r="UBD18" s="64"/>
      <c r="UBE18" s="64"/>
      <c r="UBF18" s="64"/>
      <c r="UBG18" s="64"/>
      <c r="UBH18" s="64"/>
      <c r="UBI18" s="64"/>
      <c r="UBJ18" s="64"/>
      <c r="UBK18" s="64"/>
      <c r="UBL18" s="64"/>
      <c r="UBM18" s="64"/>
      <c r="UBN18" s="64"/>
      <c r="UBO18" s="64"/>
      <c r="UBP18" s="64"/>
      <c r="UBQ18" s="64"/>
      <c r="UBR18" s="64"/>
      <c r="UBS18" s="64"/>
      <c r="UBT18" s="64"/>
      <c r="UBU18" s="64"/>
      <c r="UBV18" s="64"/>
      <c r="UBW18" s="64"/>
      <c r="UBX18" s="64"/>
      <c r="UBY18" s="64"/>
      <c r="UBZ18" s="64"/>
      <c r="UCA18" s="64"/>
      <c r="UCB18" s="64"/>
      <c r="UCC18" s="64"/>
      <c r="UCD18" s="64"/>
      <c r="UCE18" s="64"/>
      <c r="UCF18" s="64"/>
      <c r="UCG18" s="64"/>
      <c r="UCH18" s="64"/>
      <c r="UCI18" s="64"/>
      <c r="UCJ18" s="64"/>
      <c r="UCK18" s="64"/>
      <c r="UCL18" s="64"/>
      <c r="UCM18" s="64"/>
      <c r="UCN18" s="64"/>
      <c r="UCO18" s="64"/>
      <c r="UCP18" s="64"/>
      <c r="UCQ18" s="64"/>
      <c r="UCR18" s="64"/>
      <c r="UCS18" s="64"/>
      <c r="UCT18" s="64"/>
      <c r="UCU18" s="64"/>
      <c r="UCV18" s="64"/>
      <c r="UCW18" s="64"/>
      <c r="UCX18" s="64"/>
      <c r="UCY18" s="64"/>
      <c r="UCZ18" s="64"/>
      <c r="UDA18" s="64"/>
      <c r="UDB18" s="64"/>
      <c r="UDC18" s="64"/>
      <c r="UDD18" s="64"/>
      <c r="UDE18" s="64"/>
      <c r="UDF18" s="64"/>
      <c r="UDG18" s="64"/>
      <c r="UDH18" s="64"/>
      <c r="UDI18" s="64"/>
      <c r="UDJ18" s="64"/>
      <c r="UDK18" s="64"/>
      <c r="UDL18" s="64"/>
      <c r="UDM18" s="64"/>
      <c r="UDN18" s="64"/>
      <c r="UDO18" s="64"/>
      <c r="UDP18" s="64"/>
      <c r="UDQ18" s="64"/>
      <c r="UDR18" s="64"/>
      <c r="UDS18" s="64"/>
      <c r="UDT18" s="64"/>
      <c r="UDU18" s="64"/>
      <c r="UDV18" s="64"/>
      <c r="UDW18" s="64"/>
      <c r="UDX18" s="64"/>
      <c r="UDY18" s="64"/>
      <c r="UDZ18" s="64"/>
      <c r="UEA18" s="64"/>
      <c r="UEB18" s="64"/>
      <c r="UEC18" s="64"/>
      <c r="UED18" s="64"/>
      <c r="UEE18" s="64"/>
      <c r="UEF18" s="64"/>
      <c r="UEG18" s="64"/>
      <c r="UEH18" s="64"/>
      <c r="UEI18" s="64"/>
      <c r="UEJ18" s="64"/>
      <c r="UEK18" s="64"/>
      <c r="UEL18" s="64"/>
      <c r="UEM18" s="64"/>
      <c r="UEN18" s="64"/>
      <c r="UEO18" s="64"/>
      <c r="UEP18" s="64"/>
      <c r="UEQ18" s="64"/>
      <c r="UER18" s="64"/>
      <c r="UES18" s="64"/>
      <c r="UET18" s="64"/>
      <c r="UEU18" s="64"/>
      <c r="UEV18" s="64"/>
      <c r="UEW18" s="64"/>
      <c r="UEX18" s="64"/>
      <c r="UEY18" s="64"/>
      <c r="UEZ18" s="64"/>
      <c r="UFA18" s="64"/>
      <c r="UFB18" s="64"/>
      <c r="UFC18" s="64"/>
      <c r="UFD18" s="64"/>
      <c r="UFE18" s="64"/>
      <c r="UFF18" s="64"/>
      <c r="UFG18" s="64"/>
      <c r="UFH18" s="64"/>
      <c r="UFI18" s="64"/>
      <c r="UFJ18" s="64"/>
      <c r="UFK18" s="64"/>
      <c r="UFL18" s="64"/>
      <c r="UFM18" s="64"/>
      <c r="UFN18" s="64"/>
      <c r="UFO18" s="64"/>
      <c r="UFP18" s="64"/>
      <c r="UFQ18" s="64"/>
      <c r="UFR18" s="64"/>
      <c r="UFS18" s="64"/>
      <c r="UFT18" s="64"/>
      <c r="UFU18" s="64"/>
      <c r="UFV18" s="64"/>
      <c r="UFW18" s="64"/>
      <c r="UFX18" s="64"/>
      <c r="UFY18" s="64"/>
      <c r="UFZ18" s="64"/>
      <c r="UGA18" s="64"/>
      <c r="UGB18" s="64"/>
      <c r="UGC18" s="64"/>
      <c r="UGD18" s="64"/>
      <c r="UGE18" s="64"/>
      <c r="UGF18" s="64"/>
      <c r="UGG18" s="64"/>
      <c r="UGH18" s="64"/>
      <c r="UGI18" s="64"/>
      <c r="UGJ18" s="64"/>
      <c r="UGK18" s="64"/>
      <c r="UGL18" s="64"/>
      <c r="UGM18" s="64"/>
      <c r="UGN18" s="64"/>
      <c r="UGO18" s="64"/>
      <c r="UGP18" s="64"/>
      <c r="UGQ18" s="64"/>
      <c r="UGR18" s="64"/>
      <c r="UGS18" s="64"/>
      <c r="UGT18" s="64"/>
      <c r="UGU18" s="64"/>
      <c r="UGV18" s="64"/>
      <c r="UGW18" s="64"/>
      <c r="UGX18" s="64"/>
      <c r="UGY18" s="64"/>
      <c r="UGZ18" s="64"/>
      <c r="UHA18" s="64"/>
      <c r="UHB18" s="64"/>
      <c r="UHC18" s="64"/>
      <c r="UHD18" s="64"/>
      <c r="UHE18" s="64"/>
      <c r="UHF18" s="64"/>
      <c r="UHG18" s="64"/>
      <c r="UHH18" s="64"/>
      <c r="UHI18" s="64"/>
      <c r="UHJ18" s="64"/>
      <c r="UHK18" s="64"/>
      <c r="UHL18" s="64"/>
      <c r="UHM18" s="64"/>
      <c r="UHN18" s="64"/>
      <c r="UHO18" s="64"/>
      <c r="UHP18" s="64"/>
      <c r="UHQ18" s="64"/>
      <c r="UHR18" s="64"/>
      <c r="UHS18" s="64"/>
      <c r="UHT18" s="64"/>
      <c r="UHU18" s="64"/>
      <c r="UHV18" s="64"/>
      <c r="UHW18" s="64"/>
      <c r="UHX18" s="64"/>
      <c r="UHY18" s="64"/>
      <c r="UHZ18" s="64"/>
      <c r="UIA18" s="64"/>
      <c r="UIB18" s="64"/>
      <c r="UIC18" s="64"/>
      <c r="UID18" s="64"/>
      <c r="UIE18" s="64"/>
      <c r="UIF18" s="64"/>
      <c r="UIG18" s="64"/>
      <c r="UIH18" s="64"/>
      <c r="UII18" s="64"/>
      <c r="UIJ18" s="64"/>
      <c r="UIK18" s="64"/>
      <c r="UIL18" s="64"/>
      <c r="UIM18" s="64"/>
      <c r="UIN18" s="64"/>
      <c r="UIO18" s="64"/>
      <c r="UIP18" s="64"/>
      <c r="UIQ18" s="64"/>
      <c r="UIR18" s="64"/>
      <c r="UIS18" s="64"/>
      <c r="UIT18" s="64"/>
      <c r="UIU18" s="64"/>
      <c r="UIV18" s="64"/>
      <c r="UIW18" s="64"/>
      <c r="UIX18" s="64"/>
      <c r="UIY18" s="64"/>
      <c r="UIZ18" s="64"/>
      <c r="UJA18" s="64"/>
      <c r="UJB18" s="64"/>
      <c r="UJC18" s="64"/>
      <c r="UJD18" s="64"/>
      <c r="UJE18" s="64"/>
      <c r="UJF18" s="64"/>
      <c r="UJG18" s="64"/>
      <c r="UJH18" s="64"/>
      <c r="UJI18" s="64"/>
      <c r="UJJ18" s="64"/>
      <c r="UJK18" s="64"/>
      <c r="UJL18" s="64"/>
      <c r="UJM18" s="64"/>
      <c r="UJN18" s="64"/>
      <c r="UJO18" s="64"/>
      <c r="UJP18" s="64"/>
      <c r="UJQ18" s="64"/>
      <c r="UJR18" s="64"/>
      <c r="UJS18" s="64"/>
      <c r="UJT18" s="64"/>
      <c r="UJU18" s="64"/>
      <c r="UJV18" s="64"/>
      <c r="UJW18" s="64"/>
      <c r="UJX18" s="64"/>
      <c r="UJY18" s="64"/>
      <c r="UJZ18" s="64"/>
      <c r="UKA18" s="64"/>
      <c r="UKB18" s="64"/>
      <c r="UKC18" s="64"/>
      <c r="UKD18" s="64"/>
      <c r="UKE18" s="64"/>
      <c r="UKF18" s="64"/>
      <c r="UKG18" s="64"/>
      <c r="UKH18" s="64"/>
      <c r="UKI18" s="64"/>
      <c r="UKJ18" s="64"/>
      <c r="UKK18" s="64"/>
      <c r="UKL18" s="64"/>
      <c r="UKM18" s="64"/>
      <c r="UKN18" s="64"/>
      <c r="UKO18" s="64"/>
      <c r="UKP18" s="64"/>
      <c r="UKQ18" s="64"/>
      <c r="UKR18" s="64"/>
      <c r="UKS18" s="64"/>
      <c r="UKT18" s="64"/>
      <c r="UKU18" s="64"/>
      <c r="UKV18" s="64"/>
      <c r="UKW18" s="64"/>
      <c r="UKX18" s="64"/>
      <c r="UKY18" s="64"/>
      <c r="UKZ18" s="64"/>
      <c r="ULA18" s="64"/>
      <c r="ULB18" s="64"/>
      <c r="ULC18" s="64"/>
      <c r="ULD18" s="64"/>
      <c r="ULE18" s="64"/>
      <c r="ULF18" s="64"/>
      <c r="ULG18" s="64"/>
      <c r="ULH18" s="64"/>
      <c r="ULI18" s="64"/>
      <c r="ULJ18" s="64"/>
      <c r="ULK18" s="64"/>
      <c r="ULL18" s="64"/>
      <c r="ULM18" s="64"/>
      <c r="ULN18" s="64"/>
      <c r="ULO18" s="64"/>
      <c r="ULP18" s="64"/>
      <c r="ULQ18" s="64"/>
      <c r="ULR18" s="64"/>
      <c r="ULS18" s="64"/>
      <c r="ULT18" s="64"/>
      <c r="ULU18" s="64"/>
      <c r="ULV18" s="64"/>
      <c r="ULW18" s="64"/>
      <c r="ULX18" s="64"/>
      <c r="ULY18" s="64"/>
      <c r="ULZ18" s="64"/>
      <c r="UMA18" s="64"/>
      <c r="UMB18" s="64"/>
      <c r="UMC18" s="64"/>
      <c r="UMD18" s="64"/>
      <c r="UME18" s="64"/>
      <c r="UMF18" s="64"/>
      <c r="UMG18" s="64"/>
      <c r="UMH18" s="64"/>
      <c r="UMI18" s="64"/>
      <c r="UMJ18" s="64"/>
      <c r="UMK18" s="64"/>
      <c r="UML18" s="64"/>
      <c r="UMM18" s="64"/>
      <c r="UMN18" s="64"/>
      <c r="UMO18" s="64"/>
      <c r="UMP18" s="64"/>
      <c r="UMQ18" s="64"/>
      <c r="UMR18" s="64"/>
      <c r="UMS18" s="64"/>
      <c r="UMT18" s="64"/>
      <c r="UMU18" s="64"/>
      <c r="UMV18" s="64"/>
      <c r="UMW18" s="64"/>
      <c r="UMX18" s="64"/>
      <c r="UMY18" s="64"/>
      <c r="UMZ18" s="64"/>
      <c r="UNA18" s="64"/>
      <c r="UNB18" s="64"/>
      <c r="UNC18" s="64"/>
      <c r="UND18" s="64"/>
      <c r="UNE18" s="64"/>
      <c r="UNF18" s="64"/>
      <c r="UNG18" s="64"/>
      <c r="UNH18" s="64"/>
      <c r="UNI18" s="64"/>
      <c r="UNJ18" s="64"/>
      <c r="UNK18" s="64"/>
      <c r="UNL18" s="64"/>
      <c r="UNM18" s="64"/>
      <c r="UNN18" s="64"/>
      <c r="UNO18" s="64"/>
      <c r="UNP18" s="64"/>
      <c r="UNQ18" s="64"/>
      <c r="UNR18" s="64"/>
      <c r="UNS18" s="64"/>
      <c r="UNT18" s="64"/>
      <c r="UNU18" s="64"/>
      <c r="UNV18" s="64"/>
      <c r="UNW18" s="64"/>
      <c r="UNX18" s="64"/>
      <c r="UNY18" s="64"/>
      <c r="UNZ18" s="64"/>
      <c r="UOA18" s="64"/>
      <c r="UOB18" s="64"/>
      <c r="UOC18" s="64"/>
      <c r="UOD18" s="64"/>
      <c r="UOE18" s="64"/>
      <c r="UOF18" s="64"/>
      <c r="UOG18" s="64"/>
      <c r="UOH18" s="64"/>
      <c r="UOI18" s="64"/>
      <c r="UOJ18" s="64"/>
      <c r="UOK18" s="64"/>
      <c r="UOL18" s="64"/>
      <c r="UOM18" s="64"/>
      <c r="UON18" s="64"/>
      <c r="UOO18" s="64"/>
      <c r="UOP18" s="64"/>
      <c r="UOQ18" s="64"/>
      <c r="UOR18" s="64"/>
      <c r="UOS18" s="64"/>
      <c r="UOT18" s="64"/>
      <c r="UOU18" s="64"/>
      <c r="UOV18" s="64"/>
      <c r="UOW18" s="64"/>
      <c r="UOX18" s="64"/>
      <c r="UOY18" s="64"/>
      <c r="UOZ18" s="64"/>
      <c r="UPA18" s="64"/>
      <c r="UPB18" s="64"/>
      <c r="UPC18" s="64"/>
      <c r="UPD18" s="64"/>
      <c r="UPE18" s="64"/>
      <c r="UPF18" s="64"/>
      <c r="UPG18" s="64"/>
      <c r="UPH18" s="64"/>
      <c r="UPI18" s="64"/>
      <c r="UPJ18" s="64"/>
      <c r="UPK18" s="64"/>
      <c r="UPL18" s="64"/>
      <c r="UPM18" s="64"/>
      <c r="UPN18" s="64"/>
      <c r="UPO18" s="64"/>
      <c r="UPP18" s="64"/>
      <c r="UPQ18" s="64"/>
      <c r="UPR18" s="64"/>
      <c r="UPS18" s="64"/>
      <c r="UPT18" s="64"/>
      <c r="UPU18" s="64"/>
      <c r="UPV18" s="64"/>
      <c r="UPW18" s="64"/>
      <c r="UPX18" s="64"/>
      <c r="UPY18" s="64"/>
      <c r="UPZ18" s="64"/>
      <c r="UQA18" s="64"/>
      <c r="UQB18" s="64"/>
      <c r="UQC18" s="64"/>
      <c r="UQD18" s="64"/>
      <c r="UQE18" s="64"/>
      <c r="UQF18" s="64"/>
      <c r="UQG18" s="64"/>
      <c r="UQH18" s="64"/>
      <c r="UQI18" s="64"/>
      <c r="UQJ18" s="64"/>
      <c r="UQK18" s="64"/>
      <c r="UQL18" s="64"/>
      <c r="UQM18" s="64"/>
      <c r="UQN18" s="64"/>
      <c r="UQO18" s="64"/>
      <c r="UQP18" s="64"/>
      <c r="UQQ18" s="64"/>
      <c r="UQR18" s="64"/>
      <c r="UQS18" s="64"/>
      <c r="UQT18" s="64"/>
      <c r="UQU18" s="64"/>
      <c r="UQV18" s="64"/>
      <c r="UQW18" s="64"/>
      <c r="UQX18" s="64"/>
      <c r="UQY18" s="64"/>
      <c r="UQZ18" s="64"/>
      <c r="URA18" s="64"/>
      <c r="URB18" s="64"/>
      <c r="URC18" s="64"/>
      <c r="URD18" s="64"/>
      <c r="URE18" s="64"/>
      <c r="URF18" s="64"/>
      <c r="URG18" s="64"/>
      <c r="URH18" s="64"/>
      <c r="URI18" s="64"/>
      <c r="URJ18" s="64"/>
      <c r="URK18" s="64"/>
      <c r="URL18" s="64"/>
      <c r="URM18" s="64"/>
      <c r="URN18" s="64"/>
      <c r="URO18" s="64"/>
      <c r="URP18" s="64"/>
      <c r="URQ18" s="64"/>
      <c r="URR18" s="64"/>
      <c r="URS18" s="64"/>
      <c r="URT18" s="64"/>
      <c r="URU18" s="64"/>
      <c r="URV18" s="64"/>
      <c r="URW18" s="64"/>
      <c r="URX18" s="64"/>
      <c r="URY18" s="64"/>
      <c r="URZ18" s="64"/>
      <c r="USA18" s="64"/>
      <c r="USB18" s="64"/>
      <c r="USC18" s="64"/>
      <c r="USD18" s="64"/>
      <c r="USE18" s="64"/>
      <c r="USF18" s="64"/>
      <c r="USG18" s="64"/>
      <c r="USH18" s="64"/>
      <c r="USI18" s="64"/>
      <c r="USJ18" s="64"/>
      <c r="USK18" s="64"/>
      <c r="USL18" s="64"/>
      <c r="USM18" s="64"/>
      <c r="USN18" s="64"/>
      <c r="USO18" s="64"/>
      <c r="USP18" s="64"/>
      <c r="USQ18" s="64"/>
      <c r="USR18" s="64"/>
      <c r="USS18" s="64"/>
      <c r="UST18" s="64"/>
      <c r="USU18" s="64"/>
      <c r="USV18" s="64"/>
      <c r="USW18" s="64"/>
      <c r="USX18" s="64"/>
      <c r="USY18" s="64"/>
      <c r="USZ18" s="64"/>
      <c r="UTA18" s="64"/>
      <c r="UTB18" s="64"/>
      <c r="UTC18" s="64"/>
      <c r="UTD18" s="64"/>
      <c r="UTE18" s="64"/>
      <c r="UTF18" s="64"/>
      <c r="UTG18" s="64"/>
      <c r="UTH18" s="64"/>
      <c r="UTI18" s="64"/>
      <c r="UTJ18" s="64"/>
      <c r="UTK18" s="64"/>
      <c r="UTL18" s="64"/>
      <c r="UTM18" s="64"/>
      <c r="UTN18" s="64"/>
      <c r="UTO18" s="64"/>
      <c r="UTP18" s="64"/>
      <c r="UTQ18" s="64"/>
      <c r="UTR18" s="64"/>
      <c r="UTS18" s="64"/>
      <c r="UTT18" s="64"/>
      <c r="UTU18" s="64"/>
      <c r="UTV18" s="64"/>
      <c r="UTW18" s="64"/>
      <c r="UTX18" s="64"/>
      <c r="UTY18" s="64"/>
      <c r="UTZ18" s="64"/>
      <c r="UUA18" s="64"/>
      <c r="UUB18" s="64"/>
      <c r="UUC18" s="64"/>
      <c r="UUD18" s="64"/>
      <c r="UUE18" s="64"/>
      <c r="UUF18" s="64"/>
      <c r="UUG18" s="64"/>
      <c r="UUH18" s="64"/>
      <c r="UUI18" s="64"/>
      <c r="UUJ18" s="64"/>
      <c r="UUK18" s="64"/>
      <c r="UUL18" s="64"/>
      <c r="UUM18" s="64"/>
      <c r="UUN18" s="64"/>
      <c r="UUO18" s="64"/>
      <c r="UUP18" s="64"/>
      <c r="UUQ18" s="64"/>
      <c r="UUR18" s="64"/>
      <c r="UUS18" s="64"/>
      <c r="UUT18" s="64"/>
      <c r="UUU18" s="64"/>
      <c r="UUV18" s="64"/>
      <c r="UUW18" s="64"/>
      <c r="UUX18" s="64"/>
      <c r="UUY18" s="64"/>
      <c r="UUZ18" s="64"/>
      <c r="UVA18" s="64"/>
      <c r="UVB18" s="64"/>
      <c r="UVC18" s="64"/>
      <c r="UVD18" s="64"/>
      <c r="UVE18" s="64"/>
      <c r="UVF18" s="64"/>
      <c r="UVG18" s="64"/>
      <c r="UVH18" s="64"/>
      <c r="UVI18" s="64"/>
      <c r="UVJ18" s="64"/>
      <c r="UVK18" s="64"/>
      <c r="UVL18" s="64"/>
      <c r="UVM18" s="64"/>
      <c r="UVN18" s="64"/>
      <c r="UVO18" s="64"/>
      <c r="UVP18" s="64"/>
      <c r="UVQ18" s="64"/>
      <c r="UVR18" s="64"/>
      <c r="UVS18" s="64"/>
      <c r="UVT18" s="64"/>
      <c r="UVU18" s="64"/>
      <c r="UVV18" s="64"/>
      <c r="UVW18" s="64"/>
      <c r="UVX18" s="64"/>
      <c r="UVY18" s="64"/>
      <c r="UVZ18" s="64"/>
      <c r="UWA18" s="64"/>
      <c r="UWB18" s="64"/>
      <c r="UWC18" s="64"/>
      <c r="UWD18" s="64"/>
      <c r="UWE18" s="64"/>
      <c r="UWF18" s="64"/>
      <c r="UWG18" s="64"/>
      <c r="UWH18" s="64"/>
      <c r="UWI18" s="64"/>
      <c r="UWJ18" s="64"/>
      <c r="UWK18" s="64"/>
      <c r="UWL18" s="64"/>
      <c r="UWM18" s="64"/>
      <c r="UWN18" s="64"/>
      <c r="UWO18" s="64"/>
      <c r="UWP18" s="64"/>
      <c r="UWQ18" s="64"/>
      <c r="UWR18" s="64"/>
      <c r="UWS18" s="64"/>
      <c r="UWT18" s="64"/>
      <c r="UWU18" s="64"/>
      <c r="UWV18" s="64"/>
      <c r="UWW18" s="64"/>
      <c r="UWX18" s="64"/>
      <c r="UWY18" s="64"/>
      <c r="UWZ18" s="64"/>
      <c r="UXA18" s="64"/>
      <c r="UXB18" s="64"/>
      <c r="UXC18" s="64"/>
      <c r="UXD18" s="64"/>
      <c r="UXE18" s="64"/>
      <c r="UXF18" s="64"/>
      <c r="UXG18" s="64"/>
      <c r="UXH18" s="64"/>
      <c r="UXI18" s="64"/>
      <c r="UXJ18" s="64"/>
      <c r="UXK18" s="64"/>
      <c r="UXL18" s="64"/>
      <c r="UXM18" s="64"/>
      <c r="UXN18" s="64"/>
      <c r="UXO18" s="64"/>
      <c r="UXP18" s="64"/>
      <c r="UXQ18" s="64"/>
      <c r="UXR18" s="64"/>
      <c r="UXS18" s="64"/>
      <c r="UXT18" s="64"/>
      <c r="UXU18" s="64"/>
      <c r="UXV18" s="64"/>
      <c r="UXW18" s="64"/>
      <c r="UXX18" s="64"/>
      <c r="UXY18" s="64"/>
      <c r="UXZ18" s="64"/>
      <c r="UYA18" s="64"/>
      <c r="UYB18" s="64"/>
      <c r="UYC18" s="64"/>
      <c r="UYD18" s="64"/>
      <c r="UYE18" s="64"/>
      <c r="UYF18" s="64"/>
      <c r="UYG18" s="64"/>
      <c r="UYH18" s="64"/>
      <c r="UYI18" s="64"/>
      <c r="UYJ18" s="64"/>
      <c r="UYK18" s="64"/>
      <c r="UYL18" s="64"/>
      <c r="UYM18" s="64"/>
      <c r="UYN18" s="64"/>
      <c r="UYO18" s="64"/>
      <c r="UYP18" s="64"/>
      <c r="UYQ18" s="64"/>
      <c r="UYR18" s="64"/>
      <c r="UYS18" s="64"/>
      <c r="UYT18" s="64"/>
      <c r="UYU18" s="64"/>
      <c r="UYV18" s="64"/>
      <c r="UYW18" s="64"/>
      <c r="UYX18" s="64"/>
      <c r="UYY18" s="64"/>
      <c r="UYZ18" s="64"/>
      <c r="UZA18" s="64"/>
      <c r="UZB18" s="64"/>
      <c r="UZC18" s="64"/>
      <c r="UZD18" s="64"/>
      <c r="UZE18" s="64"/>
      <c r="UZF18" s="64"/>
      <c r="UZG18" s="64"/>
      <c r="UZH18" s="64"/>
      <c r="UZI18" s="64"/>
      <c r="UZJ18" s="64"/>
      <c r="UZK18" s="64"/>
      <c r="UZL18" s="64"/>
      <c r="UZM18" s="64"/>
      <c r="UZN18" s="64"/>
      <c r="UZO18" s="64"/>
      <c r="UZP18" s="64"/>
      <c r="UZQ18" s="64"/>
      <c r="UZR18" s="64"/>
      <c r="UZS18" s="64"/>
      <c r="UZT18" s="64"/>
      <c r="UZU18" s="64"/>
      <c r="UZV18" s="64"/>
      <c r="UZW18" s="64"/>
      <c r="UZX18" s="64"/>
      <c r="UZY18" s="64"/>
      <c r="UZZ18" s="64"/>
      <c r="VAA18" s="64"/>
      <c r="VAB18" s="64"/>
      <c r="VAC18" s="64"/>
      <c r="VAD18" s="64"/>
      <c r="VAE18" s="64"/>
      <c r="VAF18" s="64"/>
      <c r="VAG18" s="64"/>
      <c r="VAH18" s="64"/>
      <c r="VAI18" s="64"/>
      <c r="VAJ18" s="64"/>
      <c r="VAK18" s="64"/>
      <c r="VAL18" s="64"/>
      <c r="VAM18" s="64"/>
      <c r="VAN18" s="64"/>
      <c r="VAO18" s="64"/>
      <c r="VAP18" s="64"/>
      <c r="VAQ18" s="64"/>
      <c r="VAR18" s="64"/>
      <c r="VAS18" s="64"/>
      <c r="VAT18" s="64"/>
      <c r="VAU18" s="64"/>
      <c r="VAV18" s="64"/>
      <c r="VAW18" s="64"/>
      <c r="VAX18" s="64"/>
      <c r="VAY18" s="64"/>
      <c r="VAZ18" s="64"/>
      <c r="VBA18" s="64"/>
      <c r="VBB18" s="64"/>
      <c r="VBC18" s="64"/>
      <c r="VBD18" s="64"/>
      <c r="VBE18" s="64"/>
      <c r="VBF18" s="64"/>
      <c r="VBG18" s="64"/>
      <c r="VBH18" s="64"/>
      <c r="VBI18" s="64"/>
      <c r="VBJ18" s="64"/>
      <c r="VBK18" s="64"/>
      <c r="VBL18" s="64"/>
      <c r="VBM18" s="64"/>
      <c r="VBN18" s="64"/>
      <c r="VBO18" s="64"/>
      <c r="VBP18" s="64"/>
      <c r="VBQ18" s="64"/>
      <c r="VBR18" s="64"/>
      <c r="VBS18" s="64"/>
      <c r="VBT18" s="64"/>
      <c r="VBU18" s="64"/>
      <c r="VBV18" s="64"/>
      <c r="VBW18" s="64"/>
      <c r="VBX18" s="64"/>
      <c r="VBY18" s="64"/>
      <c r="VBZ18" s="64"/>
      <c r="VCA18" s="64"/>
      <c r="VCB18" s="64"/>
      <c r="VCC18" s="64"/>
      <c r="VCD18" s="64"/>
      <c r="VCE18" s="64"/>
      <c r="VCF18" s="64"/>
      <c r="VCG18" s="64"/>
      <c r="VCH18" s="64"/>
      <c r="VCI18" s="64"/>
      <c r="VCJ18" s="64"/>
      <c r="VCK18" s="64"/>
      <c r="VCL18" s="64"/>
      <c r="VCM18" s="64"/>
      <c r="VCN18" s="64"/>
      <c r="VCO18" s="64"/>
      <c r="VCP18" s="64"/>
      <c r="VCQ18" s="64"/>
      <c r="VCR18" s="64"/>
      <c r="VCS18" s="64"/>
      <c r="VCT18" s="64"/>
      <c r="VCU18" s="64"/>
      <c r="VCV18" s="64"/>
      <c r="VCW18" s="64"/>
      <c r="VCX18" s="64"/>
      <c r="VCY18" s="64"/>
      <c r="VCZ18" s="64"/>
      <c r="VDA18" s="64"/>
      <c r="VDB18" s="64"/>
      <c r="VDC18" s="64"/>
      <c r="VDD18" s="64"/>
      <c r="VDE18" s="64"/>
      <c r="VDF18" s="64"/>
      <c r="VDG18" s="64"/>
      <c r="VDH18" s="64"/>
      <c r="VDI18" s="64"/>
      <c r="VDJ18" s="64"/>
      <c r="VDK18" s="64"/>
      <c r="VDL18" s="64"/>
      <c r="VDM18" s="64"/>
      <c r="VDN18" s="64"/>
      <c r="VDO18" s="64"/>
      <c r="VDP18" s="64"/>
      <c r="VDQ18" s="64"/>
      <c r="VDR18" s="64"/>
      <c r="VDS18" s="64"/>
      <c r="VDT18" s="64"/>
      <c r="VDU18" s="64"/>
      <c r="VDV18" s="64"/>
      <c r="VDW18" s="64"/>
      <c r="VDX18" s="64"/>
      <c r="VDY18" s="64"/>
      <c r="VDZ18" s="64"/>
      <c r="VEA18" s="64"/>
      <c r="VEB18" s="64"/>
      <c r="VEC18" s="64"/>
      <c r="VED18" s="64"/>
      <c r="VEE18" s="64"/>
      <c r="VEF18" s="64"/>
      <c r="VEG18" s="64"/>
      <c r="VEH18" s="64"/>
      <c r="VEI18" s="64"/>
      <c r="VEJ18" s="64"/>
      <c r="VEK18" s="64"/>
      <c r="VEL18" s="64"/>
      <c r="VEM18" s="64"/>
      <c r="VEN18" s="64"/>
      <c r="VEO18" s="64"/>
      <c r="VEP18" s="64"/>
      <c r="VEQ18" s="64"/>
      <c r="VER18" s="64"/>
      <c r="VES18" s="64"/>
      <c r="VET18" s="64"/>
      <c r="VEU18" s="64"/>
      <c r="VEV18" s="64"/>
      <c r="VEW18" s="64"/>
      <c r="VEX18" s="64"/>
      <c r="VEY18" s="64"/>
      <c r="VEZ18" s="64"/>
      <c r="VFA18" s="64"/>
      <c r="VFB18" s="64"/>
      <c r="VFC18" s="64"/>
      <c r="VFD18" s="64"/>
      <c r="VFE18" s="64"/>
      <c r="VFF18" s="64"/>
      <c r="VFG18" s="64"/>
      <c r="VFH18" s="64"/>
      <c r="VFI18" s="64"/>
      <c r="VFJ18" s="64"/>
      <c r="VFK18" s="64"/>
      <c r="VFL18" s="64"/>
      <c r="VFM18" s="64"/>
      <c r="VFN18" s="64"/>
      <c r="VFO18" s="64"/>
      <c r="VFP18" s="64"/>
      <c r="VFQ18" s="64"/>
      <c r="VFR18" s="64"/>
      <c r="VFS18" s="64"/>
      <c r="VFT18" s="64"/>
      <c r="VFU18" s="64"/>
      <c r="VFV18" s="64"/>
      <c r="VFW18" s="64"/>
      <c r="VFX18" s="64"/>
      <c r="VFY18" s="64"/>
      <c r="VFZ18" s="64"/>
      <c r="VGA18" s="64"/>
      <c r="VGB18" s="64"/>
      <c r="VGC18" s="64"/>
      <c r="VGD18" s="64"/>
      <c r="VGE18" s="64"/>
      <c r="VGF18" s="64"/>
      <c r="VGG18" s="64"/>
      <c r="VGH18" s="64"/>
      <c r="VGI18" s="64"/>
      <c r="VGJ18" s="64"/>
      <c r="VGK18" s="64"/>
      <c r="VGL18" s="64"/>
      <c r="VGM18" s="64"/>
      <c r="VGN18" s="64"/>
      <c r="VGO18" s="64"/>
      <c r="VGP18" s="64"/>
      <c r="VGQ18" s="64"/>
      <c r="VGR18" s="64"/>
      <c r="VGS18" s="64"/>
      <c r="VGT18" s="64"/>
      <c r="VGU18" s="64"/>
      <c r="VGV18" s="64"/>
      <c r="VGW18" s="64"/>
      <c r="VGX18" s="64"/>
      <c r="VGY18" s="64"/>
      <c r="VGZ18" s="64"/>
      <c r="VHA18" s="64"/>
      <c r="VHB18" s="64"/>
      <c r="VHC18" s="64"/>
      <c r="VHD18" s="64"/>
      <c r="VHE18" s="64"/>
      <c r="VHF18" s="64"/>
      <c r="VHG18" s="64"/>
      <c r="VHH18" s="64"/>
      <c r="VHI18" s="64"/>
      <c r="VHJ18" s="64"/>
      <c r="VHK18" s="64"/>
      <c r="VHL18" s="64"/>
      <c r="VHM18" s="64"/>
      <c r="VHN18" s="64"/>
      <c r="VHO18" s="64"/>
      <c r="VHP18" s="64"/>
      <c r="VHQ18" s="64"/>
      <c r="VHR18" s="64"/>
      <c r="VHS18" s="64"/>
      <c r="VHT18" s="64"/>
      <c r="VHU18" s="64"/>
      <c r="VHV18" s="64"/>
      <c r="VHW18" s="64"/>
      <c r="VHX18" s="64"/>
      <c r="VHY18" s="64"/>
      <c r="VHZ18" s="64"/>
      <c r="VIA18" s="64"/>
      <c r="VIB18" s="64"/>
      <c r="VIC18" s="64"/>
      <c r="VID18" s="64"/>
      <c r="VIE18" s="64"/>
      <c r="VIF18" s="64"/>
      <c r="VIG18" s="64"/>
      <c r="VIH18" s="64"/>
      <c r="VII18" s="64"/>
      <c r="VIJ18" s="64"/>
      <c r="VIK18" s="64"/>
      <c r="VIL18" s="64"/>
      <c r="VIM18" s="64"/>
      <c r="VIN18" s="64"/>
      <c r="VIO18" s="64"/>
      <c r="VIP18" s="64"/>
      <c r="VIQ18" s="64"/>
      <c r="VIR18" s="64"/>
      <c r="VIS18" s="64"/>
      <c r="VIT18" s="64"/>
      <c r="VIU18" s="64"/>
      <c r="VIV18" s="64"/>
      <c r="VIW18" s="64"/>
      <c r="VIX18" s="64"/>
      <c r="VIY18" s="64"/>
      <c r="VIZ18" s="64"/>
      <c r="VJA18" s="64"/>
      <c r="VJB18" s="64"/>
      <c r="VJC18" s="64"/>
      <c r="VJD18" s="64"/>
      <c r="VJE18" s="64"/>
      <c r="VJF18" s="64"/>
      <c r="VJG18" s="64"/>
      <c r="VJH18" s="64"/>
      <c r="VJI18" s="64"/>
      <c r="VJJ18" s="64"/>
      <c r="VJK18" s="64"/>
      <c r="VJL18" s="64"/>
      <c r="VJM18" s="64"/>
      <c r="VJN18" s="64"/>
      <c r="VJO18" s="64"/>
      <c r="VJP18" s="64"/>
      <c r="VJQ18" s="64"/>
      <c r="VJR18" s="64"/>
      <c r="VJS18" s="64"/>
      <c r="VJT18" s="64"/>
      <c r="VJU18" s="64"/>
      <c r="VJV18" s="64"/>
      <c r="VJW18" s="64"/>
      <c r="VJX18" s="64"/>
      <c r="VJY18" s="64"/>
      <c r="VJZ18" s="64"/>
      <c r="VKA18" s="64"/>
      <c r="VKB18" s="64"/>
      <c r="VKC18" s="64"/>
      <c r="VKD18" s="64"/>
      <c r="VKE18" s="64"/>
      <c r="VKF18" s="64"/>
      <c r="VKG18" s="64"/>
      <c r="VKH18" s="64"/>
      <c r="VKI18" s="64"/>
      <c r="VKJ18" s="64"/>
      <c r="VKK18" s="64"/>
      <c r="VKL18" s="64"/>
      <c r="VKM18" s="64"/>
      <c r="VKN18" s="64"/>
      <c r="VKO18" s="64"/>
      <c r="VKP18" s="64"/>
      <c r="VKQ18" s="64"/>
      <c r="VKR18" s="64"/>
      <c r="VKS18" s="64"/>
      <c r="VKT18" s="64"/>
      <c r="VKU18" s="64"/>
      <c r="VKV18" s="64"/>
      <c r="VKW18" s="64"/>
      <c r="VKX18" s="64"/>
      <c r="VKY18" s="64"/>
      <c r="VKZ18" s="64"/>
      <c r="VLA18" s="64"/>
      <c r="VLB18" s="64"/>
      <c r="VLC18" s="64"/>
      <c r="VLD18" s="64"/>
      <c r="VLE18" s="64"/>
      <c r="VLF18" s="64"/>
      <c r="VLG18" s="64"/>
      <c r="VLH18" s="64"/>
      <c r="VLI18" s="64"/>
      <c r="VLJ18" s="64"/>
      <c r="VLK18" s="64"/>
      <c r="VLL18" s="64"/>
      <c r="VLM18" s="64"/>
      <c r="VLN18" s="64"/>
      <c r="VLO18" s="64"/>
      <c r="VLP18" s="64"/>
      <c r="VLQ18" s="64"/>
      <c r="VLR18" s="64"/>
      <c r="VLS18" s="64"/>
      <c r="VLT18" s="64"/>
      <c r="VLU18" s="64"/>
      <c r="VLV18" s="64"/>
      <c r="VLW18" s="64"/>
      <c r="VLX18" s="64"/>
      <c r="VLY18" s="64"/>
      <c r="VLZ18" s="64"/>
      <c r="VMA18" s="64"/>
      <c r="VMB18" s="64"/>
      <c r="VMC18" s="64"/>
      <c r="VMD18" s="64"/>
      <c r="VME18" s="64"/>
      <c r="VMF18" s="64"/>
      <c r="VMG18" s="64"/>
      <c r="VMH18" s="64"/>
      <c r="VMI18" s="64"/>
      <c r="VMJ18" s="64"/>
      <c r="VMK18" s="64"/>
      <c r="VML18" s="64"/>
      <c r="VMM18" s="64"/>
      <c r="VMN18" s="64"/>
      <c r="VMO18" s="64"/>
      <c r="VMP18" s="64"/>
      <c r="VMQ18" s="64"/>
      <c r="VMR18" s="64"/>
      <c r="VMS18" s="64"/>
      <c r="VMT18" s="64"/>
      <c r="VMU18" s="64"/>
      <c r="VMV18" s="64"/>
      <c r="VMW18" s="64"/>
      <c r="VMX18" s="64"/>
      <c r="VMY18" s="64"/>
      <c r="VMZ18" s="64"/>
      <c r="VNA18" s="64"/>
      <c r="VNB18" s="64"/>
      <c r="VNC18" s="64"/>
      <c r="VND18" s="64"/>
      <c r="VNE18" s="64"/>
      <c r="VNF18" s="64"/>
      <c r="VNG18" s="64"/>
      <c r="VNH18" s="64"/>
      <c r="VNI18" s="64"/>
      <c r="VNJ18" s="64"/>
      <c r="VNK18" s="64"/>
      <c r="VNL18" s="64"/>
      <c r="VNM18" s="64"/>
      <c r="VNN18" s="64"/>
      <c r="VNO18" s="64"/>
      <c r="VNP18" s="64"/>
      <c r="VNQ18" s="64"/>
      <c r="VNR18" s="64"/>
      <c r="VNS18" s="64"/>
      <c r="VNT18" s="64"/>
      <c r="VNU18" s="64"/>
      <c r="VNV18" s="64"/>
      <c r="VNW18" s="64"/>
      <c r="VNX18" s="64"/>
      <c r="VNY18" s="64"/>
      <c r="VNZ18" s="64"/>
      <c r="VOA18" s="64"/>
      <c r="VOB18" s="64"/>
      <c r="VOC18" s="64"/>
      <c r="VOD18" s="64"/>
      <c r="VOE18" s="64"/>
      <c r="VOF18" s="64"/>
      <c r="VOG18" s="64"/>
      <c r="VOH18" s="64"/>
      <c r="VOI18" s="64"/>
      <c r="VOJ18" s="64"/>
      <c r="VOK18" s="64"/>
      <c r="VOL18" s="64"/>
      <c r="VOM18" s="64"/>
      <c r="VON18" s="64"/>
      <c r="VOO18" s="64"/>
      <c r="VOP18" s="64"/>
      <c r="VOQ18" s="64"/>
      <c r="VOR18" s="64"/>
      <c r="VOS18" s="64"/>
      <c r="VOT18" s="64"/>
      <c r="VOU18" s="64"/>
      <c r="VOV18" s="64"/>
      <c r="VOW18" s="64"/>
      <c r="VOX18" s="64"/>
      <c r="VOY18" s="64"/>
      <c r="VOZ18" s="64"/>
      <c r="VPA18" s="64"/>
      <c r="VPB18" s="64"/>
      <c r="VPC18" s="64"/>
      <c r="VPD18" s="64"/>
      <c r="VPE18" s="64"/>
      <c r="VPF18" s="64"/>
      <c r="VPG18" s="64"/>
      <c r="VPH18" s="64"/>
      <c r="VPI18" s="64"/>
      <c r="VPJ18" s="64"/>
      <c r="VPK18" s="64"/>
      <c r="VPL18" s="64"/>
      <c r="VPM18" s="64"/>
      <c r="VPN18" s="64"/>
      <c r="VPO18" s="64"/>
      <c r="VPP18" s="64"/>
      <c r="VPQ18" s="64"/>
      <c r="VPR18" s="64"/>
      <c r="VPS18" s="64"/>
      <c r="VPT18" s="64"/>
      <c r="VPU18" s="64"/>
      <c r="VPV18" s="64"/>
      <c r="VPW18" s="64"/>
      <c r="VPX18" s="64"/>
      <c r="VPY18" s="64"/>
      <c r="VPZ18" s="64"/>
      <c r="VQA18" s="64"/>
      <c r="VQB18" s="64"/>
      <c r="VQC18" s="64"/>
      <c r="VQD18" s="64"/>
      <c r="VQE18" s="64"/>
      <c r="VQF18" s="64"/>
      <c r="VQG18" s="64"/>
      <c r="VQH18" s="64"/>
      <c r="VQI18" s="64"/>
      <c r="VQJ18" s="64"/>
      <c r="VQK18" s="64"/>
      <c r="VQL18" s="64"/>
      <c r="VQM18" s="64"/>
      <c r="VQN18" s="64"/>
      <c r="VQO18" s="64"/>
      <c r="VQP18" s="64"/>
      <c r="VQQ18" s="64"/>
      <c r="VQR18" s="64"/>
      <c r="VQS18" s="64"/>
      <c r="VQT18" s="64"/>
      <c r="VQU18" s="64"/>
      <c r="VQV18" s="64"/>
      <c r="VQW18" s="64"/>
      <c r="VQX18" s="64"/>
      <c r="VQY18" s="64"/>
      <c r="VQZ18" s="64"/>
      <c r="VRA18" s="64"/>
      <c r="VRB18" s="64"/>
      <c r="VRC18" s="64"/>
      <c r="VRD18" s="64"/>
      <c r="VRE18" s="64"/>
      <c r="VRF18" s="64"/>
      <c r="VRG18" s="64"/>
      <c r="VRH18" s="64"/>
      <c r="VRI18" s="64"/>
      <c r="VRJ18" s="64"/>
      <c r="VRK18" s="64"/>
      <c r="VRL18" s="64"/>
      <c r="VRM18" s="64"/>
      <c r="VRN18" s="64"/>
      <c r="VRO18" s="64"/>
      <c r="VRP18" s="64"/>
      <c r="VRQ18" s="64"/>
      <c r="VRR18" s="64"/>
      <c r="VRS18" s="64"/>
      <c r="VRT18" s="64"/>
      <c r="VRU18" s="64"/>
      <c r="VRV18" s="64"/>
      <c r="VRW18" s="64"/>
      <c r="VRX18" s="64"/>
      <c r="VRY18" s="64"/>
      <c r="VRZ18" s="64"/>
      <c r="VSA18" s="64"/>
      <c r="VSB18" s="64"/>
      <c r="VSC18" s="64"/>
      <c r="VSD18" s="64"/>
      <c r="VSE18" s="64"/>
      <c r="VSF18" s="64"/>
      <c r="VSG18" s="64"/>
      <c r="VSH18" s="64"/>
      <c r="VSI18" s="64"/>
      <c r="VSJ18" s="64"/>
      <c r="VSK18" s="64"/>
      <c r="VSL18" s="64"/>
      <c r="VSM18" s="64"/>
      <c r="VSN18" s="64"/>
      <c r="VSO18" s="64"/>
      <c r="VSP18" s="64"/>
      <c r="VSQ18" s="64"/>
      <c r="VSR18" s="64"/>
      <c r="VSS18" s="64"/>
      <c r="VST18" s="64"/>
      <c r="VSU18" s="64"/>
      <c r="VSV18" s="64"/>
      <c r="VSW18" s="64"/>
      <c r="VSX18" s="64"/>
      <c r="VSY18" s="64"/>
      <c r="VSZ18" s="64"/>
      <c r="VTA18" s="64"/>
      <c r="VTB18" s="64"/>
      <c r="VTC18" s="64"/>
      <c r="VTD18" s="64"/>
      <c r="VTE18" s="64"/>
      <c r="VTF18" s="64"/>
      <c r="VTG18" s="64"/>
      <c r="VTH18" s="64"/>
      <c r="VTI18" s="64"/>
      <c r="VTJ18" s="64"/>
      <c r="VTK18" s="64"/>
      <c r="VTL18" s="64"/>
      <c r="VTM18" s="64"/>
      <c r="VTN18" s="64"/>
      <c r="VTO18" s="64"/>
      <c r="VTP18" s="64"/>
      <c r="VTQ18" s="64"/>
      <c r="VTR18" s="64"/>
      <c r="VTS18" s="64"/>
      <c r="VTT18" s="64"/>
      <c r="VTU18" s="64"/>
      <c r="VTV18" s="64"/>
      <c r="VTW18" s="64"/>
      <c r="VTX18" s="64"/>
      <c r="VTY18" s="64"/>
      <c r="VTZ18" s="64"/>
      <c r="VUA18" s="64"/>
      <c r="VUB18" s="64"/>
      <c r="VUC18" s="64"/>
      <c r="VUD18" s="64"/>
      <c r="VUE18" s="64"/>
      <c r="VUF18" s="64"/>
      <c r="VUG18" s="64"/>
      <c r="VUH18" s="64"/>
      <c r="VUI18" s="64"/>
      <c r="VUJ18" s="64"/>
      <c r="VUK18" s="64"/>
      <c r="VUL18" s="64"/>
      <c r="VUM18" s="64"/>
      <c r="VUN18" s="64"/>
      <c r="VUO18" s="64"/>
      <c r="VUP18" s="64"/>
      <c r="VUQ18" s="64"/>
      <c r="VUR18" s="64"/>
      <c r="VUS18" s="64"/>
      <c r="VUT18" s="64"/>
      <c r="VUU18" s="64"/>
      <c r="VUV18" s="64"/>
      <c r="VUW18" s="64"/>
      <c r="VUX18" s="64"/>
      <c r="VUY18" s="64"/>
      <c r="VUZ18" s="64"/>
      <c r="VVA18" s="64"/>
      <c r="VVB18" s="64"/>
      <c r="VVC18" s="64"/>
      <c r="VVD18" s="64"/>
      <c r="VVE18" s="64"/>
      <c r="VVF18" s="64"/>
      <c r="VVG18" s="64"/>
      <c r="VVH18" s="64"/>
      <c r="VVI18" s="64"/>
      <c r="VVJ18" s="64"/>
      <c r="VVK18" s="64"/>
      <c r="VVL18" s="64"/>
      <c r="VVM18" s="64"/>
      <c r="VVN18" s="64"/>
      <c r="VVO18" s="64"/>
      <c r="VVP18" s="64"/>
      <c r="VVQ18" s="64"/>
      <c r="VVR18" s="64"/>
      <c r="VVS18" s="64"/>
      <c r="VVT18" s="64"/>
      <c r="VVU18" s="64"/>
      <c r="VVV18" s="64"/>
      <c r="VVW18" s="64"/>
      <c r="VVX18" s="64"/>
      <c r="VVY18" s="64"/>
      <c r="VVZ18" s="64"/>
      <c r="VWA18" s="64"/>
      <c r="VWB18" s="64"/>
      <c r="VWC18" s="64"/>
      <c r="VWD18" s="64"/>
      <c r="VWE18" s="64"/>
      <c r="VWF18" s="64"/>
      <c r="VWG18" s="64"/>
      <c r="VWH18" s="64"/>
      <c r="VWI18" s="64"/>
      <c r="VWJ18" s="64"/>
      <c r="VWK18" s="64"/>
      <c r="VWL18" s="64"/>
      <c r="VWM18" s="64"/>
      <c r="VWN18" s="64"/>
      <c r="VWO18" s="64"/>
      <c r="VWP18" s="64"/>
      <c r="VWQ18" s="64"/>
      <c r="VWR18" s="64"/>
      <c r="VWS18" s="64"/>
      <c r="VWT18" s="64"/>
      <c r="VWU18" s="64"/>
      <c r="VWV18" s="64"/>
      <c r="VWW18" s="64"/>
      <c r="VWX18" s="64"/>
      <c r="VWY18" s="64"/>
      <c r="VWZ18" s="64"/>
      <c r="VXA18" s="64"/>
      <c r="VXB18" s="64"/>
      <c r="VXC18" s="64"/>
      <c r="VXD18" s="64"/>
      <c r="VXE18" s="64"/>
      <c r="VXF18" s="64"/>
      <c r="VXG18" s="64"/>
      <c r="VXH18" s="64"/>
      <c r="VXI18" s="64"/>
      <c r="VXJ18" s="64"/>
      <c r="VXK18" s="64"/>
      <c r="VXL18" s="64"/>
      <c r="VXM18" s="64"/>
      <c r="VXN18" s="64"/>
      <c r="VXO18" s="64"/>
      <c r="VXP18" s="64"/>
      <c r="VXQ18" s="64"/>
      <c r="VXR18" s="64"/>
      <c r="VXS18" s="64"/>
      <c r="VXT18" s="64"/>
      <c r="VXU18" s="64"/>
      <c r="VXV18" s="64"/>
      <c r="VXW18" s="64"/>
      <c r="VXX18" s="64"/>
      <c r="VXY18" s="64"/>
      <c r="VXZ18" s="64"/>
      <c r="VYA18" s="64"/>
      <c r="VYB18" s="64"/>
      <c r="VYC18" s="64"/>
      <c r="VYD18" s="64"/>
      <c r="VYE18" s="64"/>
      <c r="VYF18" s="64"/>
      <c r="VYG18" s="64"/>
      <c r="VYH18" s="64"/>
      <c r="VYI18" s="64"/>
      <c r="VYJ18" s="64"/>
      <c r="VYK18" s="64"/>
      <c r="VYL18" s="64"/>
      <c r="VYM18" s="64"/>
      <c r="VYN18" s="64"/>
      <c r="VYO18" s="64"/>
      <c r="VYP18" s="64"/>
      <c r="VYQ18" s="64"/>
      <c r="VYR18" s="64"/>
      <c r="VYS18" s="64"/>
      <c r="VYT18" s="64"/>
      <c r="VYU18" s="64"/>
      <c r="VYV18" s="64"/>
      <c r="VYW18" s="64"/>
      <c r="VYX18" s="64"/>
      <c r="VYY18" s="64"/>
      <c r="VYZ18" s="64"/>
      <c r="VZA18" s="64"/>
      <c r="VZB18" s="64"/>
      <c r="VZC18" s="64"/>
      <c r="VZD18" s="64"/>
      <c r="VZE18" s="64"/>
      <c r="VZF18" s="64"/>
      <c r="VZG18" s="64"/>
      <c r="VZH18" s="64"/>
      <c r="VZI18" s="64"/>
      <c r="VZJ18" s="64"/>
      <c r="VZK18" s="64"/>
      <c r="VZL18" s="64"/>
      <c r="VZM18" s="64"/>
      <c r="VZN18" s="64"/>
      <c r="VZO18" s="64"/>
      <c r="VZP18" s="64"/>
      <c r="VZQ18" s="64"/>
      <c r="VZR18" s="64"/>
      <c r="VZS18" s="64"/>
      <c r="VZT18" s="64"/>
      <c r="VZU18" s="64"/>
      <c r="VZV18" s="64"/>
      <c r="VZW18" s="64"/>
      <c r="VZX18" s="64"/>
      <c r="VZY18" s="64"/>
      <c r="VZZ18" s="64"/>
      <c r="WAA18" s="64"/>
      <c r="WAB18" s="64"/>
      <c r="WAC18" s="64"/>
      <c r="WAD18" s="64"/>
      <c r="WAE18" s="64"/>
      <c r="WAF18" s="64"/>
      <c r="WAG18" s="64"/>
      <c r="WAH18" s="64"/>
      <c r="WAI18" s="64"/>
      <c r="WAJ18" s="64"/>
      <c r="WAK18" s="64"/>
      <c r="WAL18" s="64"/>
      <c r="WAM18" s="64"/>
      <c r="WAN18" s="64"/>
      <c r="WAO18" s="64"/>
      <c r="WAP18" s="64"/>
      <c r="WAQ18" s="64"/>
      <c r="WAR18" s="64"/>
      <c r="WAS18" s="64"/>
      <c r="WAT18" s="64"/>
      <c r="WAU18" s="64"/>
      <c r="WAV18" s="64"/>
      <c r="WAW18" s="64"/>
      <c r="WAX18" s="64"/>
      <c r="WAY18" s="64"/>
      <c r="WAZ18" s="64"/>
      <c r="WBA18" s="64"/>
      <c r="WBB18" s="64"/>
      <c r="WBC18" s="64"/>
      <c r="WBD18" s="64"/>
      <c r="WBE18" s="64"/>
      <c r="WBF18" s="64"/>
      <c r="WBG18" s="64"/>
      <c r="WBH18" s="64"/>
      <c r="WBI18" s="64"/>
      <c r="WBJ18" s="64"/>
      <c r="WBK18" s="64"/>
      <c r="WBL18" s="64"/>
      <c r="WBM18" s="64"/>
      <c r="WBN18" s="64"/>
      <c r="WBO18" s="64"/>
      <c r="WBP18" s="64"/>
      <c r="WBQ18" s="64"/>
      <c r="WBR18" s="64"/>
      <c r="WBS18" s="64"/>
      <c r="WBT18" s="64"/>
      <c r="WBU18" s="64"/>
      <c r="WBV18" s="64"/>
      <c r="WBW18" s="64"/>
      <c r="WBX18" s="64"/>
      <c r="WBY18" s="64"/>
      <c r="WBZ18" s="64"/>
      <c r="WCA18" s="64"/>
      <c r="WCB18" s="64"/>
      <c r="WCC18" s="64"/>
      <c r="WCD18" s="64"/>
      <c r="WCE18" s="64"/>
      <c r="WCF18" s="64"/>
      <c r="WCG18" s="64"/>
      <c r="WCH18" s="64"/>
      <c r="WCI18" s="64"/>
      <c r="WCJ18" s="64"/>
      <c r="WCK18" s="64"/>
      <c r="WCL18" s="64"/>
      <c r="WCM18" s="64"/>
      <c r="WCN18" s="64"/>
      <c r="WCO18" s="64"/>
      <c r="WCP18" s="64"/>
      <c r="WCQ18" s="64"/>
      <c r="WCR18" s="64"/>
      <c r="WCS18" s="64"/>
      <c r="WCT18" s="64"/>
      <c r="WCU18" s="64"/>
      <c r="WCV18" s="64"/>
      <c r="WCW18" s="64"/>
      <c r="WCX18" s="64"/>
      <c r="WCY18" s="64"/>
      <c r="WCZ18" s="64"/>
      <c r="WDA18" s="64"/>
      <c r="WDB18" s="64"/>
      <c r="WDC18" s="64"/>
      <c r="WDD18" s="64"/>
      <c r="WDE18" s="64"/>
      <c r="WDF18" s="64"/>
      <c r="WDG18" s="64"/>
      <c r="WDH18" s="64"/>
      <c r="WDI18" s="64"/>
      <c r="WDJ18" s="64"/>
      <c r="WDK18" s="64"/>
      <c r="WDL18" s="64"/>
      <c r="WDM18" s="64"/>
      <c r="WDN18" s="64"/>
      <c r="WDO18" s="64"/>
      <c r="WDP18" s="64"/>
      <c r="WDQ18" s="64"/>
      <c r="WDR18" s="64"/>
      <c r="WDS18" s="64"/>
      <c r="WDT18" s="64"/>
      <c r="WDU18" s="64"/>
      <c r="WDV18" s="64"/>
      <c r="WDW18" s="64"/>
      <c r="WDX18" s="64"/>
      <c r="WDY18" s="64"/>
      <c r="WDZ18" s="64"/>
      <c r="WEA18" s="64"/>
      <c r="WEB18" s="64"/>
      <c r="WEC18" s="64"/>
      <c r="WED18" s="64"/>
      <c r="WEE18" s="64"/>
      <c r="WEF18" s="64"/>
      <c r="WEG18" s="64"/>
      <c r="WEH18" s="64"/>
      <c r="WEI18" s="64"/>
      <c r="WEJ18" s="64"/>
      <c r="WEK18" s="64"/>
      <c r="WEL18" s="64"/>
      <c r="WEM18" s="64"/>
      <c r="WEN18" s="64"/>
      <c r="WEO18" s="64"/>
      <c r="WEP18" s="64"/>
      <c r="WEQ18" s="64"/>
      <c r="WER18" s="64"/>
      <c r="WES18" s="64"/>
      <c r="WET18" s="64"/>
      <c r="WEU18" s="64"/>
      <c r="WEV18" s="64"/>
      <c r="WEW18" s="64"/>
      <c r="WEX18" s="64"/>
      <c r="WEY18" s="64"/>
      <c r="WEZ18" s="64"/>
      <c r="WFA18" s="64"/>
      <c r="WFB18" s="64"/>
      <c r="WFC18" s="64"/>
      <c r="WFD18" s="64"/>
      <c r="WFE18" s="64"/>
      <c r="WFF18" s="64"/>
      <c r="WFG18" s="64"/>
      <c r="WFH18" s="64"/>
      <c r="WFI18" s="64"/>
      <c r="WFJ18" s="64"/>
      <c r="WFK18" s="64"/>
      <c r="WFL18" s="64"/>
      <c r="WFM18" s="64"/>
      <c r="WFN18" s="64"/>
      <c r="WFO18" s="64"/>
      <c r="WFP18" s="64"/>
      <c r="WFQ18" s="64"/>
      <c r="WFR18" s="64"/>
      <c r="WFS18" s="64"/>
      <c r="WFT18" s="64"/>
      <c r="WFU18" s="64"/>
      <c r="WFV18" s="64"/>
      <c r="WFW18" s="64"/>
      <c r="WFX18" s="64"/>
      <c r="WFY18" s="64"/>
      <c r="WFZ18" s="64"/>
      <c r="WGA18" s="64"/>
      <c r="WGB18" s="64"/>
      <c r="WGC18" s="64"/>
      <c r="WGD18" s="64"/>
      <c r="WGE18" s="64"/>
      <c r="WGF18" s="64"/>
      <c r="WGG18" s="64"/>
      <c r="WGH18" s="64"/>
      <c r="WGI18" s="64"/>
      <c r="WGJ18" s="64"/>
      <c r="WGK18" s="64"/>
      <c r="WGL18" s="64"/>
      <c r="WGM18" s="64"/>
      <c r="WGN18" s="64"/>
      <c r="WGO18" s="64"/>
      <c r="WGP18" s="64"/>
      <c r="WGQ18" s="64"/>
      <c r="WGR18" s="64"/>
      <c r="WGS18" s="64"/>
      <c r="WGT18" s="64"/>
      <c r="WGU18" s="64"/>
      <c r="WGV18" s="64"/>
      <c r="WGW18" s="64"/>
      <c r="WGX18" s="64"/>
      <c r="WGY18" s="64"/>
      <c r="WGZ18" s="64"/>
      <c r="WHA18" s="64"/>
      <c r="WHB18" s="64"/>
      <c r="WHC18" s="64"/>
      <c r="WHD18" s="64"/>
      <c r="WHE18" s="64"/>
      <c r="WHF18" s="64"/>
      <c r="WHG18" s="64"/>
      <c r="WHH18" s="64"/>
      <c r="WHI18" s="64"/>
      <c r="WHJ18" s="64"/>
      <c r="WHK18" s="64"/>
      <c r="WHL18" s="64"/>
      <c r="WHM18" s="64"/>
      <c r="WHN18" s="64"/>
      <c r="WHO18" s="64"/>
      <c r="WHP18" s="64"/>
      <c r="WHQ18" s="64"/>
      <c r="WHR18" s="64"/>
      <c r="WHS18" s="64"/>
      <c r="WHT18" s="64"/>
      <c r="WHU18" s="64"/>
      <c r="WHV18" s="64"/>
      <c r="WHW18" s="64"/>
      <c r="WHX18" s="64"/>
      <c r="WHY18" s="64"/>
      <c r="WHZ18" s="64"/>
      <c r="WIA18" s="64"/>
      <c r="WIB18" s="64"/>
      <c r="WIC18" s="64"/>
      <c r="WID18" s="64"/>
      <c r="WIE18" s="64"/>
      <c r="WIF18" s="64"/>
      <c r="WIG18" s="64"/>
      <c r="WIH18" s="64"/>
      <c r="WII18" s="64"/>
      <c r="WIJ18" s="64"/>
      <c r="WIK18" s="64"/>
      <c r="WIL18" s="64"/>
      <c r="WIM18" s="64"/>
      <c r="WIN18" s="64"/>
      <c r="WIO18" s="64"/>
      <c r="WIP18" s="64"/>
      <c r="WIQ18" s="64"/>
      <c r="WIR18" s="64"/>
      <c r="WIS18" s="64"/>
      <c r="WIT18" s="64"/>
      <c r="WIU18" s="64"/>
      <c r="WIV18" s="64"/>
      <c r="WIW18" s="64"/>
      <c r="WIX18" s="64"/>
      <c r="WIY18" s="64"/>
      <c r="WIZ18" s="64"/>
      <c r="WJA18" s="64"/>
      <c r="WJB18" s="64"/>
      <c r="WJC18" s="64"/>
      <c r="WJD18" s="64"/>
      <c r="WJE18" s="64"/>
      <c r="WJF18" s="64"/>
      <c r="WJG18" s="64"/>
      <c r="WJH18" s="64"/>
      <c r="WJI18" s="64"/>
      <c r="WJJ18" s="64"/>
      <c r="WJK18" s="64"/>
      <c r="WJL18" s="64"/>
      <c r="WJM18" s="64"/>
      <c r="WJN18" s="64"/>
      <c r="WJO18" s="64"/>
      <c r="WJP18" s="64"/>
      <c r="WJQ18" s="64"/>
      <c r="WJR18" s="64"/>
      <c r="WJS18" s="64"/>
      <c r="WJT18" s="64"/>
      <c r="WJU18" s="64"/>
      <c r="WJV18" s="64"/>
      <c r="WJW18" s="64"/>
      <c r="WJX18" s="64"/>
      <c r="WJY18" s="64"/>
      <c r="WJZ18" s="64"/>
      <c r="WKA18" s="64"/>
      <c r="WKB18" s="64"/>
      <c r="WKC18" s="64"/>
      <c r="WKD18" s="64"/>
      <c r="WKE18" s="64"/>
      <c r="WKF18" s="64"/>
      <c r="WKG18" s="64"/>
      <c r="WKH18" s="64"/>
      <c r="WKI18" s="64"/>
      <c r="WKJ18" s="64"/>
      <c r="WKK18" s="64"/>
      <c r="WKL18" s="64"/>
      <c r="WKM18" s="64"/>
      <c r="WKN18" s="64"/>
      <c r="WKO18" s="64"/>
      <c r="WKP18" s="64"/>
      <c r="WKQ18" s="64"/>
      <c r="WKR18" s="64"/>
      <c r="WKS18" s="64"/>
      <c r="WKT18" s="64"/>
      <c r="WKU18" s="64"/>
      <c r="WKV18" s="64"/>
      <c r="WKW18" s="64"/>
      <c r="WKX18" s="64"/>
      <c r="WKY18" s="64"/>
      <c r="WKZ18" s="64"/>
      <c r="WLA18" s="64"/>
      <c r="WLB18" s="64"/>
      <c r="WLC18" s="64"/>
      <c r="WLD18" s="64"/>
      <c r="WLE18" s="64"/>
      <c r="WLF18" s="64"/>
      <c r="WLG18" s="64"/>
      <c r="WLH18" s="64"/>
      <c r="WLI18" s="64"/>
      <c r="WLJ18" s="64"/>
      <c r="WLK18" s="64"/>
      <c r="WLL18" s="64"/>
      <c r="WLM18" s="64"/>
      <c r="WLN18" s="64"/>
      <c r="WLO18" s="64"/>
      <c r="WLP18" s="64"/>
      <c r="WLQ18" s="64"/>
      <c r="WLR18" s="64"/>
      <c r="WLS18" s="64"/>
      <c r="WLT18" s="64"/>
      <c r="WLU18" s="64"/>
      <c r="WLV18" s="64"/>
      <c r="WLW18" s="64"/>
      <c r="WLX18" s="64"/>
      <c r="WLY18" s="64"/>
      <c r="WLZ18" s="64"/>
      <c r="WMA18" s="64"/>
      <c r="WMB18" s="64"/>
      <c r="WMC18" s="64"/>
      <c r="WMD18" s="64"/>
      <c r="WME18" s="64"/>
      <c r="WMF18" s="64"/>
      <c r="WMG18" s="64"/>
      <c r="WMH18" s="64"/>
      <c r="WMI18" s="64"/>
      <c r="WMJ18" s="64"/>
      <c r="WMK18" s="64"/>
      <c r="WML18" s="64"/>
      <c r="WMM18" s="64"/>
      <c r="WMN18" s="64"/>
      <c r="WMO18" s="64"/>
      <c r="WMP18" s="64"/>
      <c r="WMQ18" s="64"/>
      <c r="WMR18" s="64"/>
      <c r="WMS18" s="64"/>
      <c r="WMT18" s="64"/>
      <c r="WMU18" s="64"/>
      <c r="WMV18" s="64"/>
      <c r="WMW18" s="64"/>
      <c r="WMX18" s="64"/>
      <c r="WMY18" s="64"/>
      <c r="WMZ18" s="64"/>
      <c r="WNA18" s="64"/>
      <c r="WNB18" s="64"/>
      <c r="WNC18" s="64"/>
      <c r="WND18" s="64"/>
      <c r="WNE18" s="64"/>
      <c r="WNF18" s="64"/>
      <c r="WNG18" s="64"/>
      <c r="WNH18" s="64"/>
      <c r="WNI18" s="64"/>
      <c r="WNJ18" s="64"/>
      <c r="WNK18" s="64"/>
      <c r="WNL18" s="64"/>
      <c r="WNM18" s="64"/>
      <c r="WNN18" s="64"/>
      <c r="WNO18" s="64"/>
      <c r="WNP18" s="64"/>
      <c r="WNQ18" s="64"/>
      <c r="WNR18" s="64"/>
      <c r="WNS18" s="64"/>
      <c r="WNT18" s="64"/>
      <c r="WNU18" s="64"/>
      <c r="WNV18" s="64"/>
      <c r="WNW18" s="64"/>
      <c r="WNX18" s="64"/>
      <c r="WNY18" s="64"/>
      <c r="WNZ18" s="64"/>
      <c r="WOA18" s="64"/>
      <c r="WOB18" s="64"/>
      <c r="WOC18" s="64"/>
      <c r="WOD18" s="64"/>
      <c r="WOE18" s="64"/>
      <c r="WOF18" s="64"/>
      <c r="WOG18" s="64"/>
      <c r="WOH18" s="64"/>
      <c r="WOI18" s="64"/>
      <c r="WOJ18" s="64"/>
      <c r="WOK18" s="64"/>
      <c r="WOL18" s="64"/>
      <c r="WOM18" s="64"/>
      <c r="WON18" s="64"/>
      <c r="WOO18" s="64"/>
      <c r="WOP18" s="64"/>
      <c r="WOQ18" s="64"/>
      <c r="WOR18" s="64"/>
      <c r="WOS18" s="64"/>
      <c r="WOT18" s="64"/>
      <c r="WOU18" s="64"/>
      <c r="WOV18" s="64"/>
      <c r="WOW18" s="64"/>
      <c r="WOX18" s="64"/>
      <c r="WOY18" s="64"/>
      <c r="WOZ18" s="64"/>
      <c r="WPA18" s="64"/>
      <c r="WPB18" s="64"/>
      <c r="WPC18" s="64"/>
      <c r="WPD18" s="64"/>
      <c r="WPE18" s="64"/>
      <c r="WPF18" s="64"/>
      <c r="WPG18" s="64"/>
      <c r="WPH18" s="64"/>
      <c r="WPI18" s="64"/>
      <c r="WPJ18" s="64"/>
      <c r="WPK18" s="64"/>
      <c r="WPL18" s="64"/>
      <c r="WPM18" s="64"/>
      <c r="WPN18" s="64"/>
      <c r="WPO18" s="64"/>
      <c r="WPP18" s="64"/>
      <c r="WPQ18" s="64"/>
      <c r="WPR18" s="64"/>
      <c r="WPS18" s="64"/>
      <c r="WPT18" s="64"/>
      <c r="WPU18" s="64"/>
      <c r="WPV18" s="64"/>
      <c r="WPW18" s="64"/>
      <c r="WPX18" s="64"/>
      <c r="WPY18" s="64"/>
      <c r="WPZ18" s="64"/>
      <c r="WQA18" s="64"/>
      <c r="WQB18" s="64"/>
      <c r="WQC18" s="64"/>
      <c r="WQD18" s="64"/>
      <c r="WQE18" s="64"/>
      <c r="WQF18" s="64"/>
      <c r="WQG18" s="64"/>
      <c r="WQH18" s="64"/>
      <c r="WQI18" s="64"/>
      <c r="WQJ18" s="64"/>
      <c r="WQK18" s="64"/>
      <c r="WQL18" s="64"/>
      <c r="WQM18" s="64"/>
      <c r="WQN18" s="64"/>
      <c r="WQO18" s="64"/>
      <c r="WQP18" s="64"/>
      <c r="WQQ18" s="64"/>
      <c r="WQR18" s="64"/>
      <c r="WQS18" s="64"/>
      <c r="WQT18" s="64"/>
      <c r="WQU18" s="64"/>
      <c r="WQV18" s="64"/>
      <c r="WQW18" s="64"/>
      <c r="WQX18" s="64"/>
      <c r="WQY18" s="64"/>
      <c r="WQZ18" s="64"/>
      <c r="WRA18" s="64"/>
      <c r="WRB18" s="64"/>
      <c r="WRC18" s="64"/>
      <c r="WRD18" s="64"/>
      <c r="WRE18" s="64"/>
      <c r="WRF18" s="64"/>
      <c r="WRG18" s="64"/>
      <c r="WRH18" s="64"/>
      <c r="WRI18" s="64"/>
      <c r="WRJ18" s="64"/>
      <c r="WRK18" s="64"/>
      <c r="WRL18" s="64"/>
      <c r="WRM18" s="64"/>
      <c r="WRN18" s="64"/>
      <c r="WRO18" s="64"/>
      <c r="WRP18" s="64"/>
      <c r="WRQ18" s="64"/>
      <c r="WRR18" s="64"/>
      <c r="WRS18" s="64"/>
      <c r="WRT18" s="64"/>
      <c r="WRU18" s="64"/>
      <c r="WRV18" s="64"/>
      <c r="WRW18" s="64"/>
      <c r="WRX18" s="64"/>
      <c r="WRY18" s="64"/>
      <c r="WRZ18" s="64"/>
      <c r="WSA18" s="64"/>
      <c r="WSB18" s="64"/>
      <c r="WSC18" s="64"/>
      <c r="WSD18" s="64"/>
      <c r="WSE18" s="64"/>
      <c r="WSF18" s="64"/>
      <c r="WSG18" s="64"/>
      <c r="WSH18" s="64"/>
      <c r="WSI18" s="64"/>
      <c r="WSJ18" s="64"/>
      <c r="WSK18" s="64"/>
      <c r="WSL18" s="64"/>
      <c r="WSM18" s="64"/>
      <c r="WSN18" s="64"/>
      <c r="WSO18" s="64"/>
      <c r="WSP18" s="64"/>
      <c r="WSQ18" s="64"/>
      <c r="WSR18" s="64"/>
      <c r="WSS18" s="64"/>
      <c r="WST18" s="64"/>
      <c r="WSU18" s="64"/>
      <c r="WSV18" s="64"/>
      <c r="WSW18" s="64"/>
      <c r="WSX18" s="64"/>
      <c r="WSY18" s="64"/>
      <c r="WSZ18" s="64"/>
      <c r="WTA18" s="64"/>
      <c r="WTB18" s="64"/>
      <c r="WTC18" s="64"/>
      <c r="WTD18" s="64"/>
      <c r="WTE18" s="64"/>
      <c r="WTF18" s="64"/>
      <c r="WTG18" s="64"/>
      <c r="WTH18" s="64"/>
      <c r="WTI18" s="64"/>
      <c r="WTJ18" s="64"/>
      <c r="WTK18" s="64"/>
      <c r="WTL18" s="64"/>
      <c r="WTM18" s="64"/>
      <c r="WTN18" s="64"/>
      <c r="WTO18" s="64"/>
      <c r="WTP18" s="64"/>
      <c r="WTQ18" s="64"/>
      <c r="WTR18" s="64"/>
      <c r="WTS18" s="64"/>
      <c r="WTT18" s="64"/>
      <c r="WTU18" s="64"/>
      <c r="WTV18" s="64"/>
      <c r="WTW18" s="64"/>
      <c r="WTX18" s="64"/>
      <c r="WTY18" s="64"/>
      <c r="WTZ18" s="64"/>
      <c r="WUA18" s="64"/>
      <c r="WUB18" s="64"/>
      <c r="WUC18" s="64"/>
      <c r="WUD18" s="64"/>
      <c r="WUE18" s="64"/>
      <c r="WUF18" s="64"/>
      <c r="WUG18" s="64"/>
      <c r="WUH18" s="64"/>
      <c r="WUI18" s="64"/>
      <c r="WUJ18" s="64"/>
      <c r="WUK18" s="64"/>
      <c r="WUL18" s="64"/>
      <c r="WUM18" s="64"/>
      <c r="WUN18" s="64"/>
      <c r="WUO18" s="64"/>
      <c r="WUP18" s="64"/>
      <c r="WUQ18" s="64"/>
      <c r="WUR18" s="64"/>
      <c r="WUS18" s="64"/>
      <c r="WUT18" s="64"/>
      <c r="WUU18" s="64"/>
      <c r="WUV18" s="64"/>
      <c r="WUW18" s="64"/>
      <c r="WUX18" s="64"/>
      <c r="WUY18" s="64"/>
      <c r="WUZ18" s="64"/>
      <c r="WVA18" s="64"/>
      <c r="WVB18" s="64"/>
      <c r="WVC18" s="64"/>
      <c r="WVD18" s="64"/>
      <c r="WVE18" s="64"/>
      <c r="WVF18" s="64"/>
      <c r="WVG18" s="64"/>
      <c r="WVH18" s="64"/>
      <c r="WVI18" s="64"/>
      <c r="WVJ18" s="64"/>
      <c r="WVK18" s="64"/>
      <c r="WVL18" s="64"/>
      <c r="WVM18" s="64"/>
      <c r="WVN18" s="64"/>
      <c r="WVO18" s="64"/>
      <c r="WVP18" s="64"/>
      <c r="WVQ18" s="64"/>
      <c r="WVR18" s="64"/>
      <c r="WVS18" s="64"/>
      <c r="WVT18" s="64"/>
      <c r="WVU18" s="64"/>
      <c r="WVV18" s="64"/>
      <c r="WVW18" s="64"/>
      <c r="WVX18" s="64"/>
      <c r="WVY18" s="64"/>
      <c r="WVZ18" s="64"/>
      <c r="WWA18" s="64"/>
      <c r="WWB18" s="64"/>
      <c r="WWC18" s="64"/>
      <c r="WWD18" s="64"/>
      <c r="WWE18" s="64"/>
      <c r="WWF18" s="64"/>
      <c r="WWG18" s="64"/>
      <c r="WWH18" s="64"/>
      <c r="WWI18" s="64"/>
      <c r="WWJ18" s="64"/>
      <c r="WWK18" s="64"/>
      <c r="WWL18" s="64"/>
      <c r="WWM18" s="64"/>
      <c r="WWN18" s="64"/>
      <c r="WWO18" s="64"/>
      <c r="WWP18" s="64"/>
      <c r="WWQ18" s="64"/>
      <c r="WWR18" s="64"/>
      <c r="WWS18" s="64"/>
      <c r="WWT18" s="64"/>
      <c r="WWU18" s="64"/>
      <c r="WWV18" s="64"/>
      <c r="WWW18" s="64"/>
      <c r="WWX18" s="64"/>
      <c r="WWY18" s="64"/>
      <c r="WWZ18" s="64"/>
      <c r="WXA18" s="64"/>
      <c r="WXB18" s="64"/>
      <c r="WXC18" s="64"/>
      <c r="WXD18" s="64"/>
      <c r="WXE18" s="64"/>
      <c r="WXF18" s="64"/>
      <c r="WXG18" s="64"/>
      <c r="WXH18" s="64"/>
      <c r="WXI18" s="64"/>
      <c r="WXJ18" s="64"/>
      <c r="WXK18" s="64"/>
      <c r="WXL18" s="64"/>
      <c r="WXM18" s="64"/>
      <c r="WXN18" s="64"/>
      <c r="WXO18" s="64"/>
      <c r="WXP18" s="64"/>
      <c r="WXQ18" s="64"/>
      <c r="WXR18" s="64"/>
      <c r="WXS18" s="64"/>
      <c r="WXT18" s="64"/>
      <c r="WXU18" s="64"/>
      <c r="WXV18" s="64"/>
      <c r="WXW18" s="64"/>
      <c r="WXX18" s="64"/>
      <c r="WXY18" s="64"/>
      <c r="WXZ18" s="64"/>
      <c r="WYA18" s="64"/>
      <c r="WYB18" s="64"/>
      <c r="WYC18" s="64"/>
      <c r="WYD18" s="64"/>
      <c r="WYE18" s="64"/>
      <c r="WYF18" s="64"/>
      <c r="WYG18" s="64"/>
      <c r="WYH18" s="64"/>
      <c r="WYI18" s="64"/>
      <c r="WYJ18" s="64"/>
      <c r="WYK18" s="64"/>
      <c r="WYL18" s="64"/>
      <c r="WYM18" s="64"/>
      <c r="WYN18" s="64"/>
      <c r="WYO18" s="64"/>
      <c r="WYP18" s="64"/>
      <c r="WYQ18" s="64"/>
      <c r="WYR18" s="64"/>
      <c r="WYS18" s="64"/>
      <c r="WYT18" s="64"/>
      <c r="WYU18" s="64"/>
      <c r="WYV18" s="64"/>
      <c r="WYW18" s="64"/>
      <c r="WYX18" s="64"/>
      <c r="WYY18" s="64"/>
      <c r="WYZ18" s="64"/>
      <c r="WZA18" s="64"/>
      <c r="WZB18" s="64"/>
      <c r="WZC18" s="64"/>
      <c r="WZD18" s="64"/>
      <c r="WZE18" s="64"/>
      <c r="WZF18" s="64"/>
      <c r="WZG18" s="64"/>
      <c r="WZH18" s="64"/>
      <c r="WZI18" s="64"/>
      <c r="WZJ18" s="64"/>
      <c r="WZK18" s="64"/>
      <c r="WZL18" s="64"/>
      <c r="WZM18" s="64"/>
      <c r="WZN18" s="64"/>
      <c r="WZO18" s="64"/>
      <c r="WZP18" s="64"/>
      <c r="WZQ18" s="64"/>
      <c r="WZR18" s="64"/>
      <c r="WZS18" s="64"/>
      <c r="WZT18" s="64"/>
      <c r="WZU18" s="64"/>
      <c r="WZV18" s="64"/>
      <c r="WZW18" s="64"/>
      <c r="WZX18" s="64"/>
      <c r="WZY18" s="64"/>
      <c r="WZZ18" s="64"/>
      <c r="XAA18" s="64"/>
      <c r="XAB18" s="64"/>
      <c r="XAC18" s="64"/>
      <c r="XAD18" s="64"/>
      <c r="XAE18" s="64"/>
      <c r="XAF18" s="64"/>
      <c r="XAG18" s="64"/>
      <c r="XAH18" s="64"/>
      <c r="XAI18" s="64"/>
      <c r="XAJ18" s="64"/>
      <c r="XAK18" s="64"/>
      <c r="XAL18" s="64"/>
      <c r="XAM18" s="64"/>
      <c r="XAN18" s="64"/>
      <c r="XAO18" s="64"/>
      <c r="XAP18" s="64"/>
      <c r="XAQ18" s="64"/>
      <c r="XAR18" s="64"/>
      <c r="XAS18" s="64"/>
      <c r="XAT18" s="64"/>
      <c r="XAU18" s="64"/>
      <c r="XAV18" s="64"/>
      <c r="XAW18" s="64"/>
      <c r="XAX18" s="64"/>
      <c r="XAY18" s="64"/>
      <c r="XAZ18" s="64"/>
      <c r="XBA18" s="64"/>
      <c r="XBB18" s="64"/>
      <c r="XBC18" s="64"/>
      <c r="XBD18" s="64"/>
      <c r="XBE18" s="64"/>
      <c r="XBF18" s="64"/>
      <c r="XBG18" s="64"/>
      <c r="XBH18" s="64"/>
      <c r="XBI18" s="64"/>
      <c r="XBJ18" s="64"/>
      <c r="XBK18" s="64"/>
      <c r="XBL18" s="64"/>
      <c r="XBM18" s="64"/>
      <c r="XBN18" s="64"/>
      <c r="XBO18" s="64"/>
      <c r="XBP18" s="64"/>
      <c r="XBQ18" s="64"/>
      <c r="XBR18" s="64"/>
      <c r="XBS18" s="64"/>
      <c r="XBT18" s="64"/>
      <c r="XBU18" s="64"/>
      <c r="XBV18" s="64"/>
      <c r="XBW18" s="64"/>
      <c r="XBX18" s="64"/>
      <c r="XBY18" s="64"/>
      <c r="XBZ18" s="64"/>
      <c r="XCA18" s="64"/>
      <c r="XCB18" s="64"/>
      <c r="XCC18" s="64"/>
      <c r="XCD18" s="64"/>
      <c r="XCE18" s="64"/>
      <c r="XCF18" s="64"/>
      <c r="XCG18" s="64"/>
      <c r="XCH18" s="64"/>
      <c r="XCI18" s="64"/>
      <c r="XCJ18" s="64"/>
      <c r="XCK18" s="64"/>
      <c r="XCL18" s="64"/>
      <c r="XCM18" s="64"/>
      <c r="XCN18" s="64"/>
      <c r="XCO18" s="64"/>
      <c r="XCP18" s="64"/>
      <c r="XCQ18" s="64"/>
      <c r="XCR18" s="64"/>
      <c r="XCS18" s="64"/>
      <c r="XCT18" s="64"/>
      <c r="XCU18" s="64"/>
      <c r="XCV18" s="64"/>
      <c r="XCW18" s="64"/>
      <c r="XCX18" s="64"/>
      <c r="XCY18" s="64"/>
      <c r="XCZ18" s="64"/>
      <c r="XDA18" s="64"/>
      <c r="XDB18" s="64"/>
      <c r="XDC18" s="64"/>
      <c r="XDD18" s="64"/>
      <c r="XDE18" s="64"/>
      <c r="XDF18" s="64"/>
      <c r="XDG18" s="64"/>
      <c r="XDH18" s="64"/>
      <c r="XDI18" s="64"/>
      <c r="XDJ18" s="64"/>
      <c r="XDK18" s="64"/>
      <c r="XDL18" s="64"/>
      <c r="XDM18" s="64"/>
      <c r="XDN18" s="64"/>
      <c r="XDO18" s="64"/>
      <c r="XDP18" s="64"/>
      <c r="XDQ18" s="64"/>
      <c r="XDR18" s="64"/>
      <c r="XDS18" s="64"/>
      <c r="XDT18" s="64"/>
      <c r="XDU18" s="64"/>
      <c r="XDV18" s="64"/>
      <c r="XDW18" s="64"/>
      <c r="XDX18" s="64"/>
      <c r="XDY18" s="64"/>
      <c r="XDZ18" s="64"/>
      <c r="XEA18" s="64"/>
      <c r="XEB18" s="64"/>
      <c r="XEC18" s="64"/>
      <c r="XED18" s="64"/>
      <c r="XEE18" s="64"/>
      <c r="XEF18" s="64"/>
      <c r="XEG18" s="64"/>
      <c r="XEH18" s="64"/>
      <c r="XEI18" s="64"/>
      <c r="XEJ18" s="64"/>
      <c r="XEK18" s="64"/>
      <c r="XEL18" s="64"/>
      <c r="XEM18" s="64"/>
      <c r="XEN18" s="64"/>
      <c r="XEO18" s="64"/>
      <c r="XEP18" s="64"/>
      <c r="XEQ18" s="64"/>
      <c r="XER18" s="64"/>
      <c r="XES18" s="64"/>
      <c r="XET18" s="64"/>
      <c r="XEU18" s="64"/>
      <c r="XEV18" s="64"/>
      <c r="XEW18" s="64"/>
      <c r="XEX18" s="64"/>
      <c r="XEY18" s="64"/>
      <c r="XEZ18" s="64"/>
      <c r="XFA18" s="64"/>
      <c r="XFB18" s="64"/>
      <c r="XFC18" s="64"/>
      <c r="XFD18" s="64"/>
    </row>
    <row r="19" customFormat="1" ht="25.95" customHeight="1" spans="1:16384">
      <c r="A19" s="1" t="s">
        <v>157</v>
      </c>
      <c r="B19" s="221" t="s">
        <v>171</v>
      </c>
      <c r="C19" s="1"/>
      <c r="D19" s="1">
        <v>4</v>
      </c>
      <c r="E19" s="1"/>
      <c r="F19" s="1"/>
      <c r="G19" s="1">
        <v>12</v>
      </c>
      <c r="H19" s="1"/>
      <c r="I19" s="1"/>
      <c r="J19" s="1"/>
      <c r="K19" s="1"/>
      <c r="L19" s="1"/>
      <c r="M19" s="1"/>
      <c r="N19" s="1"/>
      <c r="O19" s="1"/>
      <c r="P19" s="1"/>
      <c r="Q19" s="75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  <c r="FN19" s="64"/>
      <c r="FO19" s="64"/>
      <c r="FP19" s="64"/>
      <c r="FQ19" s="64"/>
      <c r="FR19" s="64"/>
      <c r="FS19" s="64"/>
      <c r="FT19" s="64"/>
      <c r="FU19" s="64"/>
      <c r="FV19" s="64"/>
      <c r="FW19" s="64"/>
      <c r="FX19" s="64"/>
      <c r="FY19" s="64"/>
      <c r="FZ19" s="64"/>
      <c r="GA19" s="64"/>
      <c r="GB19" s="64"/>
      <c r="GC19" s="64"/>
      <c r="GD19" s="64"/>
      <c r="GE19" s="64"/>
      <c r="GF19" s="64"/>
      <c r="GG19" s="64"/>
      <c r="GH19" s="64"/>
      <c r="GI19" s="64"/>
      <c r="GJ19" s="64"/>
      <c r="GK19" s="64"/>
      <c r="GL19" s="64"/>
      <c r="GM19" s="64"/>
      <c r="GN19" s="64"/>
      <c r="GO19" s="64"/>
      <c r="GP19" s="64"/>
      <c r="GQ19" s="64"/>
      <c r="GR19" s="64"/>
      <c r="GS19" s="64"/>
      <c r="GT19" s="64"/>
      <c r="GU19" s="64"/>
      <c r="GV19" s="64"/>
      <c r="GW19" s="64"/>
      <c r="GX19" s="64"/>
      <c r="GY19" s="64"/>
      <c r="GZ19" s="64"/>
      <c r="HA19" s="64"/>
      <c r="HB19" s="64"/>
      <c r="HC19" s="64"/>
      <c r="HD19" s="64"/>
      <c r="HE19" s="64"/>
      <c r="HF19" s="64"/>
      <c r="HG19" s="64"/>
      <c r="HH19" s="64"/>
      <c r="HI19" s="64"/>
      <c r="HJ19" s="64"/>
      <c r="HK19" s="64"/>
      <c r="HL19" s="64"/>
      <c r="HM19" s="64"/>
      <c r="HN19" s="64"/>
      <c r="HO19" s="64"/>
      <c r="HP19" s="64"/>
      <c r="HQ19" s="64"/>
      <c r="HR19" s="64"/>
      <c r="HS19" s="64"/>
      <c r="HT19" s="64"/>
      <c r="HU19" s="64"/>
      <c r="HV19" s="64"/>
      <c r="HW19" s="64"/>
      <c r="HX19" s="64"/>
      <c r="HY19" s="64"/>
      <c r="HZ19" s="64"/>
      <c r="IA19" s="64"/>
      <c r="IB19" s="64"/>
      <c r="IC19" s="64"/>
      <c r="ID19" s="64"/>
      <c r="IE19" s="64"/>
      <c r="IF19" s="64"/>
      <c r="IG19" s="64"/>
      <c r="IH19" s="64"/>
      <c r="II19" s="64"/>
      <c r="IJ19" s="64"/>
      <c r="IK19" s="64"/>
      <c r="IL19" s="64"/>
      <c r="IM19" s="64"/>
      <c r="IN19" s="64"/>
      <c r="IO19" s="64"/>
      <c r="IP19" s="64"/>
      <c r="IQ19" s="64"/>
      <c r="IR19" s="64"/>
      <c r="IS19" s="64"/>
      <c r="IT19" s="64"/>
      <c r="IU19" s="64"/>
      <c r="IV19" s="64"/>
      <c r="IW19" s="64"/>
      <c r="IX19" s="64"/>
      <c r="IY19" s="64"/>
      <c r="IZ19" s="64"/>
      <c r="JA19" s="64"/>
      <c r="JB19" s="64"/>
      <c r="JC19" s="64"/>
      <c r="JD19" s="64"/>
      <c r="JE19" s="64"/>
      <c r="JF19" s="64"/>
      <c r="JG19" s="64"/>
      <c r="JH19" s="64"/>
      <c r="JI19" s="64"/>
      <c r="JJ19" s="64"/>
      <c r="JK19" s="64"/>
      <c r="JL19" s="64"/>
      <c r="JM19" s="64"/>
      <c r="JN19" s="64"/>
      <c r="JO19" s="64"/>
      <c r="JP19" s="64"/>
      <c r="JQ19" s="64"/>
      <c r="JR19" s="64"/>
      <c r="JS19" s="64"/>
      <c r="JT19" s="64"/>
      <c r="JU19" s="64"/>
      <c r="JV19" s="64"/>
      <c r="JW19" s="64"/>
      <c r="JX19" s="64"/>
      <c r="JY19" s="64"/>
      <c r="JZ19" s="64"/>
      <c r="KA19" s="64"/>
      <c r="KB19" s="64"/>
      <c r="KC19" s="64"/>
      <c r="KD19" s="64"/>
      <c r="KE19" s="64"/>
      <c r="KF19" s="64"/>
      <c r="KG19" s="64"/>
      <c r="KH19" s="64"/>
      <c r="KI19" s="64"/>
      <c r="KJ19" s="64"/>
      <c r="KK19" s="64"/>
      <c r="KL19" s="64"/>
      <c r="KM19" s="64"/>
      <c r="KN19" s="64"/>
      <c r="KO19" s="64"/>
      <c r="KP19" s="64"/>
      <c r="KQ19" s="64"/>
      <c r="KR19" s="64"/>
      <c r="KS19" s="64"/>
      <c r="KT19" s="64"/>
      <c r="KU19" s="64"/>
      <c r="KV19" s="64"/>
      <c r="KW19" s="64"/>
      <c r="KX19" s="64"/>
      <c r="KY19" s="64"/>
      <c r="KZ19" s="64"/>
      <c r="LA19" s="64"/>
      <c r="LB19" s="64"/>
      <c r="LC19" s="64"/>
      <c r="LD19" s="64"/>
      <c r="LE19" s="64"/>
      <c r="LF19" s="64"/>
      <c r="LG19" s="64"/>
      <c r="LH19" s="64"/>
      <c r="LI19" s="64"/>
      <c r="LJ19" s="64"/>
      <c r="LK19" s="64"/>
      <c r="LL19" s="64"/>
      <c r="LM19" s="64"/>
      <c r="LN19" s="64"/>
      <c r="LO19" s="64"/>
      <c r="LP19" s="64"/>
      <c r="LQ19" s="64"/>
      <c r="LR19" s="64"/>
      <c r="LS19" s="64"/>
      <c r="LT19" s="64"/>
      <c r="LU19" s="64"/>
      <c r="LV19" s="64"/>
      <c r="LW19" s="64"/>
      <c r="LX19" s="64"/>
      <c r="LY19" s="64"/>
      <c r="LZ19" s="64"/>
      <c r="MA19" s="64"/>
      <c r="MB19" s="64"/>
      <c r="MC19" s="64"/>
      <c r="MD19" s="64"/>
      <c r="ME19" s="64"/>
      <c r="MF19" s="64"/>
      <c r="MG19" s="64"/>
      <c r="MH19" s="64"/>
      <c r="MI19" s="64"/>
      <c r="MJ19" s="64"/>
      <c r="MK19" s="64"/>
      <c r="ML19" s="64"/>
      <c r="MM19" s="64"/>
      <c r="MN19" s="64"/>
      <c r="MO19" s="64"/>
      <c r="MP19" s="64"/>
      <c r="MQ19" s="64"/>
      <c r="MR19" s="64"/>
      <c r="MS19" s="64"/>
      <c r="MT19" s="64"/>
      <c r="MU19" s="64"/>
      <c r="MV19" s="64"/>
      <c r="MW19" s="64"/>
      <c r="MX19" s="64"/>
      <c r="MY19" s="64"/>
      <c r="MZ19" s="64"/>
      <c r="NA19" s="64"/>
      <c r="NB19" s="64"/>
      <c r="NC19" s="64"/>
      <c r="ND19" s="64"/>
      <c r="NE19" s="64"/>
      <c r="NF19" s="64"/>
      <c r="NG19" s="64"/>
      <c r="NH19" s="64"/>
      <c r="NI19" s="64"/>
      <c r="NJ19" s="64"/>
      <c r="NK19" s="64"/>
      <c r="NL19" s="64"/>
      <c r="NM19" s="64"/>
      <c r="NN19" s="64"/>
      <c r="NO19" s="64"/>
      <c r="NP19" s="64"/>
      <c r="NQ19" s="64"/>
      <c r="NR19" s="64"/>
      <c r="NS19" s="64"/>
      <c r="NT19" s="64"/>
      <c r="NU19" s="64"/>
      <c r="NV19" s="64"/>
      <c r="NW19" s="64"/>
      <c r="NX19" s="64"/>
      <c r="NY19" s="64"/>
      <c r="NZ19" s="64"/>
      <c r="OA19" s="64"/>
      <c r="OB19" s="64"/>
      <c r="OC19" s="64"/>
      <c r="OD19" s="64"/>
      <c r="OE19" s="64"/>
      <c r="OF19" s="64"/>
      <c r="OG19" s="64"/>
      <c r="OH19" s="64"/>
      <c r="OI19" s="64"/>
      <c r="OJ19" s="64"/>
      <c r="OK19" s="64"/>
      <c r="OL19" s="64"/>
      <c r="OM19" s="64"/>
      <c r="ON19" s="64"/>
      <c r="OO19" s="64"/>
      <c r="OP19" s="64"/>
      <c r="OQ19" s="64"/>
      <c r="OR19" s="64"/>
      <c r="OS19" s="64"/>
      <c r="OT19" s="64"/>
      <c r="OU19" s="64"/>
      <c r="OV19" s="64"/>
      <c r="OW19" s="64"/>
      <c r="OX19" s="64"/>
      <c r="OY19" s="64"/>
      <c r="OZ19" s="64"/>
      <c r="PA19" s="64"/>
      <c r="PB19" s="64"/>
      <c r="PC19" s="64"/>
      <c r="PD19" s="64"/>
      <c r="PE19" s="64"/>
      <c r="PF19" s="64"/>
      <c r="PG19" s="64"/>
      <c r="PH19" s="64"/>
      <c r="PI19" s="64"/>
      <c r="PJ19" s="64"/>
      <c r="PK19" s="64"/>
      <c r="PL19" s="64"/>
      <c r="PM19" s="64"/>
      <c r="PN19" s="64"/>
      <c r="PO19" s="64"/>
      <c r="PP19" s="64"/>
      <c r="PQ19" s="64"/>
      <c r="PR19" s="64"/>
      <c r="PS19" s="64"/>
      <c r="PT19" s="64"/>
      <c r="PU19" s="64"/>
      <c r="PV19" s="64"/>
      <c r="PW19" s="64"/>
      <c r="PX19" s="64"/>
      <c r="PY19" s="64"/>
      <c r="PZ19" s="64"/>
      <c r="QA19" s="64"/>
      <c r="QB19" s="64"/>
      <c r="QC19" s="64"/>
      <c r="QD19" s="64"/>
      <c r="QE19" s="64"/>
      <c r="QF19" s="64"/>
      <c r="QG19" s="64"/>
      <c r="QH19" s="64"/>
      <c r="QI19" s="64"/>
      <c r="QJ19" s="64"/>
      <c r="QK19" s="64"/>
      <c r="QL19" s="64"/>
      <c r="QM19" s="64"/>
      <c r="QN19" s="64"/>
      <c r="QO19" s="64"/>
      <c r="QP19" s="64"/>
      <c r="QQ19" s="64"/>
      <c r="QR19" s="64"/>
      <c r="QS19" s="64"/>
      <c r="QT19" s="64"/>
      <c r="QU19" s="64"/>
      <c r="QV19" s="64"/>
      <c r="QW19" s="64"/>
      <c r="QX19" s="64"/>
      <c r="QY19" s="64"/>
      <c r="QZ19" s="64"/>
      <c r="RA19" s="64"/>
      <c r="RB19" s="64"/>
      <c r="RC19" s="64"/>
      <c r="RD19" s="64"/>
      <c r="RE19" s="64"/>
      <c r="RF19" s="64"/>
      <c r="RG19" s="64"/>
      <c r="RH19" s="64"/>
      <c r="RI19" s="64"/>
      <c r="RJ19" s="64"/>
      <c r="RK19" s="64"/>
      <c r="RL19" s="64"/>
      <c r="RM19" s="64"/>
      <c r="RN19" s="64"/>
      <c r="RO19" s="64"/>
      <c r="RP19" s="64"/>
      <c r="RQ19" s="64"/>
      <c r="RR19" s="64"/>
      <c r="RS19" s="64"/>
      <c r="RT19" s="64"/>
      <c r="RU19" s="64"/>
      <c r="RV19" s="64"/>
      <c r="RW19" s="64"/>
      <c r="RX19" s="64"/>
      <c r="RY19" s="64"/>
      <c r="RZ19" s="64"/>
      <c r="SA19" s="64"/>
      <c r="SB19" s="64"/>
      <c r="SC19" s="64"/>
      <c r="SD19" s="64"/>
      <c r="SE19" s="64"/>
      <c r="SF19" s="64"/>
      <c r="SG19" s="64"/>
      <c r="SH19" s="64"/>
      <c r="SI19" s="64"/>
      <c r="SJ19" s="64"/>
      <c r="SK19" s="64"/>
      <c r="SL19" s="64"/>
      <c r="SM19" s="64"/>
      <c r="SN19" s="64"/>
      <c r="SO19" s="64"/>
      <c r="SP19" s="64"/>
      <c r="SQ19" s="64"/>
      <c r="SR19" s="64"/>
      <c r="SS19" s="64"/>
      <c r="ST19" s="64"/>
      <c r="SU19" s="64"/>
      <c r="SV19" s="64"/>
      <c r="SW19" s="64"/>
      <c r="SX19" s="64"/>
      <c r="SY19" s="64"/>
      <c r="SZ19" s="64"/>
      <c r="TA19" s="64"/>
      <c r="TB19" s="64"/>
      <c r="TC19" s="64"/>
      <c r="TD19" s="64"/>
      <c r="TE19" s="64"/>
      <c r="TF19" s="64"/>
      <c r="TG19" s="64"/>
      <c r="TH19" s="64"/>
      <c r="TI19" s="64"/>
      <c r="TJ19" s="64"/>
      <c r="TK19" s="64"/>
      <c r="TL19" s="64"/>
      <c r="TM19" s="64"/>
      <c r="TN19" s="64"/>
      <c r="TO19" s="64"/>
      <c r="TP19" s="64"/>
      <c r="TQ19" s="64"/>
      <c r="TR19" s="64"/>
      <c r="TS19" s="64"/>
      <c r="TT19" s="64"/>
      <c r="TU19" s="64"/>
      <c r="TV19" s="64"/>
      <c r="TW19" s="64"/>
      <c r="TX19" s="64"/>
      <c r="TY19" s="64"/>
      <c r="TZ19" s="64"/>
      <c r="UA19" s="64"/>
      <c r="UB19" s="64"/>
      <c r="UC19" s="64"/>
      <c r="UD19" s="64"/>
      <c r="UE19" s="64"/>
      <c r="UF19" s="64"/>
      <c r="UG19" s="64"/>
      <c r="UH19" s="64"/>
      <c r="UI19" s="64"/>
      <c r="UJ19" s="64"/>
      <c r="UK19" s="64"/>
      <c r="UL19" s="64"/>
      <c r="UM19" s="64"/>
      <c r="UN19" s="64"/>
      <c r="UO19" s="64"/>
      <c r="UP19" s="64"/>
      <c r="UQ19" s="64"/>
      <c r="UR19" s="64"/>
      <c r="US19" s="64"/>
      <c r="UT19" s="64"/>
      <c r="UU19" s="64"/>
      <c r="UV19" s="64"/>
      <c r="UW19" s="64"/>
      <c r="UX19" s="64"/>
      <c r="UY19" s="64"/>
      <c r="UZ19" s="64"/>
      <c r="VA19" s="64"/>
      <c r="VB19" s="64"/>
      <c r="VC19" s="64"/>
      <c r="VD19" s="64"/>
      <c r="VE19" s="64"/>
      <c r="VF19" s="64"/>
      <c r="VG19" s="64"/>
      <c r="VH19" s="64"/>
      <c r="VI19" s="64"/>
      <c r="VJ19" s="64"/>
      <c r="VK19" s="64"/>
      <c r="VL19" s="64"/>
      <c r="VM19" s="64"/>
      <c r="VN19" s="64"/>
      <c r="VO19" s="64"/>
      <c r="VP19" s="64"/>
      <c r="VQ19" s="64"/>
      <c r="VR19" s="64"/>
      <c r="VS19" s="64"/>
      <c r="VT19" s="64"/>
      <c r="VU19" s="64"/>
      <c r="VV19" s="64"/>
      <c r="VW19" s="64"/>
      <c r="VX19" s="64"/>
      <c r="VY19" s="64"/>
      <c r="VZ19" s="64"/>
      <c r="WA19" s="64"/>
      <c r="WB19" s="64"/>
      <c r="WC19" s="64"/>
      <c r="WD19" s="64"/>
      <c r="WE19" s="64"/>
      <c r="WF19" s="64"/>
      <c r="WG19" s="64"/>
      <c r="WH19" s="64"/>
      <c r="WI19" s="64"/>
      <c r="WJ19" s="64"/>
      <c r="WK19" s="64"/>
      <c r="WL19" s="64"/>
      <c r="WM19" s="64"/>
      <c r="WN19" s="64"/>
      <c r="WO19" s="64"/>
      <c r="WP19" s="64"/>
      <c r="WQ19" s="64"/>
      <c r="WR19" s="64"/>
      <c r="WS19" s="64"/>
      <c r="WT19" s="64"/>
      <c r="WU19" s="64"/>
      <c r="WV19" s="64"/>
      <c r="WW19" s="64"/>
      <c r="WX19" s="64"/>
      <c r="WY19" s="64"/>
      <c r="WZ19" s="64"/>
      <c r="XA19" s="64"/>
      <c r="XB19" s="64"/>
      <c r="XC19" s="64"/>
      <c r="XD19" s="64"/>
      <c r="XE19" s="64"/>
      <c r="XF19" s="64"/>
      <c r="XG19" s="64"/>
      <c r="XH19" s="64"/>
      <c r="XI19" s="64"/>
      <c r="XJ19" s="64"/>
      <c r="XK19" s="64"/>
      <c r="XL19" s="64"/>
      <c r="XM19" s="64"/>
      <c r="XN19" s="64"/>
      <c r="XO19" s="64"/>
      <c r="XP19" s="64"/>
      <c r="XQ19" s="64"/>
      <c r="XR19" s="64"/>
      <c r="XS19" s="64"/>
      <c r="XT19" s="64"/>
      <c r="XU19" s="64"/>
      <c r="XV19" s="64"/>
      <c r="XW19" s="64"/>
      <c r="XX19" s="64"/>
      <c r="XY19" s="64"/>
      <c r="XZ19" s="64"/>
      <c r="YA19" s="64"/>
      <c r="YB19" s="64"/>
      <c r="YC19" s="64"/>
      <c r="YD19" s="64"/>
      <c r="YE19" s="64"/>
      <c r="YF19" s="64"/>
      <c r="YG19" s="64"/>
      <c r="YH19" s="64"/>
      <c r="YI19" s="64"/>
      <c r="YJ19" s="64"/>
      <c r="YK19" s="64"/>
      <c r="YL19" s="64"/>
      <c r="YM19" s="64"/>
      <c r="YN19" s="64"/>
      <c r="YO19" s="64"/>
      <c r="YP19" s="64"/>
      <c r="YQ19" s="64"/>
      <c r="YR19" s="64"/>
      <c r="YS19" s="64"/>
      <c r="YT19" s="64"/>
      <c r="YU19" s="64"/>
      <c r="YV19" s="64"/>
      <c r="YW19" s="64"/>
      <c r="YX19" s="64"/>
      <c r="YY19" s="64"/>
      <c r="YZ19" s="64"/>
      <c r="ZA19" s="64"/>
      <c r="ZB19" s="64"/>
      <c r="ZC19" s="64"/>
      <c r="ZD19" s="64"/>
      <c r="ZE19" s="64"/>
      <c r="ZF19" s="64"/>
      <c r="ZG19" s="64"/>
      <c r="ZH19" s="64"/>
      <c r="ZI19" s="64"/>
      <c r="ZJ19" s="64"/>
      <c r="ZK19" s="64"/>
      <c r="ZL19" s="64"/>
      <c r="ZM19" s="64"/>
      <c r="ZN19" s="64"/>
      <c r="ZO19" s="64"/>
      <c r="ZP19" s="64"/>
      <c r="ZQ19" s="64"/>
      <c r="ZR19" s="64"/>
      <c r="ZS19" s="64"/>
      <c r="ZT19" s="64"/>
      <c r="ZU19" s="64"/>
      <c r="ZV19" s="64"/>
      <c r="ZW19" s="64"/>
      <c r="ZX19" s="64"/>
      <c r="ZY19" s="64"/>
      <c r="ZZ19" s="64"/>
      <c r="AAA19" s="64"/>
      <c r="AAB19" s="64"/>
      <c r="AAC19" s="64"/>
      <c r="AAD19" s="64"/>
      <c r="AAE19" s="64"/>
      <c r="AAF19" s="64"/>
      <c r="AAG19" s="64"/>
      <c r="AAH19" s="64"/>
      <c r="AAI19" s="64"/>
      <c r="AAJ19" s="64"/>
      <c r="AAK19" s="64"/>
      <c r="AAL19" s="64"/>
      <c r="AAM19" s="64"/>
      <c r="AAN19" s="64"/>
      <c r="AAO19" s="64"/>
      <c r="AAP19" s="64"/>
      <c r="AAQ19" s="64"/>
      <c r="AAR19" s="64"/>
      <c r="AAS19" s="64"/>
      <c r="AAT19" s="64"/>
      <c r="AAU19" s="64"/>
      <c r="AAV19" s="64"/>
      <c r="AAW19" s="64"/>
      <c r="AAX19" s="64"/>
      <c r="AAY19" s="64"/>
      <c r="AAZ19" s="64"/>
      <c r="ABA19" s="64"/>
      <c r="ABB19" s="64"/>
      <c r="ABC19" s="64"/>
      <c r="ABD19" s="64"/>
      <c r="ABE19" s="64"/>
      <c r="ABF19" s="64"/>
      <c r="ABG19" s="64"/>
      <c r="ABH19" s="64"/>
      <c r="ABI19" s="64"/>
      <c r="ABJ19" s="64"/>
      <c r="ABK19" s="64"/>
      <c r="ABL19" s="64"/>
      <c r="ABM19" s="64"/>
      <c r="ABN19" s="64"/>
      <c r="ABO19" s="64"/>
      <c r="ABP19" s="64"/>
      <c r="ABQ19" s="64"/>
      <c r="ABR19" s="64"/>
      <c r="ABS19" s="64"/>
      <c r="ABT19" s="64"/>
      <c r="ABU19" s="64"/>
      <c r="ABV19" s="64"/>
      <c r="ABW19" s="64"/>
      <c r="ABX19" s="64"/>
      <c r="ABY19" s="64"/>
      <c r="ABZ19" s="64"/>
      <c r="ACA19" s="64"/>
      <c r="ACB19" s="64"/>
      <c r="ACC19" s="64"/>
      <c r="ACD19" s="64"/>
      <c r="ACE19" s="64"/>
      <c r="ACF19" s="64"/>
      <c r="ACG19" s="64"/>
      <c r="ACH19" s="64"/>
      <c r="ACI19" s="64"/>
      <c r="ACJ19" s="64"/>
      <c r="ACK19" s="64"/>
      <c r="ACL19" s="64"/>
      <c r="ACM19" s="64"/>
      <c r="ACN19" s="64"/>
      <c r="ACO19" s="64"/>
      <c r="ACP19" s="64"/>
      <c r="ACQ19" s="64"/>
      <c r="ACR19" s="64"/>
      <c r="ACS19" s="64"/>
      <c r="ACT19" s="64"/>
      <c r="ACU19" s="64"/>
      <c r="ACV19" s="64"/>
      <c r="ACW19" s="64"/>
      <c r="ACX19" s="64"/>
      <c r="ACY19" s="64"/>
      <c r="ACZ19" s="64"/>
      <c r="ADA19" s="64"/>
      <c r="ADB19" s="64"/>
      <c r="ADC19" s="64"/>
      <c r="ADD19" s="64"/>
      <c r="ADE19" s="64"/>
      <c r="ADF19" s="64"/>
      <c r="ADG19" s="64"/>
      <c r="ADH19" s="64"/>
      <c r="ADI19" s="64"/>
      <c r="ADJ19" s="64"/>
      <c r="ADK19" s="64"/>
      <c r="ADL19" s="64"/>
      <c r="ADM19" s="64"/>
      <c r="ADN19" s="64"/>
      <c r="ADO19" s="64"/>
      <c r="ADP19" s="64"/>
      <c r="ADQ19" s="64"/>
      <c r="ADR19" s="64"/>
      <c r="ADS19" s="64"/>
      <c r="ADT19" s="64"/>
      <c r="ADU19" s="64"/>
      <c r="ADV19" s="64"/>
      <c r="ADW19" s="64"/>
      <c r="ADX19" s="64"/>
      <c r="ADY19" s="64"/>
      <c r="ADZ19" s="64"/>
      <c r="AEA19" s="64"/>
      <c r="AEB19" s="64"/>
      <c r="AEC19" s="64"/>
      <c r="AED19" s="64"/>
      <c r="AEE19" s="64"/>
      <c r="AEF19" s="64"/>
      <c r="AEG19" s="64"/>
      <c r="AEH19" s="64"/>
      <c r="AEI19" s="64"/>
      <c r="AEJ19" s="64"/>
      <c r="AEK19" s="64"/>
      <c r="AEL19" s="64"/>
      <c r="AEM19" s="64"/>
      <c r="AEN19" s="64"/>
      <c r="AEO19" s="64"/>
      <c r="AEP19" s="64"/>
      <c r="AEQ19" s="64"/>
      <c r="AER19" s="64"/>
      <c r="AES19" s="64"/>
      <c r="AET19" s="64"/>
      <c r="AEU19" s="64"/>
      <c r="AEV19" s="64"/>
      <c r="AEW19" s="64"/>
      <c r="AEX19" s="64"/>
      <c r="AEY19" s="64"/>
      <c r="AEZ19" s="64"/>
      <c r="AFA19" s="64"/>
      <c r="AFB19" s="64"/>
      <c r="AFC19" s="64"/>
      <c r="AFD19" s="64"/>
      <c r="AFE19" s="64"/>
      <c r="AFF19" s="64"/>
      <c r="AFG19" s="64"/>
      <c r="AFH19" s="64"/>
      <c r="AFI19" s="64"/>
      <c r="AFJ19" s="64"/>
      <c r="AFK19" s="64"/>
      <c r="AFL19" s="64"/>
      <c r="AFM19" s="64"/>
      <c r="AFN19" s="64"/>
      <c r="AFO19" s="64"/>
      <c r="AFP19" s="64"/>
      <c r="AFQ19" s="64"/>
      <c r="AFR19" s="64"/>
      <c r="AFS19" s="64"/>
      <c r="AFT19" s="64"/>
      <c r="AFU19" s="64"/>
      <c r="AFV19" s="64"/>
      <c r="AFW19" s="64"/>
      <c r="AFX19" s="64"/>
      <c r="AFY19" s="64"/>
      <c r="AFZ19" s="64"/>
      <c r="AGA19" s="64"/>
      <c r="AGB19" s="64"/>
      <c r="AGC19" s="64"/>
      <c r="AGD19" s="64"/>
      <c r="AGE19" s="64"/>
      <c r="AGF19" s="64"/>
      <c r="AGG19" s="64"/>
      <c r="AGH19" s="64"/>
      <c r="AGI19" s="64"/>
      <c r="AGJ19" s="64"/>
      <c r="AGK19" s="64"/>
      <c r="AGL19" s="64"/>
      <c r="AGM19" s="64"/>
      <c r="AGN19" s="64"/>
      <c r="AGO19" s="64"/>
      <c r="AGP19" s="64"/>
      <c r="AGQ19" s="64"/>
      <c r="AGR19" s="64"/>
      <c r="AGS19" s="64"/>
      <c r="AGT19" s="64"/>
      <c r="AGU19" s="64"/>
      <c r="AGV19" s="64"/>
      <c r="AGW19" s="64"/>
      <c r="AGX19" s="64"/>
      <c r="AGY19" s="64"/>
      <c r="AGZ19" s="64"/>
      <c r="AHA19" s="64"/>
      <c r="AHB19" s="64"/>
      <c r="AHC19" s="64"/>
      <c r="AHD19" s="64"/>
      <c r="AHE19" s="64"/>
      <c r="AHF19" s="64"/>
      <c r="AHG19" s="64"/>
      <c r="AHH19" s="64"/>
      <c r="AHI19" s="64"/>
      <c r="AHJ19" s="64"/>
      <c r="AHK19" s="64"/>
      <c r="AHL19" s="64"/>
      <c r="AHM19" s="64"/>
      <c r="AHN19" s="64"/>
      <c r="AHO19" s="64"/>
      <c r="AHP19" s="64"/>
      <c r="AHQ19" s="64"/>
      <c r="AHR19" s="64"/>
      <c r="AHS19" s="64"/>
      <c r="AHT19" s="64"/>
      <c r="AHU19" s="64"/>
      <c r="AHV19" s="64"/>
      <c r="AHW19" s="64"/>
      <c r="AHX19" s="64"/>
      <c r="AHY19" s="64"/>
      <c r="AHZ19" s="64"/>
      <c r="AIA19" s="64"/>
      <c r="AIB19" s="64"/>
      <c r="AIC19" s="64"/>
      <c r="AID19" s="64"/>
      <c r="AIE19" s="64"/>
      <c r="AIF19" s="64"/>
      <c r="AIG19" s="64"/>
      <c r="AIH19" s="64"/>
      <c r="AII19" s="64"/>
      <c r="AIJ19" s="64"/>
      <c r="AIK19" s="64"/>
      <c r="AIL19" s="64"/>
      <c r="AIM19" s="64"/>
      <c r="AIN19" s="64"/>
      <c r="AIO19" s="64"/>
      <c r="AIP19" s="64"/>
      <c r="AIQ19" s="64"/>
      <c r="AIR19" s="64"/>
      <c r="AIS19" s="64"/>
      <c r="AIT19" s="64"/>
      <c r="AIU19" s="64"/>
      <c r="AIV19" s="64"/>
      <c r="AIW19" s="64"/>
      <c r="AIX19" s="64"/>
      <c r="AIY19" s="64"/>
      <c r="AIZ19" s="64"/>
      <c r="AJA19" s="64"/>
      <c r="AJB19" s="64"/>
      <c r="AJC19" s="64"/>
      <c r="AJD19" s="64"/>
      <c r="AJE19" s="64"/>
      <c r="AJF19" s="64"/>
      <c r="AJG19" s="64"/>
      <c r="AJH19" s="64"/>
      <c r="AJI19" s="64"/>
      <c r="AJJ19" s="64"/>
      <c r="AJK19" s="64"/>
      <c r="AJL19" s="64"/>
      <c r="AJM19" s="64"/>
      <c r="AJN19" s="64"/>
      <c r="AJO19" s="64"/>
      <c r="AJP19" s="64"/>
      <c r="AJQ19" s="64"/>
      <c r="AJR19" s="64"/>
      <c r="AJS19" s="64"/>
      <c r="AJT19" s="64"/>
      <c r="AJU19" s="64"/>
      <c r="AJV19" s="64"/>
      <c r="AJW19" s="64"/>
      <c r="AJX19" s="64"/>
      <c r="AJY19" s="64"/>
      <c r="AJZ19" s="64"/>
      <c r="AKA19" s="64"/>
      <c r="AKB19" s="64"/>
      <c r="AKC19" s="64"/>
      <c r="AKD19" s="64"/>
      <c r="AKE19" s="64"/>
      <c r="AKF19" s="64"/>
      <c r="AKG19" s="64"/>
      <c r="AKH19" s="64"/>
      <c r="AKI19" s="64"/>
      <c r="AKJ19" s="64"/>
      <c r="AKK19" s="64"/>
      <c r="AKL19" s="64"/>
      <c r="AKM19" s="64"/>
      <c r="AKN19" s="64"/>
      <c r="AKO19" s="64"/>
      <c r="AKP19" s="64"/>
      <c r="AKQ19" s="64"/>
      <c r="AKR19" s="64"/>
      <c r="AKS19" s="64"/>
      <c r="AKT19" s="64"/>
      <c r="AKU19" s="64"/>
      <c r="AKV19" s="64"/>
      <c r="AKW19" s="64"/>
      <c r="AKX19" s="64"/>
      <c r="AKY19" s="64"/>
      <c r="AKZ19" s="64"/>
      <c r="ALA19" s="64"/>
      <c r="ALB19" s="64"/>
      <c r="ALC19" s="64"/>
      <c r="ALD19" s="64"/>
      <c r="ALE19" s="64"/>
      <c r="ALF19" s="64"/>
      <c r="ALG19" s="64"/>
      <c r="ALH19" s="64"/>
      <c r="ALI19" s="64"/>
      <c r="ALJ19" s="64"/>
      <c r="ALK19" s="64"/>
      <c r="ALL19" s="64"/>
      <c r="ALM19" s="64"/>
      <c r="ALN19" s="64"/>
      <c r="ALO19" s="64"/>
      <c r="ALP19" s="64"/>
      <c r="ALQ19" s="64"/>
      <c r="ALR19" s="64"/>
      <c r="ALS19" s="64"/>
      <c r="ALT19" s="64"/>
      <c r="ALU19" s="64"/>
      <c r="ALV19" s="64"/>
      <c r="ALW19" s="64"/>
      <c r="ALX19" s="64"/>
      <c r="ALY19" s="64"/>
      <c r="ALZ19" s="64"/>
      <c r="AMA19" s="64"/>
      <c r="AMB19" s="64"/>
      <c r="AMC19" s="64"/>
      <c r="AMD19" s="64"/>
      <c r="AME19" s="64"/>
      <c r="AMF19" s="64"/>
      <c r="AMG19" s="64"/>
      <c r="AMH19" s="64"/>
      <c r="AMI19" s="64"/>
      <c r="AMJ19" s="64"/>
      <c r="AMK19" s="64"/>
      <c r="AML19" s="64"/>
      <c r="AMM19" s="64"/>
      <c r="AMN19" s="64"/>
      <c r="AMO19" s="64"/>
      <c r="AMP19" s="64"/>
      <c r="AMQ19" s="64"/>
      <c r="AMR19" s="64"/>
      <c r="AMS19" s="64"/>
      <c r="AMT19" s="64"/>
      <c r="AMU19" s="64"/>
      <c r="AMV19" s="64"/>
      <c r="AMW19" s="64"/>
      <c r="AMX19" s="64"/>
      <c r="AMY19" s="64"/>
      <c r="AMZ19" s="64"/>
      <c r="ANA19" s="64"/>
      <c r="ANB19" s="64"/>
      <c r="ANC19" s="64"/>
      <c r="AND19" s="64"/>
      <c r="ANE19" s="64"/>
      <c r="ANF19" s="64"/>
      <c r="ANG19" s="64"/>
      <c r="ANH19" s="64"/>
      <c r="ANI19" s="64"/>
      <c r="ANJ19" s="64"/>
      <c r="ANK19" s="64"/>
      <c r="ANL19" s="64"/>
      <c r="ANM19" s="64"/>
      <c r="ANN19" s="64"/>
      <c r="ANO19" s="64"/>
      <c r="ANP19" s="64"/>
      <c r="ANQ19" s="64"/>
      <c r="ANR19" s="64"/>
      <c r="ANS19" s="64"/>
      <c r="ANT19" s="64"/>
      <c r="ANU19" s="64"/>
      <c r="ANV19" s="64"/>
      <c r="ANW19" s="64"/>
      <c r="ANX19" s="64"/>
      <c r="ANY19" s="64"/>
      <c r="ANZ19" s="64"/>
      <c r="AOA19" s="64"/>
      <c r="AOB19" s="64"/>
      <c r="AOC19" s="64"/>
      <c r="AOD19" s="64"/>
      <c r="AOE19" s="64"/>
      <c r="AOF19" s="64"/>
      <c r="AOG19" s="64"/>
      <c r="AOH19" s="64"/>
      <c r="AOI19" s="64"/>
      <c r="AOJ19" s="64"/>
      <c r="AOK19" s="64"/>
      <c r="AOL19" s="64"/>
      <c r="AOM19" s="64"/>
      <c r="AON19" s="64"/>
      <c r="AOO19" s="64"/>
      <c r="AOP19" s="64"/>
      <c r="AOQ19" s="64"/>
      <c r="AOR19" s="64"/>
      <c r="AOS19" s="64"/>
      <c r="AOT19" s="64"/>
      <c r="AOU19" s="64"/>
      <c r="AOV19" s="64"/>
      <c r="AOW19" s="64"/>
      <c r="AOX19" s="64"/>
      <c r="AOY19" s="64"/>
      <c r="AOZ19" s="64"/>
      <c r="APA19" s="64"/>
      <c r="APB19" s="64"/>
      <c r="APC19" s="64"/>
      <c r="APD19" s="64"/>
      <c r="APE19" s="64"/>
      <c r="APF19" s="64"/>
      <c r="APG19" s="64"/>
      <c r="APH19" s="64"/>
      <c r="API19" s="64"/>
      <c r="APJ19" s="64"/>
      <c r="APK19" s="64"/>
      <c r="APL19" s="64"/>
      <c r="APM19" s="64"/>
      <c r="APN19" s="64"/>
      <c r="APO19" s="64"/>
      <c r="APP19" s="64"/>
      <c r="APQ19" s="64"/>
      <c r="APR19" s="64"/>
      <c r="APS19" s="64"/>
      <c r="APT19" s="64"/>
      <c r="APU19" s="64"/>
      <c r="APV19" s="64"/>
      <c r="APW19" s="64"/>
      <c r="APX19" s="64"/>
      <c r="APY19" s="64"/>
      <c r="APZ19" s="64"/>
      <c r="AQA19" s="64"/>
      <c r="AQB19" s="64"/>
      <c r="AQC19" s="64"/>
      <c r="AQD19" s="64"/>
      <c r="AQE19" s="64"/>
      <c r="AQF19" s="64"/>
      <c r="AQG19" s="64"/>
      <c r="AQH19" s="64"/>
      <c r="AQI19" s="64"/>
      <c r="AQJ19" s="64"/>
      <c r="AQK19" s="64"/>
      <c r="AQL19" s="64"/>
      <c r="AQM19" s="64"/>
      <c r="AQN19" s="64"/>
      <c r="AQO19" s="64"/>
      <c r="AQP19" s="64"/>
      <c r="AQQ19" s="64"/>
      <c r="AQR19" s="64"/>
      <c r="AQS19" s="64"/>
      <c r="AQT19" s="64"/>
      <c r="AQU19" s="64"/>
      <c r="AQV19" s="64"/>
      <c r="AQW19" s="64"/>
      <c r="AQX19" s="64"/>
      <c r="AQY19" s="64"/>
      <c r="AQZ19" s="64"/>
      <c r="ARA19" s="64"/>
      <c r="ARB19" s="64"/>
      <c r="ARC19" s="64"/>
      <c r="ARD19" s="64"/>
      <c r="ARE19" s="64"/>
      <c r="ARF19" s="64"/>
      <c r="ARG19" s="64"/>
      <c r="ARH19" s="64"/>
      <c r="ARI19" s="64"/>
      <c r="ARJ19" s="64"/>
      <c r="ARK19" s="64"/>
      <c r="ARL19" s="64"/>
      <c r="ARM19" s="64"/>
      <c r="ARN19" s="64"/>
      <c r="ARO19" s="64"/>
      <c r="ARP19" s="64"/>
      <c r="ARQ19" s="64"/>
      <c r="ARR19" s="64"/>
      <c r="ARS19" s="64"/>
      <c r="ART19" s="64"/>
      <c r="ARU19" s="64"/>
      <c r="ARV19" s="64"/>
      <c r="ARW19" s="64"/>
      <c r="ARX19" s="64"/>
      <c r="ARY19" s="64"/>
      <c r="ARZ19" s="64"/>
      <c r="ASA19" s="64"/>
      <c r="ASB19" s="64"/>
      <c r="ASC19" s="64"/>
      <c r="ASD19" s="64"/>
      <c r="ASE19" s="64"/>
      <c r="ASF19" s="64"/>
      <c r="ASG19" s="64"/>
      <c r="ASH19" s="64"/>
      <c r="ASI19" s="64"/>
      <c r="ASJ19" s="64"/>
      <c r="ASK19" s="64"/>
      <c r="ASL19" s="64"/>
      <c r="ASM19" s="64"/>
      <c r="ASN19" s="64"/>
      <c r="ASO19" s="64"/>
      <c r="ASP19" s="64"/>
      <c r="ASQ19" s="64"/>
      <c r="ASR19" s="64"/>
      <c r="ASS19" s="64"/>
      <c r="AST19" s="64"/>
      <c r="ASU19" s="64"/>
      <c r="ASV19" s="64"/>
      <c r="ASW19" s="64"/>
      <c r="ASX19" s="64"/>
      <c r="ASY19" s="64"/>
      <c r="ASZ19" s="64"/>
      <c r="ATA19" s="64"/>
      <c r="ATB19" s="64"/>
      <c r="ATC19" s="64"/>
      <c r="ATD19" s="64"/>
      <c r="ATE19" s="64"/>
      <c r="ATF19" s="64"/>
      <c r="ATG19" s="64"/>
      <c r="ATH19" s="64"/>
      <c r="ATI19" s="64"/>
      <c r="ATJ19" s="64"/>
      <c r="ATK19" s="64"/>
      <c r="ATL19" s="64"/>
      <c r="ATM19" s="64"/>
      <c r="ATN19" s="64"/>
      <c r="ATO19" s="64"/>
      <c r="ATP19" s="64"/>
      <c r="ATQ19" s="64"/>
      <c r="ATR19" s="64"/>
      <c r="ATS19" s="64"/>
      <c r="ATT19" s="64"/>
      <c r="ATU19" s="64"/>
      <c r="ATV19" s="64"/>
      <c r="ATW19" s="64"/>
      <c r="ATX19" s="64"/>
      <c r="ATY19" s="64"/>
      <c r="ATZ19" s="64"/>
      <c r="AUA19" s="64"/>
      <c r="AUB19" s="64"/>
      <c r="AUC19" s="64"/>
      <c r="AUD19" s="64"/>
      <c r="AUE19" s="64"/>
      <c r="AUF19" s="64"/>
      <c r="AUG19" s="64"/>
      <c r="AUH19" s="64"/>
      <c r="AUI19" s="64"/>
      <c r="AUJ19" s="64"/>
      <c r="AUK19" s="64"/>
      <c r="AUL19" s="64"/>
      <c r="AUM19" s="64"/>
      <c r="AUN19" s="64"/>
      <c r="AUO19" s="64"/>
      <c r="AUP19" s="64"/>
      <c r="AUQ19" s="64"/>
      <c r="AUR19" s="64"/>
      <c r="AUS19" s="64"/>
      <c r="AUT19" s="64"/>
      <c r="AUU19" s="64"/>
      <c r="AUV19" s="64"/>
      <c r="AUW19" s="64"/>
      <c r="AUX19" s="64"/>
      <c r="AUY19" s="64"/>
      <c r="AUZ19" s="64"/>
      <c r="AVA19" s="64"/>
      <c r="AVB19" s="64"/>
      <c r="AVC19" s="64"/>
      <c r="AVD19" s="64"/>
      <c r="AVE19" s="64"/>
      <c r="AVF19" s="64"/>
      <c r="AVG19" s="64"/>
      <c r="AVH19" s="64"/>
      <c r="AVI19" s="64"/>
      <c r="AVJ19" s="64"/>
      <c r="AVK19" s="64"/>
      <c r="AVL19" s="64"/>
      <c r="AVM19" s="64"/>
      <c r="AVN19" s="64"/>
      <c r="AVO19" s="64"/>
      <c r="AVP19" s="64"/>
      <c r="AVQ19" s="64"/>
      <c r="AVR19" s="64"/>
      <c r="AVS19" s="64"/>
      <c r="AVT19" s="64"/>
      <c r="AVU19" s="64"/>
      <c r="AVV19" s="64"/>
      <c r="AVW19" s="64"/>
      <c r="AVX19" s="64"/>
      <c r="AVY19" s="64"/>
      <c r="AVZ19" s="64"/>
      <c r="AWA19" s="64"/>
      <c r="AWB19" s="64"/>
      <c r="AWC19" s="64"/>
      <c r="AWD19" s="64"/>
      <c r="AWE19" s="64"/>
      <c r="AWF19" s="64"/>
      <c r="AWG19" s="64"/>
      <c r="AWH19" s="64"/>
      <c r="AWI19" s="64"/>
      <c r="AWJ19" s="64"/>
      <c r="AWK19" s="64"/>
      <c r="AWL19" s="64"/>
      <c r="AWM19" s="64"/>
      <c r="AWN19" s="64"/>
      <c r="AWO19" s="64"/>
      <c r="AWP19" s="64"/>
      <c r="AWQ19" s="64"/>
      <c r="AWR19" s="64"/>
      <c r="AWS19" s="64"/>
      <c r="AWT19" s="64"/>
      <c r="AWU19" s="64"/>
      <c r="AWV19" s="64"/>
      <c r="AWW19" s="64"/>
      <c r="AWX19" s="64"/>
      <c r="AWY19" s="64"/>
      <c r="AWZ19" s="64"/>
      <c r="AXA19" s="64"/>
      <c r="AXB19" s="64"/>
      <c r="AXC19" s="64"/>
      <c r="AXD19" s="64"/>
      <c r="AXE19" s="64"/>
      <c r="AXF19" s="64"/>
      <c r="AXG19" s="64"/>
      <c r="AXH19" s="64"/>
      <c r="AXI19" s="64"/>
      <c r="AXJ19" s="64"/>
      <c r="AXK19" s="64"/>
      <c r="AXL19" s="64"/>
      <c r="AXM19" s="64"/>
      <c r="AXN19" s="64"/>
      <c r="AXO19" s="64"/>
      <c r="AXP19" s="64"/>
      <c r="AXQ19" s="64"/>
      <c r="AXR19" s="64"/>
      <c r="AXS19" s="64"/>
      <c r="AXT19" s="64"/>
      <c r="AXU19" s="64"/>
      <c r="AXV19" s="64"/>
      <c r="AXW19" s="64"/>
      <c r="AXX19" s="64"/>
      <c r="AXY19" s="64"/>
      <c r="AXZ19" s="64"/>
      <c r="AYA19" s="64"/>
      <c r="AYB19" s="64"/>
      <c r="AYC19" s="64"/>
      <c r="AYD19" s="64"/>
      <c r="AYE19" s="64"/>
      <c r="AYF19" s="64"/>
      <c r="AYG19" s="64"/>
      <c r="AYH19" s="64"/>
      <c r="AYI19" s="64"/>
      <c r="AYJ19" s="64"/>
      <c r="AYK19" s="64"/>
      <c r="AYL19" s="64"/>
      <c r="AYM19" s="64"/>
      <c r="AYN19" s="64"/>
      <c r="AYO19" s="64"/>
      <c r="AYP19" s="64"/>
      <c r="AYQ19" s="64"/>
      <c r="AYR19" s="64"/>
      <c r="AYS19" s="64"/>
      <c r="AYT19" s="64"/>
      <c r="AYU19" s="64"/>
      <c r="AYV19" s="64"/>
      <c r="AYW19" s="64"/>
      <c r="AYX19" s="64"/>
      <c r="AYY19" s="64"/>
      <c r="AYZ19" s="64"/>
      <c r="AZA19" s="64"/>
      <c r="AZB19" s="64"/>
      <c r="AZC19" s="64"/>
      <c r="AZD19" s="64"/>
      <c r="AZE19" s="64"/>
      <c r="AZF19" s="64"/>
      <c r="AZG19" s="64"/>
      <c r="AZH19" s="64"/>
      <c r="AZI19" s="64"/>
      <c r="AZJ19" s="64"/>
      <c r="AZK19" s="64"/>
      <c r="AZL19" s="64"/>
      <c r="AZM19" s="64"/>
      <c r="AZN19" s="64"/>
      <c r="AZO19" s="64"/>
      <c r="AZP19" s="64"/>
      <c r="AZQ19" s="64"/>
      <c r="AZR19" s="64"/>
      <c r="AZS19" s="64"/>
      <c r="AZT19" s="64"/>
      <c r="AZU19" s="64"/>
      <c r="AZV19" s="64"/>
      <c r="AZW19" s="64"/>
      <c r="AZX19" s="64"/>
      <c r="AZY19" s="64"/>
      <c r="AZZ19" s="64"/>
      <c r="BAA19" s="64"/>
      <c r="BAB19" s="64"/>
      <c r="BAC19" s="64"/>
      <c r="BAD19" s="64"/>
      <c r="BAE19" s="64"/>
      <c r="BAF19" s="64"/>
      <c r="BAG19" s="64"/>
      <c r="BAH19" s="64"/>
      <c r="BAI19" s="64"/>
      <c r="BAJ19" s="64"/>
      <c r="BAK19" s="64"/>
      <c r="BAL19" s="64"/>
      <c r="BAM19" s="64"/>
      <c r="BAN19" s="64"/>
      <c r="BAO19" s="64"/>
      <c r="BAP19" s="64"/>
      <c r="BAQ19" s="64"/>
      <c r="BAR19" s="64"/>
      <c r="BAS19" s="64"/>
      <c r="BAT19" s="64"/>
      <c r="BAU19" s="64"/>
      <c r="BAV19" s="64"/>
      <c r="BAW19" s="64"/>
      <c r="BAX19" s="64"/>
      <c r="BAY19" s="64"/>
      <c r="BAZ19" s="64"/>
      <c r="BBA19" s="64"/>
      <c r="BBB19" s="64"/>
      <c r="BBC19" s="64"/>
      <c r="BBD19" s="64"/>
      <c r="BBE19" s="64"/>
      <c r="BBF19" s="64"/>
      <c r="BBG19" s="64"/>
      <c r="BBH19" s="64"/>
      <c r="BBI19" s="64"/>
      <c r="BBJ19" s="64"/>
      <c r="BBK19" s="64"/>
      <c r="BBL19" s="64"/>
      <c r="BBM19" s="64"/>
      <c r="BBN19" s="64"/>
      <c r="BBO19" s="64"/>
      <c r="BBP19" s="64"/>
      <c r="BBQ19" s="64"/>
      <c r="BBR19" s="64"/>
      <c r="BBS19" s="64"/>
      <c r="BBT19" s="64"/>
      <c r="BBU19" s="64"/>
      <c r="BBV19" s="64"/>
      <c r="BBW19" s="64"/>
      <c r="BBX19" s="64"/>
      <c r="BBY19" s="64"/>
      <c r="BBZ19" s="64"/>
      <c r="BCA19" s="64"/>
      <c r="BCB19" s="64"/>
      <c r="BCC19" s="64"/>
      <c r="BCD19" s="64"/>
      <c r="BCE19" s="64"/>
      <c r="BCF19" s="64"/>
      <c r="BCG19" s="64"/>
      <c r="BCH19" s="64"/>
      <c r="BCI19" s="64"/>
      <c r="BCJ19" s="64"/>
      <c r="BCK19" s="64"/>
      <c r="BCL19" s="64"/>
      <c r="BCM19" s="64"/>
      <c r="BCN19" s="64"/>
      <c r="BCO19" s="64"/>
      <c r="BCP19" s="64"/>
      <c r="BCQ19" s="64"/>
      <c r="BCR19" s="64"/>
      <c r="BCS19" s="64"/>
      <c r="BCT19" s="64"/>
      <c r="BCU19" s="64"/>
      <c r="BCV19" s="64"/>
      <c r="BCW19" s="64"/>
      <c r="BCX19" s="64"/>
      <c r="BCY19" s="64"/>
      <c r="BCZ19" s="64"/>
      <c r="BDA19" s="64"/>
      <c r="BDB19" s="64"/>
      <c r="BDC19" s="64"/>
      <c r="BDD19" s="64"/>
      <c r="BDE19" s="64"/>
      <c r="BDF19" s="64"/>
      <c r="BDG19" s="64"/>
      <c r="BDH19" s="64"/>
      <c r="BDI19" s="64"/>
      <c r="BDJ19" s="64"/>
      <c r="BDK19" s="64"/>
      <c r="BDL19" s="64"/>
      <c r="BDM19" s="64"/>
      <c r="BDN19" s="64"/>
      <c r="BDO19" s="64"/>
      <c r="BDP19" s="64"/>
      <c r="BDQ19" s="64"/>
      <c r="BDR19" s="64"/>
      <c r="BDS19" s="64"/>
      <c r="BDT19" s="64"/>
      <c r="BDU19" s="64"/>
      <c r="BDV19" s="64"/>
      <c r="BDW19" s="64"/>
      <c r="BDX19" s="64"/>
      <c r="BDY19" s="64"/>
      <c r="BDZ19" s="64"/>
      <c r="BEA19" s="64"/>
      <c r="BEB19" s="64"/>
      <c r="BEC19" s="64"/>
      <c r="BED19" s="64"/>
      <c r="BEE19" s="64"/>
      <c r="BEF19" s="64"/>
      <c r="BEG19" s="64"/>
      <c r="BEH19" s="64"/>
      <c r="BEI19" s="64"/>
      <c r="BEJ19" s="64"/>
      <c r="BEK19" s="64"/>
      <c r="BEL19" s="64"/>
      <c r="BEM19" s="64"/>
      <c r="BEN19" s="64"/>
      <c r="BEO19" s="64"/>
      <c r="BEP19" s="64"/>
      <c r="BEQ19" s="64"/>
      <c r="BER19" s="64"/>
      <c r="BES19" s="64"/>
      <c r="BET19" s="64"/>
      <c r="BEU19" s="64"/>
      <c r="BEV19" s="64"/>
      <c r="BEW19" s="64"/>
      <c r="BEX19" s="64"/>
      <c r="BEY19" s="64"/>
      <c r="BEZ19" s="64"/>
      <c r="BFA19" s="64"/>
      <c r="BFB19" s="64"/>
      <c r="BFC19" s="64"/>
      <c r="BFD19" s="64"/>
      <c r="BFE19" s="64"/>
      <c r="BFF19" s="64"/>
      <c r="BFG19" s="64"/>
      <c r="BFH19" s="64"/>
      <c r="BFI19" s="64"/>
      <c r="BFJ19" s="64"/>
      <c r="BFK19" s="64"/>
      <c r="BFL19" s="64"/>
      <c r="BFM19" s="64"/>
      <c r="BFN19" s="64"/>
      <c r="BFO19" s="64"/>
      <c r="BFP19" s="64"/>
      <c r="BFQ19" s="64"/>
      <c r="BFR19" s="64"/>
      <c r="BFS19" s="64"/>
      <c r="BFT19" s="64"/>
      <c r="BFU19" s="64"/>
      <c r="BFV19" s="64"/>
      <c r="BFW19" s="64"/>
      <c r="BFX19" s="64"/>
      <c r="BFY19" s="64"/>
      <c r="BFZ19" s="64"/>
      <c r="BGA19" s="64"/>
      <c r="BGB19" s="64"/>
      <c r="BGC19" s="64"/>
      <c r="BGD19" s="64"/>
      <c r="BGE19" s="64"/>
      <c r="BGF19" s="64"/>
      <c r="BGG19" s="64"/>
      <c r="BGH19" s="64"/>
      <c r="BGI19" s="64"/>
      <c r="BGJ19" s="64"/>
      <c r="BGK19" s="64"/>
      <c r="BGL19" s="64"/>
      <c r="BGM19" s="64"/>
      <c r="BGN19" s="64"/>
      <c r="BGO19" s="64"/>
      <c r="BGP19" s="64"/>
      <c r="BGQ19" s="64"/>
      <c r="BGR19" s="64"/>
      <c r="BGS19" s="64"/>
      <c r="BGT19" s="64"/>
      <c r="BGU19" s="64"/>
      <c r="BGV19" s="64"/>
      <c r="BGW19" s="64"/>
      <c r="BGX19" s="64"/>
      <c r="BGY19" s="64"/>
      <c r="BGZ19" s="64"/>
      <c r="BHA19" s="64"/>
      <c r="BHB19" s="64"/>
      <c r="BHC19" s="64"/>
      <c r="BHD19" s="64"/>
      <c r="BHE19" s="64"/>
      <c r="BHF19" s="64"/>
      <c r="BHG19" s="64"/>
      <c r="BHH19" s="64"/>
      <c r="BHI19" s="64"/>
      <c r="BHJ19" s="64"/>
      <c r="BHK19" s="64"/>
      <c r="BHL19" s="64"/>
      <c r="BHM19" s="64"/>
      <c r="BHN19" s="64"/>
      <c r="BHO19" s="64"/>
      <c r="BHP19" s="64"/>
      <c r="BHQ19" s="64"/>
      <c r="BHR19" s="64"/>
      <c r="BHS19" s="64"/>
      <c r="BHT19" s="64"/>
      <c r="BHU19" s="64"/>
      <c r="BHV19" s="64"/>
      <c r="BHW19" s="64"/>
      <c r="BHX19" s="64"/>
      <c r="BHY19" s="64"/>
      <c r="BHZ19" s="64"/>
      <c r="BIA19" s="64"/>
      <c r="BIB19" s="64"/>
      <c r="BIC19" s="64"/>
      <c r="BID19" s="64"/>
      <c r="BIE19" s="64"/>
      <c r="BIF19" s="64"/>
      <c r="BIG19" s="64"/>
      <c r="BIH19" s="64"/>
      <c r="BII19" s="64"/>
      <c r="BIJ19" s="64"/>
      <c r="BIK19" s="64"/>
      <c r="BIL19" s="64"/>
      <c r="BIM19" s="64"/>
      <c r="BIN19" s="64"/>
      <c r="BIO19" s="64"/>
      <c r="BIP19" s="64"/>
      <c r="BIQ19" s="64"/>
      <c r="BIR19" s="64"/>
      <c r="BIS19" s="64"/>
      <c r="BIT19" s="64"/>
      <c r="BIU19" s="64"/>
      <c r="BIV19" s="64"/>
      <c r="BIW19" s="64"/>
      <c r="BIX19" s="64"/>
      <c r="BIY19" s="64"/>
      <c r="BIZ19" s="64"/>
      <c r="BJA19" s="64"/>
      <c r="BJB19" s="64"/>
      <c r="BJC19" s="64"/>
      <c r="BJD19" s="64"/>
      <c r="BJE19" s="64"/>
      <c r="BJF19" s="64"/>
      <c r="BJG19" s="64"/>
      <c r="BJH19" s="64"/>
      <c r="BJI19" s="64"/>
      <c r="BJJ19" s="64"/>
      <c r="BJK19" s="64"/>
      <c r="BJL19" s="64"/>
      <c r="BJM19" s="64"/>
      <c r="BJN19" s="64"/>
      <c r="BJO19" s="64"/>
      <c r="BJP19" s="64"/>
      <c r="BJQ19" s="64"/>
      <c r="BJR19" s="64"/>
      <c r="BJS19" s="64"/>
      <c r="BJT19" s="64"/>
      <c r="BJU19" s="64"/>
      <c r="BJV19" s="64"/>
      <c r="BJW19" s="64"/>
      <c r="BJX19" s="64"/>
      <c r="BJY19" s="64"/>
      <c r="BJZ19" s="64"/>
      <c r="BKA19" s="64"/>
      <c r="BKB19" s="64"/>
      <c r="BKC19" s="64"/>
      <c r="BKD19" s="64"/>
      <c r="BKE19" s="64"/>
      <c r="BKF19" s="64"/>
      <c r="BKG19" s="64"/>
      <c r="BKH19" s="64"/>
      <c r="BKI19" s="64"/>
      <c r="BKJ19" s="64"/>
      <c r="BKK19" s="64"/>
      <c r="BKL19" s="64"/>
      <c r="BKM19" s="64"/>
      <c r="BKN19" s="64"/>
      <c r="BKO19" s="64"/>
      <c r="BKP19" s="64"/>
      <c r="BKQ19" s="64"/>
      <c r="BKR19" s="64"/>
      <c r="BKS19" s="64"/>
      <c r="BKT19" s="64"/>
      <c r="BKU19" s="64"/>
      <c r="BKV19" s="64"/>
      <c r="BKW19" s="64"/>
      <c r="BKX19" s="64"/>
      <c r="BKY19" s="64"/>
      <c r="BKZ19" s="64"/>
      <c r="BLA19" s="64"/>
      <c r="BLB19" s="64"/>
      <c r="BLC19" s="64"/>
      <c r="BLD19" s="64"/>
      <c r="BLE19" s="64"/>
      <c r="BLF19" s="64"/>
      <c r="BLG19" s="64"/>
      <c r="BLH19" s="64"/>
      <c r="BLI19" s="64"/>
      <c r="BLJ19" s="64"/>
      <c r="BLK19" s="64"/>
      <c r="BLL19" s="64"/>
      <c r="BLM19" s="64"/>
      <c r="BLN19" s="64"/>
      <c r="BLO19" s="64"/>
      <c r="BLP19" s="64"/>
      <c r="BLQ19" s="64"/>
      <c r="BLR19" s="64"/>
      <c r="BLS19" s="64"/>
      <c r="BLT19" s="64"/>
      <c r="BLU19" s="64"/>
      <c r="BLV19" s="64"/>
      <c r="BLW19" s="64"/>
      <c r="BLX19" s="64"/>
      <c r="BLY19" s="64"/>
      <c r="BLZ19" s="64"/>
      <c r="BMA19" s="64"/>
      <c r="BMB19" s="64"/>
      <c r="BMC19" s="64"/>
      <c r="BMD19" s="64"/>
      <c r="BME19" s="64"/>
      <c r="BMF19" s="64"/>
      <c r="BMG19" s="64"/>
      <c r="BMH19" s="64"/>
      <c r="BMI19" s="64"/>
      <c r="BMJ19" s="64"/>
      <c r="BMK19" s="64"/>
      <c r="BML19" s="64"/>
      <c r="BMM19" s="64"/>
      <c r="BMN19" s="64"/>
      <c r="BMO19" s="64"/>
      <c r="BMP19" s="64"/>
      <c r="BMQ19" s="64"/>
      <c r="BMR19" s="64"/>
      <c r="BMS19" s="64"/>
      <c r="BMT19" s="64"/>
      <c r="BMU19" s="64"/>
      <c r="BMV19" s="64"/>
      <c r="BMW19" s="64"/>
      <c r="BMX19" s="64"/>
      <c r="BMY19" s="64"/>
      <c r="BMZ19" s="64"/>
      <c r="BNA19" s="64"/>
      <c r="BNB19" s="64"/>
      <c r="BNC19" s="64"/>
      <c r="BND19" s="64"/>
      <c r="BNE19" s="64"/>
      <c r="BNF19" s="64"/>
      <c r="BNG19" s="64"/>
      <c r="BNH19" s="64"/>
      <c r="BNI19" s="64"/>
      <c r="BNJ19" s="64"/>
      <c r="BNK19" s="64"/>
      <c r="BNL19" s="64"/>
      <c r="BNM19" s="64"/>
      <c r="BNN19" s="64"/>
      <c r="BNO19" s="64"/>
      <c r="BNP19" s="64"/>
      <c r="BNQ19" s="64"/>
      <c r="BNR19" s="64"/>
      <c r="BNS19" s="64"/>
      <c r="BNT19" s="64"/>
      <c r="BNU19" s="64"/>
      <c r="BNV19" s="64"/>
      <c r="BNW19" s="64"/>
      <c r="BNX19" s="64"/>
      <c r="BNY19" s="64"/>
      <c r="BNZ19" s="64"/>
      <c r="BOA19" s="64"/>
      <c r="BOB19" s="64"/>
      <c r="BOC19" s="64"/>
      <c r="BOD19" s="64"/>
      <c r="BOE19" s="64"/>
      <c r="BOF19" s="64"/>
      <c r="BOG19" s="64"/>
      <c r="BOH19" s="64"/>
      <c r="BOI19" s="64"/>
      <c r="BOJ19" s="64"/>
      <c r="BOK19" s="64"/>
      <c r="BOL19" s="64"/>
      <c r="BOM19" s="64"/>
      <c r="BON19" s="64"/>
      <c r="BOO19" s="64"/>
      <c r="BOP19" s="64"/>
      <c r="BOQ19" s="64"/>
      <c r="BOR19" s="64"/>
      <c r="BOS19" s="64"/>
      <c r="BOT19" s="64"/>
      <c r="BOU19" s="64"/>
      <c r="BOV19" s="64"/>
      <c r="BOW19" s="64"/>
      <c r="BOX19" s="64"/>
      <c r="BOY19" s="64"/>
      <c r="BOZ19" s="64"/>
      <c r="BPA19" s="64"/>
      <c r="BPB19" s="64"/>
      <c r="BPC19" s="64"/>
      <c r="BPD19" s="64"/>
      <c r="BPE19" s="64"/>
      <c r="BPF19" s="64"/>
      <c r="BPG19" s="64"/>
      <c r="BPH19" s="64"/>
      <c r="BPI19" s="64"/>
      <c r="BPJ19" s="64"/>
      <c r="BPK19" s="64"/>
      <c r="BPL19" s="64"/>
      <c r="BPM19" s="64"/>
      <c r="BPN19" s="64"/>
      <c r="BPO19" s="64"/>
      <c r="BPP19" s="64"/>
      <c r="BPQ19" s="64"/>
      <c r="BPR19" s="64"/>
      <c r="BPS19" s="64"/>
      <c r="BPT19" s="64"/>
      <c r="BPU19" s="64"/>
      <c r="BPV19" s="64"/>
      <c r="BPW19" s="64"/>
      <c r="BPX19" s="64"/>
      <c r="BPY19" s="64"/>
      <c r="BPZ19" s="64"/>
      <c r="BQA19" s="64"/>
      <c r="BQB19" s="64"/>
      <c r="BQC19" s="64"/>
      <c r="BQD19" s="64"/>
      <c r="BQE19" s="64"/>
      <c r="BQF19" s="64"/>
      <c r="BQG19" s="64"/>
      <c r="BQH19" s="64"/>
      <c r="BQI19" s="64"/>
      <c r="BQJ19" s="64"/>
      <c r="BQK19" s="64"/>
      <c r="BQL19" s="64"/>
      <c r="BQM19" s="64"/>
      <c r="BQN19" s="64"/>
      <c r="BQO19" s="64"/>
      <c r="BQP19" s="64"/>
      <c r="BQQ19" s="64"/>
      <c r="BQR19" s="64"/>
      <c r="BQS19" s="64"/>
      <c r="BQT19" s="64"/>
      <c r="BQU19" s="64"/>
      <c r="BQV19" s="64"/>
      <c r="BQW19" s="64"/>
      <c r="BQX19" s="64"/>
      <c r="BQY19" s="64"/>
      <c r="BQZ19" s="64"/>
      <c r="BRA19" s="64"/>
      <c r="BRB19" s="64"/>
      <c r="BRC19" s="64"/>
      <c r="BRD19" s="64"/>
      <c r="BRE19" s="64"/>
      <c r="BRF19" s="64"/>
      <c r="BRG19" s="64"/>
      <c r="BRH19" s="64"/>
      <c r="BRI19" s="64"/>
      <c r="BRJ19" s="64"/>
      <c r="BRK19" s="64"/>
      <c r="BRL19" s="64"/>
      <c r="BRM19" s="64"/>
      <c r="BRN19" s="64"/>
      <c r="BRO19" s="64"/>
      <c r="BRP19" s="64"/>
      <c r="BRQ19" s="64"/>
      <c r="BRR19" s="64"/>
      <c r="BRS19" s="64"/>
      <c r="BRT19" s="64"/>
      <c r="BRU19" s="64"/>
      <c r="BRV19" s="64"/>
      <c r="BRW19" s="64"/>
      <c r="BRX19" s="64"/>
      <c r="BRY19" s="64"/>
      <c r="BRZ19" s="64"/>
      <c r="BSA19" s="64"/>
      <c r="BSB19" s="64"/>
      <c r="BSC19" s="64"/>
      <c r="BSD19" s="64"/>
      <c r="BSE19" s="64"/>
      <c r="BSF19" s="64"/>
      <c r="BSG19" s="64"/>
      <c r="BSH19" s="64"/>
      <c r="BSI19" s="64"/>
      <c r="BSJ19" s="64"/>
      <c r="BSK19" s="64"/>
      <c r="BSL19" s="64"/>
      <c r="BSM19" s="64"/>
      <c r="BSN19" s="64"/>
      <c r="BSO19" s="64"/>
      <c r="BSP19" s="64"/>
      <c r="BSQ19" s="64"/>
      <c r="BSR19" s="64"/>
      <c r="BSS19" s="64"/>
      <c r="BST19" s="64"/>
      <c r="BSU19" s="64"/>
      <c r="BSV19" s="64"/>
      <c r="BSW19" s="64"/>
      <c r="BSX19" s="64"/>
      <c r="BSY19" s="64"/>
      <c r="BSZ19" s="64"/>
      <c r="BTA19" s="64"/>
      <c r="BTB19" s="64"/>
      <c r="BTC19" s="64"/>
      <c r="BTD19" s="64"/>
      <c r="BTE19" s="64"/>
      <c r="BTF19" s="64"/>
      <c r="BTG19" s="64"/>
      <c r="BTH19" s="64"/>
      <c r="BTI19" s="64"/>
      <c r="BTJ19" s="64"/>
      <c r="BTK19" s="64"/>
      <c r="BTL19" s="64"/>
      <c r="BTM19" s="64"/>
      <c r="BTN19" s="64"/>
      <c r="BTO19" s="64"/>
      <c r="BTP19" s="64"/>
      <c r="BTQ19" s="64"/>
      <c r="BTR19" s="64"/>
      <c r="BTS19" s="64"/>
      <c r="BTT19" s="64"/>
      <c r="BTU19" s="64"/>
      <c r="BTV19" s="64"/>
      <c r="BTW19" s="64"/>
      <c r="BTX19" s="64"/>
      <c r="BTY19" s="64"/>
      <c r="BTZ19" s="64"/>
      <c r="BUA19" s="64"/>
      <c r="BUB19" s="64"/>
      <c r="BUC19" s="64"/>
      <c r="BUD19" s="64"/>
      <c r="BUE19" s="64"/>
      <c r="BUF19" s="64"/>
      <c r="BUG19" s="64"/>
      <c r="BUH19" s="64"/>
      <c r="BUI19" s="64"/>
      <c r="BUJ19" s="64"/>
      <c r="BUK19" s="64"/>
      <c r="BUL19" s="64"/>
      <c r="BUM19" s="64"/>
      <c r="BUN19" s="64"/>
      <c r="BUO19" s="64"/>
      <c r="BUP19" s="64"/>
      <c r="BUQ19" s="64"/>
      <c r="BUR19" s="64"/>
      <c r="BUS19" s="64"/>
      <c r="BUT19" s="64"/>
      <c r="BUU19" s="64"/>
      <c r="BUV19" s="64"/>
      <c r="BUW19" s="64"/>
      <c r="BUX19" s="64"/>
      <c r="BUY19" s="64"/>
      <c r="BUZ19" s="64"/>
      <c r="BVA19" s="64"/>
      <c r="BVB19" s="64"/>
      <c r="BVC19" s="64"/>
      <c r="BVD19" s="64"/>
      <c r="BVE19" s="64"/>
      <c r="BVF19" s="64"/>
      <c r="BVG19" s="64"/>
      <c r="BVH19" s="64"/>
      <c r="BVI19" s="64"/>
      <c r="BVJ19" s="64"/>
      <c r="BVK19" s="64"/>
      <c r="BVL19" s="64"/>
      <c r="BVM19" s="64"/>
      <c r="BVN19" s="64"/>
      <c r="BVO19" s="64"/>
      <c r="BVP19" s="64"/>
      <c r="BVQ19" s="64"/>
      <c r="BVR19" s="64"/>
      <c r="BVS19" s="64"/>
      <c r="BVT19" s="64"/>
      <c r="BVU19" s="64"/>
      <c r="BVV19" s="64"/>
      <c r="BVW19" s="64"/>
      <c r="BVX19" s="64"/>
      <c r="BVY19" s="64"/>
      <c r="BVZ19" s="64"/>
      <c r="BWA19" s="64"/>
      <c r="BWB19" s="64"/>
      <c r="BWC19" s="64"/>
      <c r="BWD19" s="64"/>
      <c r="BWE19" s="64"/>
      <c r="BWF19" s="64"/>
      <c r="BWG19" s="64"/>
      <c r="BWH19" s="64"/>
      <c r="BWI19" s="64"/>
      <c r="BWJ19" s="64"/>
      <c r="BWK19" s="64"/>
      <c r="BWL19" s="64"/>
      <c r="BWM19" s="64"/>
      <c r="BWN19" s="64"/>
      <c r="BWO19" s="64"/>
      <c r="BWP19" s="64"/>
      <c r="BWQ19" s="64"/>
      <c r="BWR19" s="64"/>
      <c r="BWS19" s="64"/>
      <c r="BWT19" s="64"/>
      <c r="BWU19" s="64"/>
      <c r="BWV19" s="64"/>
      <c r="BWW19" s="64"/>
      <c r="BWX19" s="64"/>
      <c r="BWY19" s="64"/>
      <c r="BWZ19" s="64"/>
      <c r="BXA19" s="64"/>
      <c r="BXB19" s="64"/>
      <c r="BXC19" s="64"/>
      <c r="BXD19" s="64"/>
      <c r="BXE19" s="64"/>
      <c r="BXF19" s="64"/>
      <c r="BXG19" s="64"/>
      <c r="BXH19" s="64"/>
      <c r="BXI19" s="64"/>
      <c r="BXJ19" s="64"/>
      <c r="BXK19" s="64"/>
      <c r="BXL19" s="64"/>
      <c r="BXM19" s="64"/>
      <c r="BXN19" s="64"/>
      <c r="BXO19" s="64"/>
      <c r="BXP19" s="64"/>
      <c r="BXQ19" s="64"/>
      <c r="BXR19" s="64"/>
      <c r="BXS19" s="64"/>
      <c r="BXT19" s="64"/>
      <c r="BXU19" s="64"/>
      <c r="BXV19" s="64"/>
      <c r="BXW19" s="64"/>
      <c r="BXX19" s="64"/>
      <c r="BXY19" s="64"/>
      <c r="BXZ19" s="64"/>
      <c r="BYA19" s="64"/>
      <c r="BYB19" s="64"/>
      <c r="BYC19" s="64"/>
      <c r="BYD19" s="64"/>
      <c r="BYE19" s="64"/>
      <c r="BYF19" s="64"/>
      <c r="BYG19" s="64"/>
      <c r="BYH19" s="64"/>
      <c r="BYI19" s="64"/>
      <c r="BYJ19" s="64"/>
      <c r="BYK19" s="64"/>
      <c r="BYL19" s="64"/>
      <c r="BYM19" s="64"/>
      <c r="BYN19" s="64"/>
      <c r="BYO19" s="64"/>
      <c r="BYP19" s="64"/>
      <c r="BYQ19" s="64"/>
      <c r="BYR19" s="64"/>
      <c r="BYS19" s="64"/>
      <c r="BYT19" s="64"/>
      <c r="BYU19" s="64"/>
      <c r="BYV19" s="64"/>
      <c r="BYW19" s="64"/>
      <c r="BYX19" s="64"/>
      <c r="BYY19" s="64"/>
      <c r="BYZ19" s="64"/>
      <c r="BZA19" s="64"/>
      <c r="BZB19" s="64"/>
      <c r="BZC19" s="64"/>
      <c r="BZD19" s="64"/>
      <c r="BZE19" s="64"/>
      <c r="BZF19" s="64"/>
      <c r="BZG19" s="64"/>
      <c r="BZH19" s="64"/>
      <c r="BZI19" s="64"/>
      <c r="BZJ19" s="64"/>
      <c r="BZK19" s="64"/>
      <c r="BZL19" s="64"/>
      <c r="BZM19" s="64"/>
      <c r="BZN19" s="64"/>
      <c r="BZO19" s="64"/>
      <c r="BZP19" s="64"/>
      <c r="BZQ19" s="64"/>
      <c r="BZR19" s="64"/>
      <c r="BZS19" s="64"/>
      <c r="BZT19" s="64"/>
      <c r="BZU19" s="64"/>
      <c r="BZV19" s="64"/>
      <c r="BZW19" s="64"/>
      <c r="BZX19" s="64"/>
      <c r="BZY19" s="64"/>
      <c r="BZZ19" s="64"/>
      <c r="CAA19" s="64"/>
      <c r="CAB19" s="64"/>
      <c r="CAC19" s="64"/>
      <c r="CAD19" s="64"/>
      <c r="CAE19" s="64"/>
      <c r="CAF19" s="64"/>
      <c r="CAG19" s="64"/>
      <c r="CAH19" s="64"/>
      <c r="CAI19" s="64"/>
      <c r="CAJ19" s="64"/>
      <c r="CAK19" s="64"/>
      <c r="CAL19" s="64"/>
      <c r="CAM19" s="64"/>
      <c r="CAN19" s="64"/>
      <c r="CAO19" s="64"/>
      <c r="CAP19" s="64"/>
      <c r="CAQ19" s="64"/>
      <c r="CAR19" s="64"/>
      <c r="CAS19" s="64"/>
      <c r="CAT19" s="64"/>
      <c r="CAU19" s="64"/>
      <c r="CAV19" s="64"/>
      <c r="CAW19" s="64"/>
      <c r="CAX19" s="64"/>
      <c r="CAY19" s="64"/>
      <c r="CAZ19" s="64"/>
      <c r="CBA19" s="64"/>
      <c r="CBB19" s="64"/>
      <c r="CBC19" s="64"/>
      <c r="CBD19" s="64"/>
      <c r="CBE19" s="64"/>
      <c r="CBF19" s="64"/>
      <c r="CBG19" s="64"/>
      <c r="CBH19" s="64"/>
      <c r="CBI19" s="64"/>
      <c r="CBJ19" s="64"/>
      <c r="CBK19" s="64"/>
      <c r="CBL19" s="64"/>
      <c r="CBM19" s="64"/>
      <c r="CBN19" s="64"/>
      <c r="CBO19" s="64"/>
      <c r="CBP19" s="64"/>
      <c r="CBQ19" s="64"/>
      <c r="CBR19" s="64"/>
      <c r="CBS19" s="64"/>
      <c r="CBT19" s="64"/>
      <c r="CBU19" s="64"/>
      <c r="CBV19" s="64"/>
      <c r="CBW19" s="64"/>
      <c r="CBX19" s="64"/>
      <c r="CBY19" s="64"/>
      <c r="CBZ19" s="64"/>
      <c r="CCA19" s="64"/>
      <c r="CCB19" s="64"/>
      <c r="CCC19" s="64"/>
      <c r="CCD19" s="64"/>
      <c r="CCE19" s="64"/>
      <c r="CCF19" s="64"/>
      <c r="CCG19" s="64"/>
      <c r="CCH19" s="64"/>
      <c r="CCI19" s="64"/>
      <c r="CCJ19" s="64"/>
      <c r="CCK19" s="64"/>
      <c r="CCL19" s="64"/>
      <c r="CCM19" s="64"/>
      <c r="CCN19" s="64"/>
      <c r="CCO19" s="64"/>
      <c r="CCP19" s="64"/>
      <c r="CCQ19" s="64"/>
      <c r="CCR19" s="64"/>
      <c r="CCS19" s="64"/>
      <c r="CCT19" s="64"/>
      <c r="CCU19" s="64"/>
      <c r="CCV19" s="64"/>
      <c r="CCW19" s="64"/>
      <c r="CCX19" s="64"/>
      <c r="CCY19" s="64"/>
      <c r="CCZ19" s="64"/>
      <c r="CDA19" s="64"/>
      <c r="CDB19" s="64"/>
      <c r="CDC19" s="64"/>
      <c r="CDD19" s="64"/>
      <c r="CDE19" s="64"/>
      <c r="CDF19" s="64"/>
      <c r="CDG19" s="64"/>
      <c r="CDH19" s="64"/>
      <c r="CDI19" s="64"/>
      <c r="CDJ19" s="64"/>
      <c r="CDK19" s="64"/>
      <c r="CDL19" s="64"/>
      <c r="CDM19" s="64"/>
      <c r="CDN19" s="64"/>
      <c r="CDO19" s="64"/>
      <c r="CDP19" s="64"/>
      <c r="CDQ19" s="64"/>
      <c r="CDR19" s="64"/>
      <c r="CDS19" s="64"/>
      <c r="CDT19" s="64"/>
      <c r="CDU19" s="64"/>
      <c r="CDV19" s="64"/>
      <c r="CDW19" s="64"/>
      <c r="CDX19" s="64"/>
      <c r="CDY19" s="64"/>
      <c r="CDZ19" s="64"/>
      <c r="CEA19" s="64"/>
      <c r="CEB19" s="64"/>
      <c r="CEC19" s="64"/>
      <c r="CED19" s="64"/>
      <c r="CEE19" s="64"/>
      <c r="CEF19" s="64"/>
      <c r="CEG19" s="64"/>
      <c r="CEH19" s="64"/>
      <c r="CEI19" s="64"/>
      <c r="CEJ19" s="64"/>
      <c r="CEK19" s="64"/>
      <c r="CEL19" s="64"/>
      <c r="CEM19" s="64"/>
      <c r="CEN19" s="64"/>
      <c r="CEO19" s="64"/>
      <c r="CEP19" s="64"/>
      <c r="CEQ19" s="64"/>
      <c r="CER19" s="64"/>
      <c r="CES19" s="64"/>
      <c r="CET19" s="64"/>
      <c r="CEU19" s="64"/>
      <c r="CEV19" s="64"/>
      <c r="CEW19" s="64"/>
      <c r="CEX19" s="64"/>
      <c r="CEY19" s="64"/>
      <c r="CEZ19" s="64"/>
      <c r="CFA19" s="64"/>
      <c r="CFB19" s="64"/>
      <c r="CFC19" s="64"/>
      <c r="CFD19" s="64"/>
      <c r="CFE19" s="64"/>
      <c r="CFF19" s="64"/>
      <c r="CFG19" s="64"/>
      <c r="CFH19" s="64"/>
      <c r="CFI19" s="64"/>
      <c r="CFJ19" s="64"/>
      <c r="CFK19" s="64"/>
      <c r="CFL19" s="64"/>
      <c r="CFM19" s="64"/>
      <c r="CFN19" s="64"/>
      <c r="CFO19" s="64"/>
      <c r="CFP19" s="64"/>
      <c r="CFQ19" s="64"/>
      <c r="CFR19" s="64"/>
      <c r="CFS19" s="64"/>
      <c r="CFT19" s="64"/>
      <c r="CFU19" s="64"/>
      <c r="CFV19" s="64"/>
      <c r="CFW19" s="64"/>
      <c r="CFX19" s="64"/>
      <c r="CFY19" s="64"/>
      <c r="CFZ19" s="64"/>
      <c r="CGA19" s="64"/>
      <c r="CGB19" s="64"/>
      <c r="CGC19" s="64"/>
      <c r="CGD19" s="64"/>
      <c r="CGE19" s="64"/>
      <c r="CGF19" s="64"/>
      <c r="CGG19" s="64"/>
      <c r="CGH19" s="64"/>
      <c r="CGI19" s="64"/>
      <c r="CGJ19" s="64"/>
      <c r="CGK19" s="64"/>
      <c r="CGL19" s="64"/>
      <c r="CGM19" s="64"/>
      <c r="CGN19" s="64"/>
      <c r="CGO19" s="64"/>
      <c r="CGP19" s="64"/>
      <c r="CGQ19" s="64"/>
      <c r="CGR19" s="64"/>
      <c r="CGS19" s="64"/>
      <c r="CGT19" s="64"/>
      <c r="CGU19" s="64"/>
      <c r="CGV19" s="64"/>
      <c r="CGW19" s="64"/>
      <c r="CGX19" s="64"/>
      <c r="CGY19" s="64"/>
      <c r="CGZ19" s="64"/>
      <c r="CHA19" s="64"/>
      <c r="CHB19" s="64"/>
      <c r="CHC19" s="64"/>
      <c r="CHD19" s="64"/>
      <c r="CHE19" s="64"/>
      <c r="CHF19" s="64"/>
      <c r="CHG19" s="64"/>
      <c r="CHH19" s="64"/>
      <c r="CHI19" s="64"/>
      <c r="CHJ19" s="64"/>
      <c r="CHK19" s="64"/>
      <c r="CHL19" s="64"/>
      <c r="CHM19" s="64"/>
      <c r="CHN19" s="64"/>
      <c r="CHO19" s="64"/>
      <c r="CHP19" s="64"/>
      <c r="CHQ19" s="64"/>
      <c r="CHR19" s="64"/>
      <c r="CHS19" s="64"/>
      <c r="CHT19" s="64"/>
      <c r="CHU19" s="64"/>
      <c r="CHV19" s="64"/>
      <c r="CHW19" s="64"/>
      <c r="CHX19" s="64"/>
      <c r="CHY19" s="64"/>
      <c r="CHZ19" s="64"/>
      <c r="CIA19" s="64"/>
      <c r="CIB19" s="64"/>
      <c r="CIC19" s="64"/>
      <c r="CID19" s="64"/>
      <c r="CIE19" s="64"/>
      <c r="CIF19" s="64"/>
      <c r="CIG19" s="64"/>
      <c r="CIH19" s="64"/>
      <c r="CII19" s="64"/>
      <c r="CIJ19" s="64"/>
      <c r="CIK19" s="64"/>
      <c r="CIL19" s="64"/>
      <c r="CIM19" s="64"/>
      <c r="CIN19" s="64"/>
      <c r="CIO19" s="64"/>
      <c r="CIP19" s="64"/>
      <c r="CIQ19" s="64"/>
      <c r="CIR19" s="64"/>
      <c r="CIS19" s="64"/>
      <c r="CIT19" s="64"/>
      <c r="CIU19" s="64"/>
      <c r="CIV19" s="64"/>
      <c r="CIW19" s="64"/>
      <c r="CIX19" s="64"/>
      <c r="CIY19" s="64"/>
      <c r="CIZ19" s="64"/>
      <c r="CJA19" s="64"/>
      <c r="CJB19" s="64"/>
      <c r="CJC19" s="64"/>
      <c r="CJD19" s="64"/>
      <c r="CJE19" s="64"/>
      <c r="CJF19" s="64"/>
      <c r="CJG19" s="64"/>
      <c r="CJH19" s="64"/>
      <c r="CJI19" s="64"/>
      <c r="CJJ19" s="64"/>
      <c r="CJK19" s="64"/>
      <c r="CJL19" s="64"/>
      <c r="CJM19" s="64"/>
      <c r="CJN19" s="64"/>
      <c r="CJO19" s="64"/>
      <c r="CJP19" s="64"/>
      <c r="CJQ19" s="64"/>
      <c r="CJR19" s="64"/>
      <c r="CJS19" s="64"/>
      <c r="CJT19" s="64"/>
      <c r="CJU19" s="64"/>
      <c r="CJV19" s="64"/>
      <c r="CJW19" s="64"/>
      <c r="CJX19" s="64"/>
      <c r="CJY19" s="64"/>
      <c r="CJZ19" s="64"/>
      <c r="CKA19" s="64"/>
      <c r="CKB19" s="64"/>
      <c r="CKC19" s="64"/>
      <c r="CKD19" s="64"/>
      <c r="CKE19" s="64"/>
      <c r="CKF19" s="64"/>
      <c r="CKG19" s="64"/>
      <c r="CKH19" s="64"/>
      <c r="CKI19" s="64"/>
      <c r="CKJ19" s="64"/>
      <c r="CKK19" s="64"/>
      <c r="CKL19" s="64"/>
      <c r="CKM19" s="64"/>
      <c r="CKN19" s="64"/>
      <c r="CKO19" s="64"/>
      <c r="CKP19" s="64"/>
      <c r="CKQ19" s="64"/>
      <c r="CKR19" s="64"/>
      <c r="CKS19" s="64"/>
      <c r="CKT19" s="64"/>
      <c r="CKU19" s="64"/>
      <c r="CKV19" s="64"/>
      <c r="CKW19" s="64"/>
      <c r="CKX19" s="64"/>
      <c r="CKY19" s="64"/>
      <c r="CKZ19" s="64"/>
      <c r="CLA19" s="64"/>
      <c r="CLB19" s="64"/>
      <c r="CLC19" s="64"/>
      <c r="CLD19" s="64"/>
      <c r="CLE19" s="64"/>
      <c r="CLF19" s="64"/>
      <c r="CLG19" s="64"/>
      <c r="CLH19" s="64"/>
      <c r="CLI19" s="64"/>
      <c r="CLJ19" s="64"/>
      <c r="CLK19" s="64"/>
      <c r="CLL19" s="64"/>
      <c r="CLM19" s="64"/>
      <c r="CLN19" s="64"/>
      <c r="CLO19" s="64"/>
      <c r="CLP19" s="64"/>
      <c r="CLQ19" s="64"/>
      <c r="CLR19" s="64"/>
      <c r="CLS19" s="64"/>
      <c r="CLT19" s="64"/>
      <c r="CLU19" s="64"/>
      <c r="CLV19" s="64"/>
      <c r="CLW19" s="64"/>
      <c r="CLX19" s="64"/>
      <c r="CLY19" s="64"/>
      <c r="CLZ19" s="64"/>
      <c r="CMA19" s="64"/>
      <c r="CMB19" s="64"/>
      <c r="CMC19" s="64"/>
      <c r="CMD19" s="64"/>
      <c r="CME19" s="64"/>
      <c r="CMF19" s="64"/>
      <c r="CMG19" s="64"/>
      <c r="CMH19" s="64"/>
      <c r="CMI19" s="64"/>
      <c r="CMJ19" s="64"/>
      <c r="CMK19" s="64"/>
      <c r="CML19" s="64"/>
      <c r="CMM19" s="64"/>
      <c r="CMN19" s="64"/>
      <c r="CMO19" s="64"/>
      <c r="CMP19" s="64"/>
      <c r="CMQ19" s="64"/>
      <c r="CMR19" s="64"/>
      <c r="CMS19" s="64"/>
      <c r="CMT19" s="64"/>
      <c r="CMU19" s="64"/>
      <c r="CMV19" s="64"/>
      <c r="CMW19" s="64"/>
      <c r="CMX19" s="64"/>
      <c r="CMY19" s="64"/>
      <c r="CMZ19" s="64"/>
      <c r="CNA19" s="64"/>
      <c r="CNB19" s="64"/>
      <c r="CNC19" s="64"/>
      <c r="CND19" s="64"/>
      <c r="CNE19" s="64"/>
      <c r="CNF19" s="64"/>
      <c r="CNG19" s="64"/>
      <c r="CNH19" s="64"/>
      <c r="CNI19" s="64"/>
      <c r="CNJ19" s="64"/>
      <c r="CNK19" s="64"/>
      <c r="CNL19" s="64"/>
      <c r="CNM19" s="64"/>
      <c r="CNN19" s="64"/>
      <c r="CNO19" s="64"/>
      <c r="CNP19" s="64"/>
      <c r="CNQ19" s="64"/>
      <c r="CNR19" s="64"/>
      <c r="CNS19" s="64"/>
      <c r="CNT19" s="64"/>
      <c r="CNU19" s="64"/>
      <c r="CNV19" s="64"/>
      <c r="CNW19" s="64"/>
      <c r="CNX19" s="64"/>
      <c r="CNY19" s="64"/>
      <c r="CNZ19" s="64"/>
      <c r="COA19" s="64"/>
      <c r="COB19" s="64"/>
      <c r="COC19" s="64"/>
      <c r="COD19" s="64"/>
      <c r="COE19" s="64"/>
      <c r="COF19" s="64"/>
      <c r="COG19" s="64"/>
      <c r="COH19" s="64"/>
      <c r="COI19" s="64"/>
      <c r="COJ19" s="64"/>
      <c r="COK19" s="64"/>
      <c r="COL19" s="64"/>
      <c r="COM19" s="64"/>
      <c r="CON19" s="64"/>
      <c r="COO19" s="64"/>
      <c r="COP19" s="64"/>
      <c r="COQ19" s="64"/>
      <c r="COR19" s="64"/>
      <c r="COS19" s="64"/>
      <c r="COT19" s="64"/>
      <c r="COU19" s="64"/>
      <c r="COV19" s="64"/>
      <c r="COW19" s="64"/>
      <c r="COX19" s="64"/>
      <c r="COY19" s="64"/>
      <c r="COZ19" s="64"/>
      <c r="CPA19" s="64"/>
      <c r="CPB19" s="64"/>
      <c r="CPC19" s="64"/>
      <c r="CPD19" s="64"/>
      <c r="CPE19" s="64"/>
      <c r="CPF19" s="64"/>
      <c r="CPG19" s="64"/>
      <c r="CPH19" s="64"/>
      <c r="CPI19" s="64"/>
      <c r="CPJ19" s="64"/>
      <c r="CPK19" s="64"/>
      <c r="CPL19" s="64"/>
      <c r="CPM19" s="64"/>
      <c r="CPN19" s="64"/>
      <c r="CPO19" s="64"/>
      <c r="CPP19" s="64"/>
      <c r="CPQ19" s="64"/>
      <c r="CPR19" s="64"/>
      <c r="CPS19" s="64"/>
      <c r="CPT19" s="64"/>
      <c r="CPU19" s="64"/>
      <c r="CPV19" s="64"/>
      <c r="CPW19" s="64"/>
      <c r="CPX19" s="64"/>
      <c r="CPY19" s="64"/>
      <c r="CPZ19" s="64"/>
      <c r="CQA19" s="64"/>
      <c r="CQB19" s="64"/>
      <c r="CQC19" s="64"/>
      <c r="CQD19" s="64"/>
      <c r="CQE19" s="64"/>
      <c r="CQF19" s="64"/>
      <c r="CQG19" s="64"/>
      <c r="CQH19" s="64"/>
      <c r="CQI19" s="64"/>
      <c r="CQJ19" s="64"/>
      <c r="CQK19" s="64"/>
      <c r="CQL19" s="64"/>
      <c r="CQM19" s="64"/>
      <c r="CQN19" s="64"/>
      <c r="CQO19" s="64"/>
      <c r="CQP19" s="64"/>
      <c r="CQQ19" s="64"/>
      <c r="CQR19" s="64"/>
      <c r="CQS19" s="64"/>
      <c r="CQT19" s="64"/>
      <c r="CQU19" s="64"/>
      <c r="CQV19" s="64"/>
      <c r="CQW19" s="64"/>
      <c r="CQX19" s="64"/>
      <c r="CQY19" s="64"/>
      <c r="CQZ19" s="64"/>
      <c r="CRA19" s="64"/>
      <c r="CRB19" s="64"/>
      <c r="CRC19" s="64"/>
      <c r="CRD19" s="64"/>
      <c r="CRE19" s="64"/>
      <c r="CRF19" s="64"/>
      <c r="CRG19" s="64"/>
      <c r="CRH19" s="64"/>
      <c r="CRI19" s="64"/>
      <c r="CRJ19" s="64"/>
      <c r="CRK19" s="64"/>
      <c r="CRL19" s="64"/>
      <c r="CRM19" s="64"/>
      <c r="CRN19" s="64"/>
      <c r="CRO19" s="64"/>
      <c r="CRP19" s="64"/>
      <c r="CRQ19" s="64"/>
      <c r="CRR19" s="64"/>
      <c r="CRS19" s="64"/>
      <c r="CRT19" s="64"/>
      <c r="CRU19" s="64"/>
      <c r="CRV19" s="64"/>
      <c r="CRW19" s="64"/>
      <c r="CRX19" s="64"/>
      <c r="CRY19" s="64"/>
      <c r="CRZ19" s="64"/>
      <c r="CSA19" s="64"/>
      <c r="CSB19" s="64"/>
      <c r="CSC19" s="64"/>
      <c r="CSD19" s="64"/>
      <c r="CSE19" s="64"/>
      <c r="CSF19" s="64"/>
      <c r="CSG19" s="64"/>
      <c r="CSH19" s="64"/>
      <c r="CSI19" s="64"/>
      <c r="CSJ19" s="64"/>
      <c r="CSK19" s="64"/>
      <c r="CSL19" s="64"/>
      <c r="CSM19" s="64"/>
      <c r="CSN19" s="64"/>
      <c r="CSO19" s="64"/>
      <c r="CSP19" s="64"/>
      <c r="CSQ19" s="64"/>
      <c r="CSR19" s="64"/>
      <c r="CSS19" s="64"/>
      <c r="CST19" s="64"/>
      <c r="CSU19" s="64"/>
      <c r="CSV19" s="64"/>
      <c r="CSW19" s="64"/>
      <c r="CSX19" s="64"/>
      <c r="CSY19" s="64"/>
      <c r="CSZ19" s="64"/>
      <c r="CTA19" s="64"/>
      <c r="CTB19" s="64"/>
      <c r="CTC19" s="64"/>
      <c r="CTD19" s="64"/>
      <c r="CTE19" s="64"/>
      <c r="CTF19" s="64"/>
      <c r="CTG19" s="64"/>
      <c r="CTH19" s="64"/>
      <c r="CTI19" s="64"/>
      <c r="CTJ19" s="64"/>
      <c r="CTK19" s="64"/>
      <c r="CTL19" s="64"/>
      <c r="CTM19" s="64"/>
      <c r="CTN19" s="64"/>
      <c r="CTO19" s="64"/>
      <c r="CTP19" s="64"/>
      <c r="CTQ19" s="64"/>
      <c r="CTR19" s="64"/>
      <c r="CTS19" s="64"/>
      <c r="CTT19" s="64"/>
      <c r="CTU19" s="64"/>
      <c r="CTV19" s="64"/>
      <c r="CTW19" s="64"/>
      <c r="CTX19" s="64"/>
      <c r="CTY19" s="64"/>
      <c r="CTZ19" s="64"/>
      <c r="CUA19" s="64"/>
      <c r="CUB19" s="64"/>
      <c r="CUC19" s="64"/>
      <c r="CUD19" s="64"/>
      <c r="CUE19" s="64"/>
      <c r="CUF19" s="64"/>
      <c r="CUG19" s="64"/>
      <c r="CUH19" s="64"/>
      <c r="CUI19" s="64"/>
      <c r="CUJ19" s="64"/>
      <c r="CUK19" s="64"/>
      <c r="CUL19" s="64"/>
      <c r="CUM19" s="64"/>
      <c r="CUN19" s="64"/>
      <c r="CUO19" s="64"/>
      <c r="CUP19" s="64"/>
      <c r="CUQ19" s="64"/>
      <c r="CUR19" s="64"/>
      <c r="CUS19" s="64"/>
      <c r="CUT19" s="64"/>
      <c r="CUU19" s="64"/>
      <c r="CUV19" s="64"/>
      <c r="CUW19" s="64"/>
      <c r="CUX19" s="64"/>
      <c r="CUY19" s="64"/>
      <c r="CUZ19" s="64"/>
      <c r="CVA19" s="64"/>
      <c r="CVB19" s="64"/>
      <c r="CVC19" s="64"/>
      <c r="CVD19" s="64"/>
      <c r="CVE19" s="64"/>
      <c r="CVF19" s="64"/>
      <c r="CVG19" s="64"/>
      <c r="CVH19" s="64"/>
      <c r="CVI19" s="64"/>
      <c r="CVJ19" s="64"/>
      <c r="CVK19" s="64"/>
      <c r="CVL19" s="64"/>
      <c r="CVM19" s="64"/>
      <c r="CVN19" s="64"/>
      <c r="CVO19" s="64"/>
      <c r="CVP19" s="64"/>
      <c r="CVQ19" s="64"/>
      <c r="CVR19" s="64"/>
      <c r="CVS19" s="64"/>
      <c r="CVT19" s="64"/>
      <c r="CVU19" s="64"/>
      <c r="CVV19" s="64"/>
      <c r="CVW19" s="64"/>
      <c r="CVX19" s="64"/>
      <c r="CVY19" s="64"/>
      <c r="CVZ19" s="64"/>
      <c r="CWA19" s="64"/>
      <c r="CWB19" s="64"/>
      <c r="CWC19" s="64"/>
      <c r="CWD19" s="64"/>
      <c r="CWE19" s="64"/>
      <c r="CWF19" s="64"/>
      <c r="CWG19" s="64"/>
      <c r="CWH19" s="64"/>
      <c r="CWI19" s="64"/>
      <c r="CWJ19" s="64"/>
      <c r="CWK19" s="64"/>
      <c r="CWL19" s="64"/>
      <c r="CWM19" s="64"/>
      <c r="CWN19" s="64"/>
      <c r="CWO19" s="64"/>
      <c r="CWP19" s="64"/>
      <c r="CWQ19" s="64"/>
      <c r="CWR19" s="64"/>
      <c r="CWS19" s="64"/>
      <c r="CWT19" s="64"/>
      <c r="CWU19" s="64"/>
      <c r="CWV19" s="64"/>
      <c r="CWW19" s="64"/>
      <c r="CWX19" s="64"/>
      <c r="CWY19" s="64"/>
      <c r="CWZ19" s="64"/>
      <c r="CXA19" s="64"/>
      <c r="CXB19" s="64"/>
      <c r="CXC19" s="64"/>
      <c r="CXD19" s="64"/>
      <c r="CXE19" s="64"/>
      <c r="CXF19" s="64"/>
      <c r="CXG19" s="64"/>
      <c r="CXH19" s="64"/>
      <c r="CXI19" s="64"/>
      <c r="CXJ19" s="64"/>
      <c r="CXK19" s="64"/>
      <c r="CXL19" s="64"/>
      <c r="CXM19" s="64"/>
      <c r="CXN19" s="64"/>
      <c r="CXO19" s="64"/>
      <c r="CXP19" s="64"/>
      <c r="CXQ19" s="64"/>
      <c r="CXR19" s="64"/>
      <c r="CXS19" s="64"/>
      <c r="CXT19" s="64"/>
      <c r="CXU19" s="64"/>
      <c r="CXV19" s="64"/>
      <c r="CXW19" s="64"/>
      <c r="CXX19" s="64"/>
      <c r="CXY19" s="64"/>
      <c r="CXZ19" s="64"/>
      <c r="CYA19" s="64"/>
      <c r="CYB19" s="64"/>
      <c r="CYC19" s="64"/>
      <c r="CYD19" s="64"/>
      <c r="CYE19" s="64"/>
      <c r="CYF19" s="64"/>
      <c r="CYG19" s="64"/>
      <c r="CYH19" s="64"/>
      <c r="CYI19" s="64"/>
      <c r="CYJ19" s="64"/>
      <c r="CYK19" s="64"/>
      <c r="CYL19" s="64"/>
      <c r="CYM19" s="64"/>
      <c r="CYN19" s="64"/>
      <c r="CYO19" s="64"/>
      <c r="CYP19" s="64"/>
      <c r="CYQ19" s="64"/>
      <c r="CYR19" s="64"/>
      <c r="CYS19" s="64"/>
      <c r="CYT19" s="64"/>
      <c r="CYU19" s="64"/>
      <c r="CYV19" s="64"/>
      <c r="CYW19" s="64"/>
      <c r="CYX19" s="64"/>
      <c r="CYY19" s="64"/>
      <c r="CYZ19" s="64"/>
      <c r="CZA19" s="64"/>
      <c r="CZB19" s="64"/>
      <c r="CZC19" s="64"/>
      <c r="CZD19" s="64"/>
      <c r="CZE19" s="64"/>
      <c r="CZF19" s="64"/>
      <c r="CZG19" s="64"/>
      <c r="CZH19" s="64"/>
      <c r="CZI19" s="64"/>
      <c r="CZJ19" s="64"/>
      <c r="CZK19" s="64"/>
      <c r="CZL19" s="64"/>
      <c r="CZM19" s="64"/>
      <c r="CZN19" s="64"/>
      <c r="CZO19" s="64"/>
      <c r="CZP19" s="64"/>
      <c r="CZQ19" s="64"/>
      <c r="CZR19" s="64"/>
      <c r="CZS19" s="64"/>
      <c r="CZT19" s="64"/>
      <c r="CZU19" s="64"/>
      <c r="CZV19" s="64"/>
      <c r="CZW19" s="64"/>
      <c r="CZX19" s="64"/>
      <c r="CZY19" s="64"/>
      <c r="CZZ19" s="64"/>
      <c r="DAA19" s="64"/>
      <c r="DAB19" s="64"/>
      <c r="DAC19" s="64"/>
      <c r="DAD19" s="64"/>
      <c r="DAE19" s="64"/>
      <c r="DAF19" s="64"/>
      <c r="DAG19" s="64"/>
      <c r="DAH19" s="64"/>
      <c r="DAI19" s="64"/>
      <c r="DAJ19" s="64"/>
      <c r="DAK19" s="64"/>
      <c r="DAL19" s="64"/>
      <c r="DAM19" s="64"/>
      <c r="DAN19" s="64"/>
      <c r="DAO19" s="64"/>
      <c r="DAP19" s="64"/>
      <c r="DAQ19" s="64"/>
      <c r="DAR19" s="64"/>
      <c r="DAS19" s="64"/>
      <c r="DAT19" s="64"/>
      <c r="DAU19" s="64"/>
      <c r="DAV19" s="64"/>
      <c r="DAW19" s="64"/>
      <c r="DAX19" s="64"/>
      <c r="DAY19" s="64"/>
      <c r="DAZ19" s="64"/>
      <c r="DBA19" s="64"/>
      <c r="DBB19" s="64"/>
      <c r="DBC19" s="64"/>
      <c r="DBD19" s="64"/>
      <c r="DBE19" s="64"/>
      <c r="DBF19" s="64"/>
      <c r="DBG19" s="64"/>
      <c r="DBH19" s="64"/>
      <c r="DBI19" s="64"/>
      <c r="DBJ19" s="64"/>
      <c r="DBK19" s="64"/>
      <c r="DBL19" s="64"/>
      <c r="DBM19" s="64"/>
      <c r="DBN19" s="64"/>
      <c r="DBO19" s="64"/>
      <c r="DBP19" s="64"/>
      <c r="DBQ19" s="64"/>
      <c r="DBR19" s="64"/>
      <c r="DBS19" s="64"/>
      <c r="DBT19" s="64"/>
      <c r="DBU19" s="64"/>
      <c r="DBV19" s="64"/>
      <c r="DBW19" s="64"/>
      <c r="DBX19" s="64"/>
      <c r="DBY19" s="64"/>
      <c r="DBZ19" s="64"/>
      <c r="DCA19" s="64"/>
      <c r="DCB19" s="64"/>
      <c r="DCC19" s="64"/>
      <c r="DCD19" s="64"/>
      <c r="DCE19" s="64"/>
      <c r="DCF19" s="64"/>
      <c r="DCG19" s="64"/>
      <c r="DCH19" s="64"/>
      <c r="DCI19" s="64"/>
      <c r="DCJ19" s="64"/>
      <c r="DCK19" s="64"/>
      <c r="DCL19" s="64"/>
      <c r="DCM19" s="64"/>
      <c r="DCN19" s="64"/>
      <c r="DCO19" s="64"/>
      <c r="DCP19" s="64"/>
      <c r="DCQ19" s="64"/>
      <c r="DCR19" s="64"/>
      <c r="DCS19" s="64"/>
      <c r="DCT19" s="64"/>
      <c r="DCU19" s="64"/>
      <c r="DCV19" s="64"/>
      <c r="DCW19" s="64"/>
      <c r="DCX19" s="64"/>
      <c r="DCY19" s="64"/>
      <c r="DCZ19" s="64"/>
      <c r="DDA19" s="64"/>
      <c r="DDB19" s="64"/>
      <c r="DDC19" s="64"/>
      <c r="DDD19" s="64"/>
      <c r="DDE19" s="64"/>
      <c r="DDF19" s="64"/>
      <c r="DDG19" s="64"/>
      <c r="DDH19" s="64"/>
      <c r="DDI19" s="64"/>
      <c r="DDJ19" s="64"/>
      <c r="DDK19" s="64"/>
      <c r="DDL19" s="64"/>
      <c r="DDM19" s="64"/>
      <c r="DDN19" s="64"/>
      <c r="DDO19" s="64"/>
      <c r="DDP19" s="64"/>
      <c r="DDQ19" s="64"/>
      <c r="DDR19" s="64"/>
      <c r="DDS19" s="64"/>
      <c r="DDT19" s="64"/>
      <c r="DDU19" s="64"/>
      <c r="DDV19" s="64"/>
      <c r="DDW19" s="64"/>
      <c r="DDX19" s="64"/>
      <c r="DDY19" s="64"/>
      <c r="DDZ19" s="64"/>
      <c r="DEA19" s="64"/>
      <c r="DEB19" s="64"/>
      <c r="DEC19" s="64"/>
      <c r="DED19" s="64"/>
      <c r="DEE19" s="64"/>
      <c r="DEF19" s="64"/>
      <c r="DEG19" s="64"/>
      <c r="DEH19" s="64"/>
      <c r="DEI19" s="64"/>
      <c r="DEJ19" s="64"/>
      <c r="DEK19" s="64"/>
      <c r="DEL19" s="64"/>
      <c r="DEM19" s="64"/>
      <c r="DEN19" s="64"/>
      <c r="DEO19" s="64"/>
      <c r="DEP19" s="64"/>
      <c r="DEQ19" s="64"/>
      <c r="DER19" s="64"/>
      <c r="DES19" s="64"/>
      <c r="DET19" s="64"/>
      <c r="DEU19" s="64"/>
      <c r="DEV19" s="64"/>
      <c r="DEW19" s="64"/>
      <c r="DEX19" s="64"/>
      <c r="DEY19" s="64"/>
      <c r="DEZ19" s="64"/>
      <c r="DFA19" s="64"/>
      <c r="DFB19" s="64"/>
      <c r="DFC19" s="64"/>
      <c r="DFD19" s="64"/>
      <c r="DFE19" s="64"/>
      <c r="DFF19" s="64"/>
      <c r="DFG19" s="64"/>
      <c r="DFH19" s="64"/>
      <c r="DFI19" s="64"/>
      <c r="DFJ19" s="64"/>
      <c r="DFK19" s="64"/>
      <c r="DFL19" s="64"/>
      <c r="DFM19" s="64"/>
      <c r="DFN19" s="64"/>
      <c r="DFO19" s="64"/>
      <c r="DFP19" s="64"/>
      <c r="DFQ19" s="64"/>
      <c r="DFR19" s="64"/>
      <c r="DFS19" s="64"/>
      <c r="DFT19" s="64"/>
      <c r="DFU19" s="64"/>
      <c r="DFV19" s="64"/>
      <c r="DFW19" s="64"/>
      <c r="DFX19" s="64"/>
      <c r="DFY19" s="64"/>
      <c r="DFZ19" s="64"/>
      <c r="DGA19" s="64"/>
      <c r="DGB19" s="64"/>
      <c r="DGC19" s="64"/>
      <c r="DGD19" s="64"/>
      <c r="DGE19" s="64"/>
      <c r="DGF19" s="64"/>
      <c r="DGG19" s="64"/>
      <c r="DGH19" s="64"/>
      <c r="DGI19" s="64"/>
      <c r="DGJ19" s="64"/>
      <c r="DGK19" s="64"/>
      <c r="DGL19" s="64"/>
      <c r="DGM19" s="64"/>
      <c r="DGN19" s="64"/>
      <c r="DGO19" s="64"/>
      <c r="DGP19" s="64"/>
      <c r="DGQ19" s="64"/>
      <c r="DGR19" s="64"/>
      <c r="DGS19" s="64"/>
      <c r="DGT19" s="64"/>
      <c r="DGU19" s="64"/>
      <c r="DGV19" s="64"/>
      <c r="DGW19" s="64"/>
      <c r="DGX19" s="64"/>
      <c r="DGY19" s="64"/>
      <c r="DGZ19" s="64"/>
      <c r="DHA19" s="64"/>
      <c r="DHB19" s="64"/>
      <c r="DHC19" s="64"/>
      <c r="DHD19" s="64"/>
      <c r="DHE19" s="64"/>
      <c r="DHF19" s="64"/>
      <c r="DHG19" s="64"/>
      <c r="DHH19" s="64"/>
      <c r="DHI19" s="64"/>
      <c r="DHJ19" s="64"/>
      <c r="DHK19" s="64"/>
      <c r="DHL19" s="64"/>
      <c r="DHM19" s="64"/>
      <c r="DHN19" s="64"/>
      <c r="DHO19" s="64"/>
      <c r="DHP19" s="64"/>
      <c r="DHQ19" s="64"/>
      <c r="DHR19" s="64"/>
      <c r="DHS19" s="64"/>
      <c r="DHT19" s="64"/>
      <c r="DHU19" s="64"/>
      <c r="DHV19" s="64"/>
      <c r="DHW19" s="64"/>
      <c r="DHX19" s="64"/>
      <c r="DHY19" s="64"/>
      <c r="DHZ19" s="64"/>
      <c r="DIA19" s="64"/>
      <c r="DIB19" s="64"/>
      <c r="DIC19" s="64"/>
      <c r="DID19" s="64"/>
      <c r="DIE19" s="64"/>
      <c r="DIF19" s="64"/>
      <c r="DIG19" s="64"/>
      <c r="DIH19" s="64"/>
      <c r="DII19" s="64"/>
      <c r="DIJ19" s="64"/>
      <c r="DIK19" s="64"/>
      <c r="DIL19" s="64"/>
      <c r="DIM19" s="64"/>
      <c r="DIN19" s="64"/>
      <c r="DIO19" s="64"/>
      <c r="DIP19" s="64"/>
      <c r="DIQ19" s="64"/>
      <c r="DIR19" s="64"/>
      <c r="DIS19" s="64"/>
      <c r="DIT19" s="64"/>
      <c r="DIU19" s="64"/>
      <c r="DIV19" s="64"/>
      <c r="DIW19" s="64"/>
      <c r="DIX19" s="64"/>
      <c r="DIY19" s="64"/>
      <c r="DIZ19" s="64"/>
      <c r="DJA19" s="64"/>
      <c r="DJB19" s="64"/>
      <c r="DJC19" s="64"/>
      <c r="DJD19" s="64"/>
      <c r="DJE19" s="64"/>
      <c r="DJF19" s="64"/>
      <c r="DJG19" s="64"/>
      <c r="DJH19" s="64"/>
      <c r="DJI19" s="64"/>
      <c r="DJJ19" s="64"/>
      <c r="DJK19" s="64"/>
      <c r="DJL19" s="64"/>
      <c r="DJM19" s="64"/>
      <c r="DJN19" s="64"/>
      <c r="DJO19" s="64"/>
      <c r="DJP19" s="64"/>
      <c r="DJQ19" s="64"/>
      <c r="DJR19" s="64"/>
      <c r="DJS19" s="64"/>
      <c r="DJT19" s="64"/>
      <c r="DJU19" s="64"/>
      <c r="DJV19" s="64"/>
      <c r="DJW19" s="64"/>
      <c r="DJX19" s="64"/>
      <c r="DJY19" s="64"/>
      <c r="DJZ19" s="64"/>
      <c r="DKA19" s="64"/>
      <c r="DKB19" s="64"/>
      <c r="DKC19" s="64"/>
      <c r="DKD19" s="64"/>
      <c r="DKE19" s="64"/>
      <c r="DKF19" s="64"/>
      <c r="DKG19" s="64"/>
      <c r="DKH19" s="64"/>
      <c r="DKI19" s="64"/>
      <c r="DKJ19" s="64"/>
      <c r="DKK19" s="64"/>
      <c r="DKL19" s="64"/>
      <c r="DKM19" s="64"/>
      <c r="DKN19" s="64"/>
      <c r="DKO19" s="64"/>
      <c r="DKP19" s="64"/>
      <c r="DKQ19" s="64"/>
      <c r="DKR19" s="64"/>
      <c r="DKS19" s="64"/>
      <c r="DKT19" s="64"/>
      <c r="DKU19" s="64"/>
      <c r="DKV19" s="64"/>
      <c r="DKW19" s="64"/>
      <c r="DKX19" s="64"/>
      <c r="DKY19" s="64"/>
      <c r="DKZ19" s="64"/>
      <c r="DLA19" s="64"/>
      <c r="DLB19" s="64"/>
      <c r="DLC19" s="64"/>
      <c r="DLD19" s="64"/>
      <c r="DLE19" s="64"/>
      <c r="DLF19" s="64"/>
      <c r="DLG19" s="64"/>
      <c r="DLH19" s="64"/>
      <c r="DLI19" s="64"/>
      <c r="DLJ19" s="64"/>
      <c r="DLK19" s="64"/>
      <c r="DLL19" s="64"/>
      <c r="DLM19" s="64"/>
      <c r="DLN19" s="64"/>
      <c r="DLO19" s="64"/>
      <c r="DLP19" s="64"/>
      <c r="DLQ19" s="64"/>
      <c r="DLR19" s="64"/>
      <c r="DLS19" s="64"/>
      <c r="DLT19" s="64"/>
      <c r="DLU19" s="64"/>
      <c r="DLV19" s="64"/>
      <c r="DLW19" s="64"/>
      <c r="DLX19" s="64"/>
      <c r="DLY19" s="64"/>
      <c r="DLZ19" s="64"/>
      <c r="DMA19" s="64"/>
      <c r="DMB19" s="64"/>
      <c r="DMC19" s="64"/>
      <c r="DMD19" s="64"/>
      <c r="DME19" s="64"/>
      <c r="DMF19" s="64"/>
      <c r="DMG19" s="64"/>
      <c r="DMH19" s="64"/>
      <c r="DMI19" s="64"/>
      <c r="DMJ19" s="64"/>
      <c r="DMK19" s="64"/>
      <c r="DML19" s="64"/>
      <c r="DMM19" s="64"/>
      <c r="DMN19" s="64"/>
      <c r="DMO19" s="64"/>
      <c r="DMP19" s="64"/>
      <c r="DMQ19" s="64"/>
      <c r="DMR19" s="64"/>
      <c r="DMS19" s="64"/>
      <c r="DMT19" s="64"/>
      <c r="DMU19" s="64"/>
      <c r="DMV19" s="64"/>
      <c r="DMW19" s="64"/>
      <c r="DMX19" s="64"/>
      <c r="DMY19" s="64"/>
      <c r="DMZ19" s="64"/>
      <c r="DNA19" s="64"/>
      <c r="DNB19" s="64"/>
      <c r="DNC19" s="64"/>
      <c r="DND19" s="64"/>
      <c r="DNE19" s="64"/>
      <c r="DNF19" s="64"/>
      <c r="DNG19" s="64"/>
      <c r="DNH19" s="64"/>
      <c r="DNI19" s="64"/>
      <c r="DNJ19" s="64"/>
      <c r="DNK19" s="64"/>
      <c r="DNL19" s="64"/>
      <c r="DNM19" s="64"/>
      <c r="DNN19" s="64"/>
      <c r="DNO19" s="64"/>
      <c r="DNP19" s="64"/>
      <c r="DNQ19" s="64"/>
      <c r="DNR19" s="64"/>
      <c r="DNS19" s="64"/>
      <c r="DNT19" s="64"/>
      <c r="DNU19" s="64"/>
      <c r="DNV19" s="64"/>
      <c r="DNW19" s="64"/>
      <c r="DNX19" s="64"/>
      <c r="DNY19" s="64"/>
      <c r="DNZ19" s="64"/>
      <c r="DOA19" s="64"/>
      <c r="DOB19" s="64"/>
      <c r="DOC19" s="64"/>
      <c r="DOD19" s="64"/>
      <c r="DOE19" s="64"/>
      <c r="DOF19" s="64"/>
      <c r="DOG19" s="64"/>
      <c r="DOH19" s="64"/>
      <c r="DOI19" s="64"/>
      <c r="DOJ19" s="64"/>
      <c r="DOK19" s="64"/>
      <c r="DOL19" s="64"/>
      <c r="DOM19" s="64"/>
      <c r="DON19" s="64"/>
      <c r="DOO19" s="64"/>
      <c r="DOP19" s="64"/>
      <c r="DOQ19" s="64"/>
      <c r="DOR19" s="64"/>
      <c r="DOS19" s="64"/>
      <c r="DOT19" s="64"/>
      <c r="DOU19" s="64"/>
      <c r="DOV19" s="64"/>
      <c r="DOW19" s="64"/>
      <c r="DOX19" s="64"/>
      <c r="DOY19" s="64"/>
      <c r="DOZ19" s="64"/>
      <c r="DPA19" s="64"/>
      <c r="DPB19" s="64"/>
      <c r="DPC19" s="64"/>
      <c r="DPD19" s="64"/>
      <c r="DPE19" s="64"/>
      <c r="DPF19" s="64"/>
      <c r="DPG19" s="64"/>
      <c r="DPH19" s="64"/>
      <c r="DPI19" s="64"/>
      <c r="DPJ19" s="64"/>
      <c r="DPK19" s="64"/>
      <c r="DPL19" s="64"/>
      <c r="DPM19" s="64"/>
      <c r="DPN19" s="64"/>
      <c r="DPO19" s="64"/>
      <c r="DPP19" s="64"/>
      <c r="DPQ19" s="64"/>
      <c r="DPR19" s="64"/>
      <c r="DPS19" s="64"/>
      <c r="DPT19" s="64"/>
      <c r="DPU19" s="64"/>
      <c r="DPV19" s="64"/>
      <c r="DPW19" s="64"/>
      <c r="DPX19" s="64"/>
      <c r="DPY19" s="64"/>
      <c r="DPZ19" s="64"/>
      <c r="DQA19" s="64"/>
      <c r="DQB19" s="64"/>
      <c r="DQC19" s="64"/>
      <c r="DQD19" s="64"/>
      <c r="DQE19" s="64"/>
      <c r="DQF19" s="64"/>
      <c r="DQG19" s="64"/>
      <c r="DQH19" s="64"/>
      <c r="DQI19" s="64"/>
      <c r="DQJ19" s="64"/>
      <c r="DQK19" s="64"/>
      <c r="DQL19" s="64"/>
      <c r="DQM19" s="64"/>
      <c r="DQN19" s="64"/>
      <c r="DQO19" s="64"/>
      <c r="DQP19" s="64"/>
      <c r="DQQ19" s="64"/>
      <c r="DQR19" s="64"/>
      <c r="DQS19" s="64"/>
      <c r="DQT19" s="64"/>
      <c r="DQU19" s="64"/>
      <c r="DQV19" s="64"/>
      <c r="DQW19" s="64"/>
      <c r="DQX19" s="64"/>
      <c r="DQY19" s="64"/>
      <c r="DQZ19" s="64"/>
      <c r="DRA19" s="64"/>
      <c r="DRB19" s="64"/>
      <c r="DRC19" s="64"/>
      <c r="DRD19" s="64"/>
      <c r="DRE19" s="64"/>
      <c r="DRF19" s="64"/>
      <c r="DRG19" s="64"/>
      <c r="DRH19" s="64"/>
      <c r="DRI19" s="64"/>
      <c r="DRJ19" s="64"/>
      <c r="DRK19" s="64"/>
      <c r="DRL19" s="64"/>
      <c r="DRM19" s="64"/>
      <c r="DRN19" s="64"/>
      <c r="DRO19" s="64"/>
      <c r="DRP19" s="64"/>
      <c r="DRQ19" s="64"/>
      <c r="DRR19" s="64"/>
      <c r="DRS19" s="64"/>
      <c r="DRT19" s="64"/>
      <c r="DRU19" s="64"/>
      <c r="DRV19" s="64"/>
      <c r="DRW19" s="64"/>
      <c r="DRX19" s="64"/>
      <c r="DRY19" s="64"/>
      <c r="DRZ19" s="64"/>
      <c r="DSA19" s="64"/>
      <c r="DSB19" s="64"/>
      <c r="DSC19" s="64"/>
      <c r="DSD19" s="64"/>
      <c r="DSE19" s="64"/>
      <c r="DSF19" s="64"/>
      <c r="DSG19" s="64"/>
      <c r="DSH19" s="64"/>
      <c r="DSI19" s="64"/>
      <c r="DSJ19" s="64"/>
      <c r="DSK19" s="64"/>
      <c r="DSL19" s="64"/>
      <c r="DSM19" s="64"/>
      <c r="DSN19" s="64"/>
      <c r="DSO19" s="64"/>
      <c r="DSP19" s="64"/>
      <c r="DSQ19" s="64"/>
      <c r="DSR19" s="64"/>
      <c r="DSS19" s="64"/>
      <c r="DST19" s="64"/>
      <c r="DSU19" s="64"/>
      <c r="DSV19" s="64"/>
      <c r="DSW19" s="64"/>
      <c r="DSX19" s="64"/>
      <c r="DSY19" s="64"/>
      <c r="DSZ19" s="64"/>
      <c r="DTA19" s="64"/>
      <c r="DTB19" s="64"/>
      <c r="DTC19" s="64"/>
      <c r="DTD19" s="64"/>
      <c r="DTE19" s="64"/>
      <c r="DTF19" s="64"/>
      <c r="DTG19" s="64"/>
      <c r="DTH19" s="64"/>
      <c r="DTI19" s="64"/>
      <c r="DTJ19" s="64"/>
      <c r="DTK19" s="64"/>
      <c r="DTL19" s="64"/>
      <c r="DTM19" s="64"/>
      <c r="DTN19" s="64"/>
      <c r="DTO19" s="64"/>
      <c r="DTP19" s="64"/>
      <c r="DTQ19" s="64"/>
      <c r="DTR19" s="64"/>
      <c r="DTS19" s="64"/>
      <c r="DTT19" s="64"/>
      <c r="DTU19" s="64"/>
      <c r="DTV19" s="64"/>
      <c r="DTW19" s="64"/>
      <c r="DTX19" s="64"/>
      <c r="DTY19" s="64"/>
      <c r="DTZ19" s="64"/>
      <c r="DUA19" s="64"/>
      <c r="DUB19" s="64"/>
      <c r="DUC19" s="64"/>
      <c r="DUD19" s="64"/>
      <c r="DUE19" s="64"/>
      <c r="DUF19" s="64"/>
      <c r="DUG19" s="64"/>
      <c r="DUH19" s="64"/>
      <c r="DUI19" s="64"/>
      <c r="DUJ19" s="64"/>
      <c r="DUK19" s="64"/>
      <c r="DUL19" s="64"/>
      <c r="DUM19" s="64"/>
      <c r="DUN19" s="64"/>
      <c r="DUO19" s="64"/>
      <c r="DUP19" s="64"/>
      <c r="DUQ19" s="64"/>
      <c r="DUR19" s="64"/>
      <c r="DUS19" s="64"/>
      <c r="DUT19" s="64"/>
      <c r="DUU19" s="64"/>
      <c r="DUV19" s="64"/>
      <c r="DUW19" s="64"/>
      <c r="DUX19" s="64"/>
      <c r="DUY19" s="64"/>
      <c r="DUZ19" s="64"/>
      <c r="DVA19" s="64"/>
      <c r="DVB19" s="64"/>
      <c r="DVC19" s="64"/>
      <c r="DVD19" s="64"/>
      <c r="DVE19" s="64"/>
      <c r="DVF19" s="64"/>
      <c r="DVG19" s="64"/>
      <c r="DVH19" s="64"/>
      <c r="DVI19" s="64"/>
      <c r="DVJ19" s="64"/>
      <c r="DVK19" s="64"/>
      <c r="DVL19" s="64"/>
      <c r="DVM19" s="64"/>
      <c r="DVN19" s="64"/>
      <c r="DVO19" s="64"/>
      <c r="DVP19" s="64"/>
      <c r="DVQ19" s="64"/>
      <c r="DVR19" s="64"/>
      <c r="DVS19" s="64"/>
      <c r="DVT19" s="64"/>
      <c r="DVU19" s="64"/>
      <c r="DVV19" s="64"/>
      <c r="DVW19" s="64"/>
      <c r="DVX19" s="64"/>
      <c r="DVY19" s="64"/>
      <c r="DVZ19" s="64"/>
      <c r="DWA19" s="64"/>
      <c r="DWB19" s="64"/>
      <c r="DWC19" s="64"/>
      <c r="DWD19" s="64"/>
      <c r="DWE19" s="64"/>
      <c r="DWF19" s="64"/>
      <c r="DWG19" s="64"/>
      <c r="DWH19" s="64"/>
      <c r="DWI19" s="64"/>
      <c r="DWJ19" s="64"/>
      <c r="DWK19" s="64"/>
      <c r="DWL19" s="64"/>
      <c r="DWM19" s="64"/>
      <c r="DWN19" s="64"/>
      <c r="DWO19" s="64"/>
      <c r="DWP19" s="64"/>
      <c r="DWQ19" s="64"/>
      <c r="DWR19" s="64"/>
      <c r="DWS19" s="64"/>
      <c r="DWT19" s="64"/>
      <c r="DWU19" s="64"/>
      <c r="DWV19" s="64"/>
      <c r="DWW19" s="64"/>
      <c r="DWX19" s="64"/>
      <c r="DWY19" s="64"/>
      <c r="DWZ19" s="64"/>
      <c r="DXA19" s="64"/>
      <c r="DXB19" s="64"/>
      <c r="DXC19" s="64"/>
      <c r="DXD19" s="64"/>
      <c r="DXE19" s="64"/>
      <c r="DXF19" s="64"/>
      <c r="DXG19" s="64"/>
      <c r="DXH19" s="64"/>
      <c r="DXI19" s="64"/>
      <c r="DXJ19" s="64"/>
      <c r="DXK19" s="64"/>
      <c r="DXL19" s="64"/>
      <c r="DXM19" s="64"/>
      <c r="DXN19" s="64"/>
      <c r="DXO19" s="64"/>
      <c r="DXP19" s="64"/>
      <c r="DXQ19" s="64"/>
      <c r="DXR19" s="64"/>
      <c r="DXS19" s="64"/>
      <c r="DXT19" s="64"/>
      <c r="DXU19" s="64"/>
      <c r="DXV19" s="64"/>
      <c r="DXW19" s="64"/>
      <c r="DXX19" s="64"/>
      <c r="DXY19" s="64"/>
      <c r="DXZ19" s="64"/>
      <c r="DYA19" s="64"/>
      <c r="DYB19" s="64"/>
      <c r="DYC19" s="64"/>
      <c r="DYD19" s="64"/>
      <c r="DYE19" s="64"/>
      <c r="DYF19" s="64"/>
      <c r="DYG19" s="64"/>
      <c r="DYH19" s="64"/>
      <c r="DYI19" s="64"/>
      <c r="DYJ19" s="64"/>
      <c r="DYK19" s="64"/>
      <c r="DYL19" s="64"/>
      <c r="DYM19" s="64"/>
      <c r="DYN19" s="64"/>
      <c r="DYO19" s="64"/>
      <c r="DYP19" s="64"/>
      <c r="DYQ19" s="64"/>
      <c r="DYR19" s="64"/>
      <c r="DYS19" s="64"/>
      <c r="DYT19" s="64"/>
      <c r="DYU19" s="64"/>
      <c r="DYV19" s="64"/>
      <c r="DYW19" s="64"/>
      <c r="DYX19" s="64"/>
      <c r="DYY19" s="64"/>
      <c r="DYZ19" s="64"/>
      <c r="DZA19" s="64"/>
      <c r="DZB19" s="64"/>
      <c r="DZC19" s="64"/>
      <c r="DZD19" s="64"/>
      <c r="DZE19" s="64"/>
      <c r="DZF19" s="64"/>
      <c r="DZG19" s="64"/>
      <c r="DZH19" s="64"/>
      <c r="DZI19" s="64"/>
      <c r="DZJ19" s="64"/>
      <c r="DZK19" s="64"/>
      <c r="DZL19" s="64"/>
      <c r="DZM19" s="64"/>
      <c r="DZN19" s="64"/>
      <c r="DZO19" s="64"/>
      <c r="DZP19" s="64"/>
      <c r="DZQ19" s="64"/>
      <c r="DZR19" s="64"/>
      <c r="DZS19" s="64"/>
      <c r="DZT19" s="64"/>
      <c r="DZU19" s="64"/>
      <c r="DZV19" s="64"/>
      <c r="DZW19" s="64"/>
      <c r="DZX19" s="64"/>
      <c r="DZY19" s="64"/>
      <c r="DZZ19" s="64"/>
      <c r="EAA19" s="64"/>
      <c r="EAB19" s="64"/>
      <c r="EAC19" s="64"/>
      <c r="EAD19" s="64"/>
      <c r="EAE19" s="64"/>
      <c r="EAF19" s="64"/>
      <c r="EAG19" s="64"/>
      <c r="EAH19" s="64"/>
      <c r="EAI19" s="64"/>
      <c r="EAJ19" s="64"/>
      <c r="EAK19" s="64"/>
      <c r="EAL19" s="64"/>
      <c r="EAM19" s="64"/>
      <c r="EAN19" s="64"/>
      <c r="EAO19" s="64"/>
      <c r="EAP19" s="64"/>
      <c r="EAQ19" s="64"/>
      <c r="EAR19" s="64"/>
      <c r="EAS19" s="64"/>
      <c r="EAT19" s="64"/>
      <c r="EAU19" s="64"/>
      <c r="EAV19" s="64"/>
      <c r="EAW19" s="64"/>
      <c r="EAX19" s="64"/>
      <c r="EAY19" s="64"/>
      <c r="EAZ19" s="64"/>
      <c r="EBA19" s="64"/>
      <c r="EBB19" s="64"/>
      <c r="EBC19" s="64"/>
      <c r="EBD19" s="64"/>
      <c r="EBE19" s="64"/>
      <c r="EBF19" s="64"/>
      <c r="EBG19" s="64"/>
      <c r="EBH19" s="64"/>
      <c r="EBI19" s="64"/>
      <c r="EBJ19" s="64"/>
      <c r="EBK19" s="64"/>
      <c r="EBL19" s="64"/>
      <c r="EBM19" s="64"/>
      <c r="EBN19" s="64"/>
      <c r="EBO19" s="64"/>
      <c r="EBP19" s="64"/>
      <c r="EBQ19" s="64"/>
      <c r="EBR19" s="64"/>
      <c r="EBS19" s="64"/>
      <c r="EBT19" s="64"/>
      <c r="EBU19" s="64"/>
      <c r="EBV19" s="64"/>
      <c r="EBW19" s="64"/>
      <c r="EBX19" s="64"/>
      <c r="EBY19" s="64"/>
      <c r="EBZ19" s="64"/>
      <c r="ECA19" s="64"/>
      <c r="ECB19" s="64"/>
      <c r="ECC19" s="64"/>
      <c r="ECD19" s="64"/>
      <c r="ECE19" s="64"/>
      <c r="ECF19" s="64"/>
      <c r="ECG19" s="64"/>
      <c r="ECH19" s="64"/>
      <c r="ECI19" s="64"/>
      <c r="ECJ19" s="64"/>
      <c r="ECK19" s="64"/>
      <c r="ECL19" s="64"/>
      <c r="ECM19" s="64"/>
      <c r="ECN19" s="64"/>
      <c r="ECO19" s="64"/>
      <c r="ECP19" s="64"/>
      <c r="ECQ19" s="64"/>
      <c r="ECR19" s="64"/>
      <c r="ECS19" s="64"/>
      <c r="ECT19" s="64"/>
      <c r="ECU19" s="64"/>
      <c r="ECV19" s="64"/>
      <c r="ECW19" s="64"/>
      <c r="ECX19" s="64"/>
      <c r="ECY19" s="64"/>
      <c r="ECZ19" s="64"/>
      <c r="EDA19" s="64"/>
      <c r="EDB19" s="64"/>
      <c r="EDC19" s="64"/>
      <c r="EDD19" s="64"/>
      <c r="EDE19" s="64"/>
      <c r="EDF19" s="64"/>
      <c r="EDG19" s="64"/>
      <c r="EDH19" s="64"/>
      <c r="EDI19" s="64"/>
      <c r="EDJ19" s="64"/>
      <c r="EDK19" s="64"/>
      <c r="EDL19" s="64"/>
      <c r="EDM19" s="64"/>
      <c r="EDN19" s="64"/>
      <c r="EDO19" s="64"/>
      <c r="EDP19" s="64"/>
      <c r="EDQ19" s="64"/>
      <c r="EDR19" s="64"/>
      <c r="EDS19" s="64"/>
      <c r="EDT19" s="64"/>
      <c r="EDU19" s="64"/>
      <c r="EDV19" s="64"/>
      <c r="EDW19" s="64"/>
      <c r="EDX19" s="64"/>
      <c r="EDY19" s="64"/>
      <c r="EDZ19" s="64"/>
      <c r="EEA19" s="64"/>
      <c r="EEB19" s="64"/>
      <c r="EEC19" s="64"/>
      <c r="EED19" s="64"/>
      <c r="EEE19" s="64"/>
      <c r="EEF19" s="64"/>
      <c r="EEG19" s="64"/>
      <c r="EEH19" s="64"/>
      <c r="EEI19" s="64"/>
      <c r="EEJ19" s="64"/>
      <c r="EEK19" s="64"/>
      <c r="EEL19" s="64"/>
      <c r="EEM19" s="64"/>
      <c r="EEN19" s="64"/>
      <c r="EEO19" s="64"/>
      <c r="EEP19" s="64"/>
      <c r="EEQ19" s="64"/>
      <c r="EER19" s="64"/>
      <c r="EES19" s="64"/>
      <c r="EET19" s="64"/>
      <c r="EEU19" s="64"/>
      <c r="EEV19" s="64"/>
      <c r="EEW19" s="64"/>
      <c r="EEX19" s="64"/>
      <c r="EEY19" s="64"/>
      <c r="EEZ19" s="64"/>
      <c r="EFA19" s="64"/>
      <c r="EFB19" s="64"/>
      <c r="EFC19" s="64"/>
      <c r="EFD19" s="64"/>
      <c r="EFE19" s="64"/>
      <c r="EFF19" s="64"/>
      <c r="EFG19" s="64"/>
      <c r="EFH19" s="64"/>
      <c r="EFI19" s="64"/>
      <c r="EFJ19" s="64"/>
      <c r="EFK19" s="64"/>
      <c r="EFL19" s="64"/>
      <c r="EFM19" s="64"/>
      <c r="EFN19" s="64"/>
      <c r="EFO19" s="64"/>
      <c r="EFP19" s="64"/>
      <c r="EFQ19" s="64"/>
      <c r="EFR19" s="64"/>
      <c r="EFS19" s="64"/>
      <c r="EFT19" s="64"/>
      <c r="EFU19" s="64"/>
      <c r="EFV19" s="64"/>
      <c r="EFW19" s="64"/>
      <c r="EFX19" s="64"/>
      <c r="EFY19" s="64"/>
      <c r="EFZ19" s="64"/>
      <c r="EGA19" s="64"/>
      <c r="EGB19" s="64"/>
      <c r="EGC19" s="64"/>
      <c r="EGD19" s="64"/>
      <c r="EGE19" s="64"/>
      <c r="EGF19" s="64"/>
      <c r="EGG19" s="64"/>
      <c r="EGH19" s="64"/>
      <c r="EGI19" s="64"/>
      <c r="EGJ19" s="64"/>
      <c r="EGK19" s="64"/>
      <c r="EGL19" s="64"/>
      <c r="EGM19" s="64"/>
      <c r="EGN19" s="64"/>
      <c r="EGO19" s="64"/>
      <c r="EGP19" s="64"/>
      <c r="EGQ19" s="64"/>
      <c r="EGR19" s="64"/>
      <c r="EGS19" s="64"/>
      <c r="EGT19" s="64"/>
      <c r="EGU19" s="64"/>
      <c r="EGV19" s="64"/>
      <c r="EGW19" s="64"/>
      <c r="EGX19" s="64"/>
      <c r="EGY19" s="64"/>
      <c r="EGZ19" s="64"/>
      <c r="EHA19" s="64"/>
      <c r="EHB19" s="64"/>
      <c r="EHC19" s="64"/>
      <c r="EHD19" s="64"/>
      <c r="EHE19" s="64"/>
      <c r="EHF19" s="64"/>
      <c r="EHG19" s="64"/>
      <c r="EHH19" s="64"/>
      <c r="EHI19" s="64"/>
      <c r="EHJ19" s="64"/>
      <c r="EHK19" s="64"/>
      <c r="EHL19" s="64"/>
      <c r="EHM19" s="64"/>
      <c r="EHN19" s="64"/>
      <c r="EHO19" s="64"/>
      <c r="EHP19" s="64"/>
      <c r="EHQ19" s="64"/>
      <c r="EHR19" s="64"/>
      <c r="EHS19" s="64"/>
      <c r="EHT19" s="64"/>
      <c r="EHU19" s="64"/>
      <c r="EHV19" s="64"/>
      <c r="EHW19" s="64"/>
      <c r="EHX19" s="64"/>
      <c r="EHY19" s="64"/>
      <c r="EHZ19" s="64"/>
      <c r="EIA19" s="64"/>
      <c r="EIB19" s="64"/>
      <c r="EIC19" s="64"/>
      <c r="EID19" s="64"/>
      <c r="EIE19" s="64"/>
      <c r="EIF19" s="64"/>
      <c r="EIG19" s="64"/>
      <c r="EIH19" s="64"/>
      <c r="EII19" s="64"/>
      <c r="EIJ19" s="64"/>
      <c r="EIK19" s="64"/>
      <c r="EIL19" s="64"/>
      <c r="EIM19" s="64"/>
      <c r="EIN19" s="64"/>
      <c r="EIO19" s="64"/>
      <c r="EIP19" s="64"/>
      <c r="EIQ19" s="64"/>
      <c r="EIR19" s="64"/>
      <c r="EIS19" s="64"/>
      <c r="EIT19" s="64"/>
      <c r="EIU19" s="64"/>
      <c r="EIV19" s="64"/>
      <c r="EIW19" s="64"/>
      <c r="EIX19" s="64"/>
      <c r="EIY19" s="64"/>
      <c r="EIZ19" s="64"/>
      <c r="EJA19" s="64"/>
      <c r="EJB19" s="64"/>
      <c r="EJC19" s="64"/>
      <c r="EJD19" s="64"/>
      <c r="EJE19" s="64"/>
      <c r="EJF19" s="64"/>
      <c r="EJG19" s="64"/>
      <c r="EJH19" s="64"/>
      <c r="EJI19" s="64"/>
      <c r="EJJ19" s="64"/>
      <c r="EJK19" s="64"/>
      <c r="EJL19" s="64"/>
      <c r="EJM19" s="64"/>
      <c r="EJN19" s="64"/>
      <c r="EJO19" s="64"/>
      <c r="EJP19" s="64"/>
      <c r="EJQ19" s="64"/>
      <c r="EJR19" s="64"/>
      <c r="EJS19" s="64"/>
      <c r="EJT19" s="64"/>
      <c r="EJU19" s="64"/>
      <c r="EJV19" s="64"/>
      <c r="EJW19" s="64"/>
      <c r="EJX19" s="64"/>
      <c r="EJY19" s="64"/>
      <c r="EJZ19" s="64"/>
      <c r="EKA19" s="64"/>
      <c r="EKB19" s="64"/>
      <c r="EKC19" s="64"/>
      <c r="EKD19" s="64"/>
      <c r="EKE19" s="64"/>
      <c r="EKF19" s="64"/>
      <c r="EKG19" s="64"/>
      <c r="EKH19" s="64"/>
      <c r="EKI19" s="64"/>
      <c r="EKJ19" s="64"/>
      <c r="EKK19" s="64"/>
      <c r="EKL19" s="64"/>
      <c r="EKM19" s="64"/>
      <c r="EKN19" s="64"/>
      <c r="EKO19" s="64"/>
      <c r="EKP19" s="64"/>
      <c r="EKQ19" s="64"/>
      <c r="EKR19" s="64"/>
      <c r="EKS19" s="64"/>
      <c r="EKT19" s="64"/>
      <c r="EKU19" s="64"/>
      <c r="EKV19" s="64"/>
      <c r="EKW19" s="64"/>
      <c r="EKX19" s="64"/>
      <c r="EKY19" s="64"/>
      <c r="EKZ19" s="64"/>
      <c r="ELA19" s="64"/>
      <c r="ELB19" s="64"/>
      <c r="ELC19" s="64"/>
      <c r="ELD19" s="64"/>
      <c r="ELE19" s="64"/>
      <c r="ELF19" s="64"/>
      <c r="ELG19" s="64"/>
      <c r="ELH19" s="64"/>
      <c r="ELI19" s="64"/>
      <c r="ELJ19" s="64"/>
      <c r="ELK19" s="64"/>
      <c r="ELL19" s="64"/>
      <c r="ELM19" s="64"/>
      <c r="ELN19" s="64"/>
      <c r="ELO19" s="64"/>
      <c r="ELP19" s="64"/>
      <c r="ELQ19" s="64"/>
      <c r="ELR19" s="64"/>
      <c r="ELS19" s="64"/>
      <c r="ELT19" s="64"/>
      <c r="ELU19" s="64"/>
      <c r="ELV19" s="64"/>
      <c r="ELW19" s="64"/>
      <c r="ELX19" s="64"/>
      <c r="ELY19" s="64"/>
      <c r="ELZ19" s="64"/>
      <c r="EMA19" s="64"/>
      <c r="EMB19" s="64"/>
      <c r="EMC19" s="64"/>
      <c r="EMD19" s="64"/>
      <c r="EME19" s="64"/>
      <c r="EMF19" s="64"/>
      <c r="EMG19" s="64"/>
      <c r="EMH19" s="64"/>
      <c r="EMI19" s="64"/>
      <c r="EMJ19" s="64"/>
      <c r="EMK19" s="64"/>
      <c r="EML19" s="64"/>
      <c r="EMM19" s="64"/>
      <c r="EMN19" s="64"/>
      <c r="EMO19" s="64"/>
      <c r="EMP19" s="64"/>
      <c r="EMQ19" s="64"/>
      <c r="EMR19" s="64"/>
      <c r="EMS19" s="64"/>
      <c r="EMT19" s="64"/>
      <c r="EMU19" s="64"/>
      <c r="EMV19" s="64"/>
      <c r="EMW19" s="64"/>
      <c r="EMX19" s="64"/>
      <c r="EMY19" s="64"/>
      <c r="EMZ19" s="64"/>
      <c r="ENA19" s="64"/>
      <c r="ENB19" s="64"/>
      <c r="ENC19" s="64"/>
      <c r="END19" s="64"/>
      <c r="ENE19" s="64"/>
      <c r="ENF19" s="64"/>
      <c r="ENG19" s="64"/>
      <c r="ENH19" s="64"/>
      <c r="ENI19" s="64"/>
      <c r="ENJ19" s="64"/>
      <c r="ENK19" s="64"/>
      <c r="ENL19" s="64"/>
      <c r="ENM19" s="64"/>
      <c r="ENN19" s="64"/>
      <c r="ENO19" s="64"/>
      <c r="ENP19" s="64"/>
      <c r="ENQ19" s="64"/>
      <c r="ENR19" s="64"/>
      <c r="ENS19" s="64"/>
      <c r="ENT19" s="64"/>
      <c r="ENU19" s="64"/>
      <c r="ENV19" s="64"/>
      <c r="ENW19" s="64"/>
      <c r="ENX19" s="64"/>
      <c r="ENY19" s="64"/>
      <c r="ENZ19" s="64"/>
      <c r="EOA19" s="64"/>
      <c r="EOB19" s="64"/>
      <c r="EOC19" s="64"/>
      <c r="EOD19" s="64"/>
      <c r="EOE19" s="64"/>
      <c r="EOF19" s="64"/>
      <c r="EOG19" s="64"/>
      <c r="EOH19" s="64"/>
      <c r="EOI19" s="64"/>
      <c r="EOJ19" s="64"/>
      <c r="EOK19" s="64"/>
      <c r="EOL19" s="64"/>
      <c r="EOM19" s="64"/>
      <c r="EON19" s="64"/>
      <c r="EOO19" s="64"/>
      <c r="EOP19" s="64"/>
      <c r="EOQ19" s="64"/>
      <c r="EOR19" s="64"/>
      <c r="EOS19" s="64"/>
      <c r="EOT19" s="64"/>
      <c r="EOU19" s="64"/>
      <c r="EOV19" s="64"/>
      <c r="EOW19" s="64"/>
      <c r="EOX19" s="64"/>
      <c r="EOY19" s="64"/>
      <c r="EOZ19" s="64"/>
      <c r="EPA19" s="64"/>
      <c r="EPB19" s="64"/>
      <c r="EPC19" s="64"/>
      <c r="EPD19" s="64"/>
      <c r="EPE19" s="64"/>
      <c r="EPF19" s="64"/>
      <c r="EPG19" s="64"/>
      <c r="EPH19" s="64"/>
      <c r="EPI19" s="64"/>
      <c r="EPJ19" s="64"/>
      <c r="EPK19" s="64"/>
      <c r="EPL19" s="64"/>
      <c r="EPM19" s="64"/>
      <c r="EPN19" s="64"/>
      <c r="EPO19" s="64"/>
      <c r="EPP19" s="64"/>
      <c r="EPQ19" s="64"/>
      <c r="EPR19" s="64"/>
      <c r="EPS19" s="64"/>
      <c r="EPT19" s="64"/>
      <c r="EPU19" s="64"/>
      <c r="EPV19" s="64"/>
      <c r="EPW19" s="64"/>
      <c r="EPX19" s="64"/>
      <c r="EPY19" s="64"/>
      <c r="EPZ19" s="64"/>
      <c r="EQA19" s="64"/>
      <c r="EQB19" s="64"/>
      <c r="EQC19" s="64"/>
      <c r="EQD19" s="64"/>
      <c r="EQE19" s="64"/>
      <c r="EQF19" s="64"/>
      <c r="EQG19" s="64"/>
      <c r="EQH19" s="64"/>
      <c r="EQI19" s="64"/>
      <c r="EQJ19" s="64"/>
      <c r="EQK19" s="64"/>
      <c r="EQL19" s="64"/>
      <c r="EQM19" s="64"/>
      <c r="EQN19" s="64"/>
      <c r="EQO19" s="64"/>
      <c r="EQP19" s="64"/>
      <c r="EQQ19" s="64"/>
      <c r="EQR19" s="64"/>
      <c r="EQS19" s="64"/>
      <c r="EQT19" s="64"/>
      <c r="EQU19" s="64"/>
      <c r="EQV19" s="64"/>
      <c r="EQW19" s="64"/>
      <c r="EQX19" s="64"/>
      <c r="EQY19" s="64"/>
      <c r="EQZ19" s="64"/>
      <c r="ERA19" s="64"/>
      <c r="ERB19" s="64"/>
      <c r="ERC19" s="64"/>
      <c r="ERD19" s="64"/>
      <c r="ERE19" s="64"/>
      <c r="ERF19" s="64"/>
      <c r="ERG19" s="64"/>
      <c r="ERH19" s="64"/>
      <c r="ERI19" s="64"/>
      <c r="ERJ19" s="64"/>
      <c r="ERK19" s="64"/>
      <c r="ERL19" s="64"/>
      <c r="ERM19" s="64"/>
      <c r="ERN19" s="64"/>
      <c r="ERO19" s="64"/>
      <c r="ERP19" s="64"/>
      <c r="ERQ19" s="64"/>
      <c r="ERR19" s="64"/>
      <c r="ERS19" s="64"/>
      <c r="ERT19" s="64"/>
      <c r="ERU19" s="64"/>
      <c r="ERV19" s="64"/>
      <c r="ERW19" s="64"/>
      <c r="ERX19" s="64"/>
      <c r="ERY19" s="64"/>
      <c r="ERZ19" s="64"/>
      <c r="ESA19" s="64"/>
      <c r="ESB19" s="64"/>
      <c r="ESC19" s="64"/>
      <c r="ESD19" s="64"/>
      <c r="ESE19" s="64"/>
      <c r="ESF19" s="64"/>
      <c r="ESG19" s="64"/>
      <c r="ESH19" s="64"/>
      <c r="ESI19" s="64"/>
      <c r="ESJ19" s="64"/>
      <c r="ESK19" s="64"/>
      <c r="ESL19" s="64"/>
      <c r="ESM19" s="64"/>
      <c r="ESN19" s="64"/>
      <c r="ESO19" s="64"/>
      <c r="ESP19" s="64"/>
      <c r="ESQ19" s="64"/>
      <c r="ESR19" s="64"/>
      <c r="ESS19" s="64"/>
      <c r="EST19" s="64"/>
      <c r="ESU19" s="64"/>
      <c r="ESV19" s="64"/>
      <c r="ESW19" s="64"/>
      <c r="ESX19" s="64"/>
      <c r="ESY19" s="64"/>
      <c r="ESZ19" s="64"/>
      <c r="ETA19" s="64"/>
      <c r="ETB19" s="64"/>
      <c r="ETC19" s="64"/>
      <c r="ETD19" s="64"/>
      <c r="ETE19" s="64"/>
      <c r="ETF19" s="64"/>
      <c r="ETG19" s="64"/>
      <c r="ETH19" s="64"/>
      <c r="ETI19" s="64"/>
      <c r="ETJ19" s="64"/>
      <c r="ETK19" s="64"/>
      <c r="ETL19" s="64"/>
      <c r="ETM19" s="64"/>
      <c r="ETN19" s="64"/>
      <c r="ETO19" s="64"/>
      <c r="ETP19" s="64"/>
      <c r="ETQ19" s="64"/>
      <c r="ETR19" s="64"/>
      <c r="ETS19" s="64"/>
      <c r="ETT19" s="64"/>
      <c r="ETU19" s="64"/>
      <c r="ETV19" s="64"/>
      <c r="ETW19" s="64"/>
      <c r="ETX19" s="64"/>
      <c r="ETY19" s="64"/>
      <c r="ETZ19" s="64"/>
      <c r="EUA19" s="64"/>
      <c r="EUB19" s="64"/>
      <c r="EUC19" s="64"/>
      <c r="EUD19" s="64"/>
      <c r="EUE19" s="64"/>
      <c r="EUF19" s="64"/>
      <c r="EUG19" s="64"/>
      <c r="EUH19" s="64"/>
      <c r="EUI19" s="64"/>
      <c r="EUJ19" s="64"/>
      <c r="EUK19" s="64"/>
      <c r="EUL19" s="64"/>
      <c r="EUM19" s="64"/>
      <c r="EUN19" s="64"/>
      <c r="EUO19" s="64"/>
      <c r="EUP19" s="64"/>
      <c r="EUQ19" s="64"/>
      <c r="EUR19" s="64"/>
      <c r="EUS19" s="64"/>
      <c r="EUT19" s="64"/>
      <c r="EUU19" s="64"/>
      <c r="EUV19" s="64"/>
      <c r="EUW19" s="64"/>
      <c r="EUX19" s="64"/>
      <c r="EUY19" s="64"/>
      <c r="EUZ19" s="64"/>
      <c r="EVA19" s="64"/>
      <c r="EVB19" s="64"/>
      <c r="EVC19" s="64"/>
      <c r="EVD19" s="64"/>
      <c r="EVE19" s="64"/>
      <c r="EVF19" s="64"/>
      <c r="EVG19" s="64"/>
      <c r="EVH19" s="64"/>
      <c r="EVI19" s="64"/>
      <c r="EVJ19" s="64"/>
      <c r="EVK19" s="64"/>
      <c r="EVL19" s="64"/>
      <c r="EVM19" s="64"/>
      <c r="EVN19" s="64"/>
      <c r="EVO19" s="64"/>
      <c r="EVP19" s="64"/>
      <c r="EVQ19" s="64"/>
      <c r="EVR19" s="64"/>
      <c r="EVS19" s="64"/>
      <c r="EVT19" s="64"/>
      <c r="EVU19" s="64"/>
      <c r="EVV19" s="64"/>
      <c r="EVW19" s="64"/>
      <c r="EVX19" s="64"/>
      <c r="EVY19" s="64"/>
      <c r="EVZ19" s="64"/>
      <c r="EWA19" s="64"/>
      <c r="EWB19" s="64"/>
      <c r="EWC19" s="64"/>
      <c r="EWD19" s="64"/>
      <c r="EWE19" s="64"/>
      <c r="EWF19" s="64"/>
      <c r="EWG19" s="64"/>
      <c r="EWH19" s="64"/>
      <c r="EWI19" s="64"/>
      <c r="EWJ19" s="64"/>
      <c r="EWK19" s="64"/>
      <c r="EWL19" s="64"/>
      <c r="EWM19" s="64"/>
      <c r="EWN19" s="64"/>
      <c r="EWO19" s="64"/>
      <c r="EWP19" s="64"/>
      <c r="EWQ19" s="64"/>
      <c r="EWR19" s="64"/>
      <c r="EWS19" s="64"/>
      <c r="EWT19" s="64"/>
      <c r="EWU19" s="64"/>
      <c r="EWV19" s="64"/>
      <c r="EWW19" s="64"/>
      <c r="EWX19" s="64"/>
      <c r="EWY19" s="64"/>
      <c r="EWZ19" s="64"/>
      <c r="EXA19" s="64"/>
      <c r="EXB19" s="64"/>
      <c r="EXC19" s="64"/>
      <c r="EXD19" s="64"/>
      <c r="EXE19" s="64"/>
      <c r="EXF19" s="64"/>
      <c r="EXG19" s="64"/>
      <c r="EXH19" s="64"/>
      <c r="EXI19" s="64"/>
      <c r="EXJ19" s="64"/>
      <c r="EXK19" s="64"/>
      <c r="EXL19" s="64"/>
      <c r="EXM19" s="64"/>
      <c r="EXN19" s="64"/>
      <c r="EXO19" s="64"/>
      <c r="EXP19" s="64"/>
      <c r="EXQ19" s="64"/>
      <c r="EXR19" s="64"/>
      <c r="EXS19" s="64"/>
      <c r="EXT19" s="64"/>
      <c r="EXU19" s="64"/>
      <c r="EXV19" s="64"/>
      <c r="EXW19" s="64"/>
      <c r="EXX19" s="64"/>
      <c r="EXY19" s="64"/>
      <c r="EXZ19" s="64"/>
      <c r="EYA19" s="64"/>
      <c r="EYB19" s="64"/>
      <c r="EYC19" s="64"/>
      <c r="EYD19" s="64"/>
      <c r="EYE19" s="64"/>
      <c r="EYF19" s="64"/>
      <c r="EYG19" s="64"/>
      <c r="EYH19" s="64"/>
      <c r="EYI19" s="64"/>
      <c r="EYJ19" s="64"/>
      <c r="EYK19" s="64"/>
      <c r="EYL19" s="64"/>
      <c r="EYM19" s="64"/>
      <c r="EYN19" s="64"/>
      <c r="EYO19" s="64"/>
      <c r="EYP19" s="64"/>
      <c r="EYQ19" s="64"/>
      <c r="EYR19" s="64"/>
      <c r="EYS19" s="64"/>
      <c r="EYT19" s="64"/>
      <c r="EYU19" s="64"/>
      <c r="EYV19" s="64"/>
      <c r="EYW19" s="64"/>
      <c r="EYX19" s="64"/>
      <c r="EYY19" s="64"/>
      <c r="EYZ19" s="64"/>
      <c r="EZA19" s="64"/>
      <c r="EZB19" s="64"/>
      <c r="EZC19" s="64"/>
      <c r="EZD19" s="64"/>
      <c r="EZE19" s="64"/>
      <c r="EZF19" s="64"/>
      <c r="EZG19" s="64"/>
      <c r="EZH19" s="64"/>
      <c r="EZI19" s="64"/>
      <c r="EZJ19" s="64"/>
      <c r="EZK19" s="64"/>
      <c r="EZL19" s="64"/>
      <c r="EZM19" s="64"/>
      <c r="EZN19" s="64"/>
      <c r="EZO19" s="64"/>
      <c r="EZP19" s="64"/>
      <c r="EZQ19" s="64"/>
      <c r="EZR19" s="64"/>
      <c r="EZS19" s="64"/>
      <c r="EZT19" s="64"/>
      <c r="EZU19" s="64"/>
      <c r="EZV19" s="64"/>
      <c r="EZW19" s="64"/>
      <c r="EZX19" s="64"/>
      <c r="EZY19" s="64"/>
      <c r="EZZ19" s="64"/>
      <c r="FAA19" s="64"/>
      <c r="FAB19" s="64"/>
      <c r="FAC19" s="64"/>
      <c r="FAD19" s="64"/>
      <c r="FAE19" s="64"/>
      <c r="FAF19" s="64"/>
      <c r="FAG19" s="64"/>
      <c r="FAH19" s="64"/>
      <c r="FAI19" s="64"/>
      <c r="FAJ19" s="64"/>
      <c r="FAK19" s="64"/>
      <c r="FAL19" s="64"/>
      <c r="FAM19" s="64"/>
      <c r="FAN19" s="64"/>
      <c r="FAO19" s="64"/>
      <c r="FAP19" s="64"/>
      <c r="FAQ19" s="64"/>
      <c r="FAR19" s="64"/>
      <c r="FAS19" s="64"/>
      <c r="FAT19" s="64"/>
      <c r="FAU19" s="64"/>
      <c r="FAV19" s="64"/>
      <c r="FAW19" s="64"/>
      <c r="FAX19" s="64"/>
      <c r="FAY19" s="64"/>
      <c r="FAZ19" s="64"/>
      <c r="FBA19" s="64"/>
      <c r="FBB19" s="64"/>
      <c r="FBC19" s="64"/>
      <c r="FBD19" s="64"/>
      <c r="FBE19" s="64"/>
      <c r="FBF19" s="64"/>
      <c r="FBG19" s="64"/>
      <c r="FBH19" s="64"/>
      <c r="FBI19" s="64"/>
      <c r="FBJ19" s="64"/>
      <c r="FBK19" s="64"/>
      <c r="FBL19" s="64"/>
      <c r="FBM19" s="64"/>
      <c r="FBN19" s="64"/>
      <c r="FBO19" s="64"/>
      <c r="FBP19" s="64"/>
      <c r="FBQ19" s="64"/>
      <c r="FBR19" s="64"/>
      <c r="FBS19" s="64"/>
      <c r="FBT19" s="64"/>
      <c r="FBU19" s="64"/>
      <c r="FBV19" s="64"/>
      <c r="FBW19" s="64"/>
      <c r="FBX19" s="64"/>
      <c r="FBY19" s="64"/>
      <c r="FBZ19" s="64"/>
      <c r="FCA19" s="64"/>
      <c r="FCB19" s="64"/>
      <c r="FCC19" s="64"/>
      <c r="FCD19" s="64"/>
      <c r="FCE19" s="64"/>
      <c r="FCF19" s="64"/>
      <c r="FCG19" s="64"/>
      <c r="FCH19" s="64"/>
      <c r="FCI19" s="64"/>
      <c r="FCJ19" s="64"/>
      <c r="FCK19" s="64"/>
      <c r="FCL19" s="64"/>
      <c r="FCM19" s="64"/>
      <c r="FCN19" s="64"/>
      <c r="FCO19" s="64"/>
      <c r="FCP19" s="64"/>
      <c r="FCQ19" s="64"/>
      <c r="FCR19" s="64"/>
      <c r="FCS19" s="64"/>
      <c r="FCT19" s="64"/>
      <c r="FCU19" s="64"/>
      <c r="FCV19" s="64"/>
      <c r="FCW19" s="64"/>
      <c r="FCX19" s="64"/>
      <c r="FCY19" s="64"/>
      <c r="FCZ19" s="64"/>
      <c r="FDA19" s="64"/>
      <c r="FDB19" s="64"/>
      <c r="FDC19" s="64"/>
      <c r="FDD19" s="64"/>
      <c r="FDE19" s="64"/>
      <c r="FDF19" s="64"/>
      <c r="FDG19" s="64"/>
      <c r="FDH19" s="64"/>
      <c r="FDI19" s="64"/>
      <c r="FDJ19" s="64"/>
      <c r="FDK19" s="64"/>
      <c r="FDL19" s="64"/>
      <c r="FDM19" s="64"/>
      <c r="FDN19" s="64"/>
      <c r="FDO19" s="64"/>
      <c r="FDP19" s="64"/>
      <c r="FDQ19" s="64"/>
      <c r="FDR19" s="64"/>
      <c r="FDS19" s="64"/>
      <c r="FDT19" s="64"/>
      <c r="FDU19" s="64"/>
      <c r="FDV19" s="64"/>
      <c r="FDW19" s="64"/>
      <c r="FDX19" s="64"/>
      <c r="FDY19" s="64"/>
      <c r="FDZ19" s="64"/>
      <c r="FEA19" s="64"/>
      <c r="FEB19" s="64"/>
      <c r="FEC19" s="64"/>
      <c r="FED19" s="64"/>
      <c r="FEE19" s="64"/>
      <c r="FEF19" s="64"/>
      <c r="FEG19" s="64"/>
      <c r="FEH19" s="64"/>
      <c r="FEI19" s="64"/>
      <c r="FEJ19" s="64"/>
      <c r="FEK19" s="64"/>
      <c r="FEL19" s="64"/>
      <c r="FEM19" s="64"/>
      <c r="FEN19" s="64"/>
      <c r="FEO19" s="64"/>
      <c r="FEP19" s="64"/>
      <c r="FEQ19" s="64"/>
      <c r="FER19" s="64"/>
      <c r="FES19" s="64"/>
      <c r="FET19" s="64"/>
      <c r="FEU19" s="64"/>
      <c r="FEV19" s="64"/>
      <c r="FEW19" s="64"/>
      <c r="FEX19" s="64"/>
      <c r="FEY19" s="64"/>
      <c r="FEZ19" s="64"/>
      <c r="FFA19" s="64"/>
      <c r="FFB19" s="64"/>
      <c r="FFC19" s="64"/>
      <c r="FFD19" s="64"/>
      <c r="FFE19" s="64"/>
      <c r="FFF19" s="64"/>
      <c r="FFG19" s="64"/>
      <c r="FFH19" s="64"/>
      <c r="FFI19" s="64"/>
      <c r="FFJ19" s="64"/>
      <c r="FFK19" s="64"/>
      <c r="FFL19" s="64"/>
      <c r="FFM19" s="64"/>
      <c r="FFN19" s="64"/>
      <c r="FFO19" s="64"/>
      <c r="FFP19" s="64"/>
      <c r="FFQ19" s="64"/>
      <c r="FFR19" s="64"/>
      <c r="FFS19" s="64"/>
      <c r="FFT19" s="64"/>
      <c r="FFU19" s="64"/>
      <c r="FFV19" s="64"/>
      <c r="FFW19" s="64"/>
      <c r="FFX19" s="64"/>
      <c r="FFY19" s="64"/>
      <c r="FFZ19" s="64"/>
      <c r="FGA19" s="64"/>
      <c r="FGB19" s="64"/>
      <c r="FGC19" s="64"/>
      <c r="FGD19" s="64"/>
      <c r="FGE19" s="64"/>
      <c r="FGF19" s="64"/>
      <c r="FGG19" s="64"/>
      <c r="FGH19" s="64"/>
      <c r="FGI19" s="64"/>
      <c r="FGJ19" s="64"/>
      <c r="FGK19" s="64"/>
      <c r="FGL19" s="64"/>
      <c r="FGM19" s="64"/>
      <c r="FGN19" s="64"/>
      <c r="FGO19" s="64"/>
      <c r="FGP19" s="64"/>
      <c r="FGQ19" s="64"/>
      <c r="FGR19" s="64"/>
      <c r="FGS19" s="64"/>
      <c r="FGT19" s="64"/>
      <c r="FGU19" s="64"/>
      <c r="FGV19" s="64"/>
      <c r="FGW19" s="64"/>
      <c r="FGX19" s="64"/>
      <c r="FGY19" s="64"/>
      <c r="FGZ19" s="64"/>
      <c r="FHA19" s="64"/>
      <c r="FHB19" s="64"/>
      <c r="FHC19" s="64"/>
      <c r="FHD19" s="64"/>
      <c r="FHE19" s="64"/>
      <c r="FHF19" s="64"/>
      <c r="FHG19" s="64"/>
      <c r="FHH19" s="64"/>
      <c r="FHI19" s="64"/>
      <c r="FHJ19" s="64"/>
      <c r="FHK19" s="64"/>
      <c r="FHL19" s="64"/>
      <c r="FHM19" s="64"/>
      <c r="FHN19" s="64"/>
      <c r="FHO19" s="64"/>
      <c r="FHP19" s="64"/>
      <c r="FHQ19" s="64"/>
      <c r="FHR19" s="64"/>
      <c r="FHS19" s="64"/>
      <c r="FHT19" s="64"/>
      <c r="FHU19" s="64"/>
      <c r="FHV19" s="64"/>
      <c r="FHW19" s="64"/>
      <c r="FHX19" s="64"/>
      <c r="FHY19" s="64"/>
      <c r="FHZ19" s="64"/>
      <c r="FIA19" s="64"/>
      <c r="FIB19" s="64"/>
      <c r="FIC19" s="64"/>
      <c r="FID19" s="64"/>
      <c r="FIE19" s="64"/>
      <c r="FIF19" s="64"/>
      <c r="FIG19" s="64"/>
      <c r="FIH19" s="64"/>
      <c r="FII19" s="64"/>
      <c r="FIJ19" s="64"/>
      <c r="FIK19" s="64"/>
      <c r="FIL19" s="64"/>
      <c r="FIM19" s="64"/>
      <c r="FIN19" s="64"/>
      <c r="FIO19" s="64"/>
      <c r="FIP19" s="64"/>
      <c r="FIQ19" s="64"/>
      <c r="FIR19" s="64"/>
      <c r="FIS19" s="64"/>
      <c r="FIT19" s="64"/>
      <c r="FIU19" s="64"/>
      <c r="FIV19" s="64"/>
      <c r="FIW19" s="64"/>
      <c r="FIX19" s="64"/>
      <c r="FIY19" s="64"/>
      <c r="FIZ19" s="64"/>
      <c r="FJA19" s="64"/>
      <c r="FJB19" s="64"/>
      <c r="FJC19" s="64"/>
      <c r="FJD19" s="64"/>
      <c r="FJE19" s="64"/>
      <c r="FJF19" s="64"/>
      <c r="FJG19" s="64"/>
      <c r="FJH19" s="64"/>
      <c r="FJI19" s="64"/>
      <c r="FJJ19" s="64"/>
      <c r="FJK19" s="64"/>
      <c r="FJL19" s="64"/>
      <c r="FJM19" s="64"/>
      <c r="FJN19" s="64"/>
      <c r="FJO19" s="64"/>
      <c r="FJP19" s="64"/>
      <c r="FJQ19" s="64"/>
      <c r="FJR19" s="64"/>
      <c r="FJS19" s="64"/>
      <c r="FJT19" s="64"/>
      <c r="FJU19" s="64"/>
      <c r="FJV19" s="64"/>
      <c r="FJW19" s="64"/>
      <c r="FJX19" s="64"/>
      <c r="FJY19" s="64"/>
      <c r="FJZ19" s="64"/>
      <c r="FKA19" s="64"/>
      <c r="FKB19" s="64"/>
      <c r="FKC19" s="64"/>
      <c r="FKD19" s="64"/>
      <c r="FKE19" s="64"/>
      <c r="FKF19" s="64"/>
      <c r="FKG19" s="64"/>
      <c r="FKH19" s="64"/>
      <c r="FKI19" s="64"/>
      <c r="FKJ19" s="64"/>
      <c r="FKK19" s="64"/>
      <c r="FKL19" s="64"/>
      <c r="FKM19" s="64"/>
      <c r="FKN19" s="64"/>
      <c r="FKO19" s="64"/>
      <c r="FKP19" s="64"/>
      <c r="FKQ19" s="64"/>
      <c r="FKR19" s="64"/>
      <c r="FKS19" s="64"/>
      <c r="FKT19" s="64"/>
      <c r="FKU19" s="64"/>
      <c r="FKV19" s="64"/>
      <c r="FKW19" s="64"/>
      <c r="FKX19" s="64"/>
      <c r="FKY19" s="64"/>
      <c r="FKZ19" s="64"/>
      <c r="FLA19" s="64"/>
      <c r="FLB19" s="64"/>
      <c r="FLC19" s="64"/>
      <c r="FLD19" s="64"/>
      <c r="FLE19" s="64"/>
      <c r="FLF19" s="64"/>
      <c r="FLG19" s="64"/>
      <c r="FLH19" s="64"/>
      <c r="FLI19" s="64"/>
      <c r="FLJ19" s="64"/>
      <c r="FLK19" s="64"/>
      <c r="FLL19" s="64"/>
      <c r="FLM19" s="64"/>
      <c r="FLN19" s="64"/>
      <c r="FLO19" s="64"/>
      <c r="FLP19" s="64"/>
      <c r="FLQ19" s="64"/>
      <c r="FLR19" s="64"/>
      <c r="FLS19" s="64"/>
      <c r="FLT19" s="64"/>
      <c r="FLU19" s="64"/>
      <c r="FLV19" s="64"/>
      <c r="FLW19" s="64"/>
      <c r="FLX19" s="64"/>
      <c r="FLY19" s="64"/>
      <c r="FLZ19" s="64"/>
      <c r="FMA19" s="64"/>
      <c r="FMB19" s="64"/>
      <c r="FMC19" s="64"/>
      <c r="FMD19" s="64"/>
      <c r="FME19" s="64"/>
      <c r="FMF19" s="64"/>
      <c r="FMG19" s="64"/>
      <c r="FMH19" s="64"/>
      <c r="FMI19" s="64"/>
      <c r="FMJ19" s="64"/>
      <c r="FMK19" s="64"/>
      <c r="FML19" s="64"/>
      <c r="FMM19" s="64"/>
      <c r="FMN19" s="64"/>
      <c r="FMO19" s="64"/>
      <c r="FMP19" s="64"/>
      <c r="FMQ19" s="64"/>
      <c r="FMR19" s="64"/>
      <c r="FMS19" s="64"/>
      <c r="FMT19" s="64"/>
      <c r="FMU19" s="64"/>
      <c r="FMV19" s="64"/>
      <c r="FMW19" s="64"/>
      <c r="FMX19" s="64"/>
      <c r="FMY19" s="64"/>
      <c r="FMZ19" s="64"/>
      <c r="FNA19" s="64"/>
      <c r="FNB19" s="64"/>
      <c r="FNC19" s="64"/>
      <c r="FND19" s="64"/>
      <c r="FNE19" s="64"/>
      <c r="FNF19" s="64"/>
      <c r="FNG19" s="64"/>
      <c r="FNH19" s="64"/>
      <c r="FNI19" s="64"/>
      <c r="FNJ19" s="64"/>
      <c r="FNK19" s="64"/>
      <c r="FNL19" s="64"/>
      <c r="FNM19" s="64"/>
      <c r="FNN19" s="64"/>
      <c r="FNO19" s="64"/>
      <c r="FNP19" s="64"/>
      <c r="FNQ19" s="64"/>
      <c r="FNR19" s="64"/>
      <c r="FNS19" s="64"/>
      <c r="FNT19" s="64"/>
      <c r="FNU19" s="64"/>
      <c r="FNV19" s="64"/>
      <c r="FNW19" s="64"/>
      <c r="FNX19" s="64"/>
      <c r="FNY19" s="64"/>
      <c r="FNZ19" s="64"/>
      <c r="FOA19" s="64"/>
      <c r="FOB19" s="64"/>
      <c r="FOC19" s="64"/>
      <c r="FOD19" s="64"/>
      <c r="FOE19" s="64"/>
      <c r="FOF19" s="64"/>
      <c r="FOG19" s="64"/>
      <c r="FOH19" s="64"/>
      <c r="FOI19" s="64"/>
      <c r="FOJ19" s="64"/>
      <c r="FOK19" s="64"/>
      <c r="FOL19" s="64"/>
      <c r="FOM19" s="64"/>
      <c r="FON19" s="64"/>
      <c r="FOO19" s="64"/>
      <c r="FOP19" s="64"/>
      <c r="FOQ19" s="64"/>
      <c r="FOR19" s="64"/>
      <c r="FOS19" s="64"/>
      <c r="FOT19" s="64"/>
      <c r="FOU19" s="64"/>
      <c r="FOV19" s="64"/>
      <c r="FOW19" s="64"/>
      <c r="FOX19" s="64"/>
      <c r="FOY19" s="64"/>
      <c r="FOZ19" s="64"/>
      <c r="FPA19" s="64"/>
      <c r="FPB19" s="64"/>
      <c r="FPC19" s="64"/>
      <c r="FPD19" s="64"/>
      <c r="FPE19" s="64"/>
      <c r="FPF19" s="64"/>
      <c r="FPG19" s="64"/>
      <c r="FPH19" s="64"/>
      <c r="FPI19" s="64"/>
      <c r="FPJ19" s="64"/>
      <c r="FPK19" s="64"/>
      <c r="FPL19" s="64"/>
      <c r="FPM19" s="64"/>
      <c r="FPN19" s="64"/>
      <c r="FPO19" s="64"/>
      <c r="FPP19" s="64"/>
      <c r="FPQ19" s="64"/>
      <c r="FPR19" s="64"/>
      <c r="FPS19" s="64"/>
      <c r="FPT19" s="64"/>
      <c r="FPU19" s="64"/>
      <c r="FPV19" s="64"/>
      <c r="FPW19" s="64"/>
      <c r="FPX19" s="64"/>
      <c r="FPY19" s="64"/>
      <c r="FPZ19" s="64"/>
      <c r="FQA19" s="64"/>
      <c r="FQB19" s="64"/>
      <c r="FQC19" s="64"/>
      <c r="FQD19" s="64"/>
      <c r="FQE19" s="64"/>
      <c r="FQF19" s="64"/>
      <c r="FQG19" s="64"/>
      <c r="FQH19" s="64"/>
      <c r="FQI19" s="64"/>
      <c r="FQJ19" s="64"/>
      <c r="FQK19" s="64"/>
      <c r="FQL19" s="64"/>
      <c r="FQM19" s="64"/>
      <c r="FQN19" s="64"/>
      <c r="FQO19" s="64"/>
      <c r="FQP19" s="64"/>
      <c r="FQQ19" s="64"/>
      <c r="FQR19" s="64"/>
      <c r="FQS19" s="64"/>
      <c r="FQT19" s="64"/>
      <c r="FQU19" s="64"/>
      <c r="FQV19" s="64"/>
      <c r="FQW19" s="64"/>
      <c r="FQX19" s="64"/>
      <c r="FQY19" s="64"/>
      <c r="FQZ19" s="64"/>
      <c r="FRA19" s="64"/>
      <c r="FRB19" s="64"/>
      <c r="FRC19" s="64"/>
      <c r="FRD19" s="64"/>
      <c r="FRE19" s="64"/>
      <c r="FRF19" s="64"/>
      <c r="FRG19" s="64"/>
      <c r="FRH19" s="64"/>
      <c r="FRI19" s="64"/>
      <c r="FRJ19" s="64"/>
      <c r="FRK19" s="64"/>
      <c r="FRL19" s="64"/>
      <c r="FRM19" s="64"/>
      <c r="FRN19" s="64"/>
      <c r="FRO19" s="64"/>
      <c r="FRP19" s="64"/>
      <c r="FRQ19" s="64"/>
      <c r="FRR19" s="64"/>
      <c r="FRS19" s="64"/>
      <c r="FRT19" s="64"/>
      <c r="FRU19" s="64"/>
      <c r="FRV19" s="64"/>
      <c r="FRW19" s="64"/>
      <c r="FRX19" s="64"/>
      <c r="FRY19" s="64"/>
      <c r="FRZ19" s="64"/>
      <c r="FSA19" s="64"/>
      <c r="FSB19" s="64"/>
      <c r="FSC19" s="64"/>
      <c r="FSD19" s="64"/>
      <c r="FSE19" s="64"/>
      <c r="FSF19" s="64"/>
      <c r="FSG19" s="64"/>
      <c r="FSH19" s="64"/>
      <c r="FSI19" s="64"/>
      <c r="FSJ19" s="64"/>
      <c r="FSK19" s="64"/>
      <c r="FSL19" s="64"/>
      <c r="FSM19" s="64"/>
      <c r="FSN19" s="64"/>
      <c r="FSO19" s="64"/>
      <c r="FSP19" s="64"/>
      <c r="FSQ19" s="64"/>
      <c r="FSR19" s="64"/>
      <c r="FSS19" s="64"/>
      <c r="FST19" s="64"/>
      <c r="FSU19" s="64"/>
      <c r="FSV19" s="64"/>
      <c r="FSW19" s="64"/>
      <c r="FSX19" s="64"/>
      <c r="FSY19" s="64"/>
      <c r="FSZ19" s="64"/>
      <c r="FTA19" s="64"/>
      <c r="FTB19" s="64"/>
      <c r="FTC19" s="64"/>
      <c r="FTD19" s="64"/>
      <c r="FTE19" s="64"/>
      <c r="FTF19" s="64"/>
      <c r="FTG19" s="64"/>
      <c r="FTH19" s="64"/>
      <c r="FTI19" s="64"/>
      <c r="FTJ19" s="64"/>
      <c r="FTK19" s="64"/>
      <c r="FTL19" s="64"/>
      <c r="FTM19" s="64"/>
      <c r="FTN19" s="64"/>
      <c r="FTO19" s="64"/>
      <c r="FTP19" s="64"/>
      <c r="FTQ19" s="64"/>
      <c r="FTR19" s="64"/>
      <c r="FTS19" s="64"/>
      <c r="FTT19" s="64"/>
      <c r="FTU19" s="64"/>
      <c r="FTV19" s="64"/>
      <c r="FTW19" s="64"/>
      <c r="FTX19" s="64"/>
      <c r="FTY19" s="64"/>
      <c r="FTZ19" s="64"/>
      <c r="FUA19" s="64"/>
      <c r="FUB19" s="64"/>
      <c r="FUC19" s="64"/>
      <c r="FUD19" s="64"/>
      <c r="FUE19" s="64"/>
      <c r="FUF19" s="64"/>
      <c r="FUG19" s="64"/>
      <c r="FUH19" s="64"/>
      <c r="FUI19" s="64"/>
      <c r="FUJ19" s="64"/>
      <c r="FUK19" s="64"/>
      <c r="FUL19" s="64"/>
      <c r="FUM19" s="64"/>
      <c r="FUN19" s="64"/>
      <c r="FUO19" s="64"/>
      <c r="FUP19" s="64"/>
      <c r="FUQ19" s="64"/>
      <c r="FUR19" s="64"/>
      <c r="FUS19" s="64"/>
      <c r="FUT19" s="64"/>
      <c r="FUU19" s="64"/>
      <c r="FUV19" s="64"/>
      <c r="FUW19" s="64"/>
      <c r="FUX19" s="64"/>
      <c r="FUY19" s="64"/>
      <c r="FUZ19" s="64"/>
      <c r="FVA19" s="64"/>
      <c r="FVB19" s="64"/>
      <c r="FVC19" s="64"/>
      <c r="FVD19" s="64"/>
      <c r="FVE19" s="64"/>
      <c r="FVF19" s="64"/>
      <c r="FVG19" s="64"/>
      <c r="FVH19" s="64"/>
      <c r="FVI19" s="64"/>
      <c r="FVJ19" s="64"/>
      <c r="FVK19" s="64"/>
      <c r="FVL19" s="64"/>
      <c r="FVM19" s="64"/>
      <c r="FVN19" s="64"/>
      <c r="FVO19" s="64"/>
      <c r="FVP19" s="64"/>
      <c r="FVQ19" s="64"/>
      <c r="FVR19" s="64"/>
      <c r="FVS19" s="64"/>
      <c r="FVT19" s="64"/>
      <c r="FVU19" s="64"/>
      <c r="FVV19" s="64"/>
      <c r="FVW19" s="64"/>
      <c r="FVX19" s="64"/>
      <c r="FVY19" s="64"/>
      <c r="FVZ19" s="64"/>
      <c r="FWA19" s="64"/>
      <c r="FWB19" s="64"/>
      <c r="FWC19" s="64"/>
      <c r="FWD19" s="64"/>
      <c r="FWE19" s="64"/>
      <c r="FWF19" s="64"/>
      <c r="FWG19" s="64"/>
      <c r="FWH19" s="64"/>
      <c r="FWI19" s="64"/>
      <c r="FWJ19" s="64"/>
      <c r="FWK19" s="64"/>
      <c r="FWL19" s="64"/>
      <c r="FWM19" s="64"/>
      <c r="FWN19" s="64"/>
      <c r="FWO19" s="64"/>
      <c r="FWP19" s="64"/>
      <c r="FWQ19" s="64"/>
      <c r="FWR19" s="64"/>
      <c r="FWS19" s="64"/>
      <c r="FWT19" s="64"/>
      <c r="FWU19" s="64"/>
      <c r="FWV19" s="64"/>
      <c r="FWW19" s="64"/>
      <c r="FWX19" s="64"/>
      <c r="FWY19" s="64"/>
      <c r="FWZ19" s="64"/>
      <c r="FXA19" s="64"/>
      <c r="FXB19" s="64"/>
      <c r="FXC19" s="64"/>
      <c r="FXD19" s="64"/>
      <c r="FXE19" s="64"/>
      <c r="FXF19" s="64"/>
      <c r="FXG19" s="64"/>
      <c r="FXH19" s="64"/>
      <c r="FXI19" s="64"/>
      <c r="FXJ19" s="64"/>
      <c r="FXK19" s="64"/>
      <c r="FXL19" s="64"/>
      <c r="FXM19" s="64"/>
      <c r="FXN19" s="64"/>
      <c r="FXO19" s="64"/>
      <c r="FXP19" s="64"/>
      <c r="FXQ19" s="64"/>
      <c r="FXR19" s="64"/>
      <c r="FXS19" s="64"/>
      <c r="FXT19" s="64"/>
      <c r="FXU19" s="64"/>
      <c r="FXV19" s="64"/>
      <c r="FXW19" s="64"/>
      <c r="FXX19" s="64"/>
      <c r="FXY19" s="64"/>
      <c r="FXZ19" s="64"/>
      <c r="FYA19" s="64"/>
      <c r="FYB19" s="64"/>
      <c r="FYC19" s="64"/>
      <c r="FYD19" s="64"/>
      <c r="FYE19" s="64"/>
      <c r="FYF19" s="64"/>
      <c r="FYG19" s="64"/>
      <c r="FYH19" s="64"/>
      <c r="FYI19" s="64"/>
      <c r="FYJ19" s="64"/>
      <c r="FYK19" s="64"/>
      <c r="FYL19" s="64"/>
      <c r="FYM19" s="64"/>
      <c r="FYN19" s="64"/>
      <c r="FYO19" s="64"/>
      <c r="FYP19" s="64"/>
      <c r="FYQ19" s="64"/>
      <c r="FYR19" s="64"/>
      <c r="FYS19" s="64"/>
      <c r="FYT19" s="64"/>
      <c r="FYU19" s="64"/>
      <c r="FYV19" s="64"/>
      <c r="FYW19" s="64"/>
      <c r="FYX19" s="64"/>
      <c r="FYY19" s="64"/>
      <c r="FYZ19" s="64"/>
      <c r="FZA19" s="64"/>
      <c r="FZB19" s="64"/>
      <c r="FZC19" s="64"/>
      <c r="FZD19" s="64"/>
      <c r="FZE19" s="64"/>
      <c r="FZF19" s="64"/>
      <c r="FZG19" s="64"/>
      <c r="FZH19" s="64"/>
      <c r="FZI19" s="64"/>
      <c r="FZJ19" s="64"/>
      <c r="FZK19" s="64"/>
      <c r="FZL19" s="64"/>
      <c r="FZM19" s="64"/>
      <c r="FZN19" s="64"/>
      <c r="FZO19" s="64"/>
      <c r="FZP19" s="64"/>
      <c r="FZQ19" s="64"/>
      <c r="FZR19" s="64"/>
      <c r="FZS19" s="64"/>
      <c r="FZT19" s="64"/>
      <c r="FZU19" s="64"/>
      <c r="FZV19" s="64"/>
      <c r="FZW19" s="64"/>
      <c r="FZX19" s="64"/>
      <c r="FZY19" s="64"/>
      <c r="FZZ19" s="64"/>
      <c r="GAA19" s="64"/>
      <c r="GAB19" s="64"/>
      <c r="GAC19" s="64"/>
      <c r="GAD19" s="64"/>
      <c r="GAE19" s="64"/>
      <c r="GAF19" s="64"/>
      <c r="GAG19" s="64"/>
      <c r="GAH19" s="64"/>
      <c r="GAI19" s="64"/>
      <c r="GAJ19" s="64"/>
      <c r="GAK19" s="64"/>
      <c r="GAL19" s="64"/>
      <c r="GAM19" s="64"/>
      <c r="GAN19" s="64"/>
      <c r="GAO19" s="64"/>
      <c r="GAP19" s="64"/>
      <c r="GAQ19" s="64"/>
      <c r="GAR19" s="64"/>
      <c r="GAS19" s="64"/>
      <c r="GAT19" s="64"/>
      <c r="GAU19" s="64"/>
      <c r="GAV19" s="64"/>
      <c r="GAW19" s="64"/>
      <c r="GAX19" s="64"/>
      <c r="GAY19" s="64"/>
      <c r="GAZ19" s="64"/>
      <c r="GBA19" s="64"/>
      <c r="GBB19" s="64"/>
      <c r="GBC19" s="64"/>
      <c r="GBD19" s="64"/>
      <c r="GBE19" s="64"/>
      <c r="GBF19" s="64"/>
      <c r="GBG19" s="64"/>
      <c r="GBH19" s="64"/>
      <c r="GBI19" s="64"/>
      <c r="GBJ19" s="64"/>
      <c r="GBK19" s="64"/>
      <c r="GBL19" s="64"/>
      <c r="GBM19" s="64"/>
      <c r="GBN19" s="64"/>
      <c r="GBO19" s="64"/>
      <c r="GBP19" s="64"/>
      <c r="GBQ19" s="64"/>
      <c r="GBR19" s="64"/>
      <c r="GBS19" s="64"/>
      <c r="GBT19" s="64"/>
      <c r="GBU19" s="64"/>
      <c r="GBV19" s="64"/>
      <c r="GBW19" s="64"/>
      <c r="GBX19" s="64"/>
      <c r="GBY19" s="64"/>
      <c r="GBZ19" s="64"/>
      <c r="GCA19" s="64"/>
      <c r="GCB19" s="64"/>
      <c r="GCC19" s="64"/>
      <c r="GCD19" s="64"/>
      <c r="GCE19" s="64"/>
      <c r="GCF19" s="64"/>
      <c r="GCG19" s="64"/>
      <c r="GCH19" s="64"/>
      <c r="GCI19" s="64"/>
      <c r="GCJ19" s="64"/>
      <c r="GCK19" s="64"/>
      <c r="GCL19" s="64"/>
      <c r="GCM19" s="64"/>
      <c r="GCN19" s="64"/>
      <c r="GCO19" s="64"/>
      <c r="GCP19" s="64"/>
      <c r="GCQ19" s="64"/>
      <c r="GCR19" s="64"/>
      <c r="GCS19" s="64"/>
      <c r="GCT19" s="64"/>
      <c r="GCU19" s="64"/>
      <c r="GCV19" s="64"/>
      <c r="GCW19" s="64"/>
      <c r="GCX19" s="64"/>
      <c r="GCY19" s="64"/>
      <c r="GCZ19" s="64"/>
      <c r="GDA19" s="64"/>
      <c r="GDB19" s="64"/>
      <c r="GDC19" s="64"/>
      <c r="GDD19" s="64"/>
      <c r="GDE19" s="64"/>
      <c r="GDF19" s="64"/>
      <c r="GDG19" s="64"/>
      <c r="GDH19" s="64"/>
      <c r="GDI19" s="64"/>
      <c r="GDJ19" s="64"/>
      <c r="GDK19" s="64"/>
      <c r="GDL19" s="64"/>
      <c r="GDM19" s="64"/>
      <c r="GDN19" s="64"/>
      <c r="GDO19" s="64"/>
      <c r="GDP19" s="64"/>
      <c r="GDQ19" s="64"/>
      <c r="GDR19" s="64"/>
      <c r="GDS19" s="64"/>
      <c r="GDT19" s="64"/>
      <c r="GDU19" s="64"/>
      <c r="GDV19" s="64"/>
      <c r="GDW19" s="64"/>
      <c r="GDX19" s="64"/>
      <c r="GDY19" s="64"/>
      <c r="GDZ19" s="64"/>
      <c r="GEA19" s="64"/>
      <c r="GEB19" s="64"/>
      <c r="GEC19" s="64"/>
      <c r="GED19" s="64"/>
      <c r="GEE19" s="64"/>
      <c r="GEF19" s="64"/>
      <c r="GEG19" s="64"/>
      <c r="GEH19" s="64"/>
      <c r="GEI19" s="64"/>
      <c r="GEJ19" s="64"/>
      <c r="GEK19" s="64"/>
      <c r="GEL19" s="64"/>
      <c r="GEM19" s="64"/>
      <c r="GEN19" s="64"/>
      <c r="GEO19" s="64"/>
      <c r="GEP19" s="64"/>
      <c r="GEQ19" s="64"/>
      <c r="GER19" s="64"/>
      <c r="GES19" s="64"/>
      <c r="GET19" s="64"/>
      <c r="GEU19" s="64"/>
      <c r="GEV19" s="64"/>
      <c r="GEW19" s="64"/>
      <c r="GEX19" s="64"/>
      <c r="GEY19" s="64"/>
      <c r="GEZ19" s="64"/>
      <c r="GFA19" s="64"/>
      <c r="GFB19" s="64"/>
      <c r="GFC19" s="64"/>
      <c r="GFD19" s="64"/>
      <c r="GFE19" s="64"/>
      <c r="GFF19" s="64"/>
      <c r="GFG19" s="64"/>
      <c r="GFH19" s="64"/>
      <c r="GFI19" s="64"/>
      <c r="GFJ19" s="64"/>
      <c r="GFK19" s="64"/>
      <c r="GFL19" s="64"/>
      <c r="GFM19" s="64"/>
      <c r="GFN19" s="64"/>
      <c r="GFO19" s="64"/>
      <c r="GFP19" s="64"/>
      <c r="GFQ19" s="64"/>
      <c r="GFR19" s="64"/>
      <c r="GFS19" s="64"/>
      <c r="GFT19" s="64"/>
      <c r="GFU19" s="64"/>
      <c r="GFV19" s="64"/>
      <c r="GFW19" s="64"/>
      <c r="GFX19" s="64"/>
      <c r="GFY19" s="64"/>
      <c r="GFZ19" s="64"/>
      <c r="GGA19" s="64"/>
      <c r="GGB19" s="64"/>
      <c r="GGC19" s="64"/>
      <c r="GGD19" s="64"/>
      <c r="GGE19" s="64"/>
      <c r="GGF19" s="64"/>
      <c r="GGG19" s="64"/>
      <c r="GGH19" s="64"/>
      <c r="GGI19" s="64"/>
      <c r="GGJ19" s="64"/>
      <c r="GGK19" s="64"/>
      <c r="GGL19" s="64"/>
      <c r="GGM19" s="64"/>
      <c r="GGN19" s="64"/>
      <c r="GGO19" s="64"/>
      <c r="GGP19" s="64"/>
      <c r="GGQ19" s="64"/>
      <c r="GGR19" s="64"/>
      <c r="GGS19" s="64"/>
      <c r="GGT19" s="64"/>
      <c r="GGU19" s="64"/>
      <c r="GGV19" s="64"/>
      <c r="GGW19" s="64"/>
      <c r="GGX19" s="64"/>
      <c r="GGY19" s="64"/>
      <c r="GGZ19" s="64"/>
      <c r="GHA19" s="64"/>
      <c r="GHB19" s="64"/>
      <c r="GHC19" s="64"/>
      <c r="GHD19" s="64"/>
      <c r="GHE19" s="64"/>
      <c r="GHF19" s="64"/>
      <c r="GHG19" s="64"/>
      <c r="GHH19" s="64"/>
      <c r="GHI19" s="64"/>
      <c r="GHJ19" s="64"/>
      <c r="GHK19" s="64"/>
      <c r="GHL19" s="64"/>
      <c r="GHM19" s="64"/>
      <c r="GHN19" s="64"/>
      <c r="GHO19" s="64"/>
      <c r="GHP19" s="64"/>
      <c r="GHQ19" s="64"/>
      <c r="GHR19" s="64"/>
      <c r="GHS19" s="64"/>
      <c r="GHT19" s="64"/>
      <c r="GHU19" s="64"/>
      <c r="GHV19" s="64"/>
      <c r="GHW19" s="64"/>
      <c r="GHX19" s="64"/>
      <c r="GHY19" s="64"/>
      <c r="GHZ19" s="64"/>
      <c r="GIA19" s="64"/>
      <c r="GIB19" s="64"/>
      <c r="GIC19" s="64"/>
      <c r="GID19" s="64"/>
      <c r="GIE19" s="64"/>
      <c r="GIF19" s="64"/>
      <c r="GIG19" s="64"/>
      <c r="GIH19" s="64"/>
      <c r="GII19" s="64"/>
      <c r="GIJ19" s="64"/>
      <c r="GIK19" s="64"/>
      <c r="GIL19" s="64"/>
      <c r="GIM19" s="64"/>
      <c r="GIN19" s="64"/>
      <c r="GIO19" s="64"/>
      <c r="GIP19" s="64"/>
      <c r="GIQ19" s="64"/>
      <c r="GIR19" s="64"/>
      <c r="GIS19" s="64"/>
      <c r="GIT19" s="64"/>
      <c r="GIU19" s="64"/>
      <c r="GIV19" s="64"/>
      <c r="GIW19" s="64"/>
      <c r="GIX19" s="64"/>
      <c r="GIY19" s="64"/>
      <c r="GIZ19" s="64"/>
      <c r="GJA19" s="64"/>
      <c r="GJB19" s="64"/>
      <c r="GJC19" s="64"/>
      <c r="GJD19" s="64"/>
      <c r="GJE19" s="64"/>
      <c r="GJF19" s="64"/>
      <c r="GJG19" s="64"/>
      <c r="GJH19" s="64"/>
      <c r="GJI19" s="64"/>
      <c r="GJJ19" s="64"/>
      <c r="GJK19" s="64"/>
      <c r="GJL19" s="64"/>
      <c r="GJM19" s="64"/>
      <c r="GJN19" s="64"/>
      <c r="GJO19" s="64"/>
      <c r="GJP19" s="64"/>
      <c r="GJQ19" s="64"/>
      <c r="GJR19" s="64"/>
      <c r="GJS19" s="64"/>
      <c r="GJT19" s="64"/>
      <c r="GJU19" s="64"/>
      <c r="GJV19" s="64"/>
      <c r="GJW19" s="64"/>
      <c r="GJX19" s="64"/>
      <c r="GJY19" s="64"/>
      <c r="GJZ19" s="64"/>
      <c r="GKA19" s="64"/>
      <c r="GKB19" s="64"/>
      <c r="GKC19" s="64"/>
      <c r="GKD19" s="64"/>
      <c r="GKE19" s="64"/>
      <c r="GKF19" s="64"/>
      <c r="GKG19" s="64"/>
      <c r="GKH19" s="64"/>
      <c r="GKI19" s="64"/>
      <c r="GKJ19" s="64"/>
      <c r="GKK19" s="64"/>
      <c r="GKL19" s="64"/>
      <c r="GKM19" s="64"/>
      <c r="GKN19" s="64"/>
      <c r="GKO19" s="64"/>
      <c r="GKP19" s="64"/>
      <c r="GKQ19" s="64"/>
      <c r="GKR19" s="64"/>
      <c r="GKS19" s="64"/>
      <c r="GKT19" s="64"/>
      <c r="GKU19" s="64"/>
      <c r="GKV19" s="64"/>
      <c r="GKW19" s="64"/>
      <c r="GKX19" s="64"/>
      <c r="GKY19" s="64"/>
      <c r="GKZ19" s="64"/>
      <c r="GLA19" s="64"/>
      <c r="GLB19" s="64"/>
      <c r="GLC19" s="64"/>
      <c r="GLD19" s="64"/>
      <c r="GLE19" s="64"/>
      <c r="GLF19" s="64"/>
      <c r="GLG19" s="64"/>
      <c r="GLH19" s="64"/>
      <c r="GLI19" s="64"/>
      <c r="GLJ19" s="64"/>
      <c r="GLK19" s="64"/>
      <c r="GLL19" s="64"/>
      <c r="GLM19" s="64"/>
      <c r="GLN19" s="64"/>
      <c r="GLO19" s="64"/>
      <c r="GLP19" s="64"/>
      <c r="GLQ19" s="64"/>
      <c r="GLR19" s="64"/>
      <c r="GLS19" s="64"/>
      <c r="GLT19" s="64"/>
      <c r="GLU19" s="64"/>
      <c r="GLV19" s="64"/>
      <c r="GLW19" s="64"/>
      <c r="GLX19" s="64"/>
      <c r="GLY19" s="64"/>
      <c r="GLZ19" s="64"/>
      <c r="GMA19" s="64"/>
      <c r="GMB19" s="64"/>
      <c r="GMC19" s="64"/>
      <c r="GMD19" s="64"/>
      <c r="GME19" s="64"/>
      <c r="GMF19" s="64"/>
      <c r="GMG19" s="64"/>
      <c r="GMH19" s="64"/>
      <c r="GMI19" s="64"/>
      <c r="GMJ19" s="64"/>
      <c r="GMK19" s="64"/>
      <c r="GML19" s="64"/>
      <c r="GMM19" s="64"/>
      <c r="GMN19" s="64"/>
      <c r="GMO19" s="64"/>
      <c r="GMP19" s="64"/>
      <c r="GMQ19" s="64"/>
      <c r="GMR19" s="64"/>
      <c r="GMS19" s="64"/>
      <c r="GMT19" s="64"/>
      <c r="GMU19" s="64"/>
      <c r="GMV19" s="64"/>
      <c r="GMW19" s="64"/>
      <c r="GMX19" s="64"/>
      <c r="GMY19" s="64"/>
      <c r="GMZ19" s="64"/>
      <c r="GNA19" s="64"/>
      <c r="GNB19" s="64"/>
      <c r="GNC19" s="64"/>
      <c r="GND19" s="64"/>
      <c r="GNE19" s="64"/>
      <c r="GNF19" s="64"/>
      <c r="GNG19" s="64"/>
      <c r="GNH19" s="64"/>
      <c r="GNI19" s="64"/>
      <c r="GNJ19" s="64"/>
      <c r="GNK19" s="64"/>
      <c r="GNL19" s="64"/>
      <c r="GNM19" s="64"/>
      <c r="GNN19" s="64"/>
      <c r="GNO19" s="64"/>
      <c r="GNP19" s="64"/>
      <c r="GNQ19" s="64"/>
      <c r="GNR19" s="64"/>
      <c r="GNS19" s="64"/>
      <c r="GNT19" s="64"/>
      <c r="GNU19" s="64"/>
      <c r="GNV19" s="64"/>
      <c r="GNW19" s="64"/>
      <c r="GNX19" s="64"/>
      <c r="GNY19" s="64"/>
      <c r="GNZ19" s="64"/>
      <c r="GOA19" s="64"/>
      <c r="GOB19" s="64"/>
      <c r="GOC19" s="64"/>
      <c r="GOD19" s="64"/>
      <c r="GOE19" s="64"/>
      <c r="GOF19" s="64"/>
      <c r="GOG19" s="64"/>
      <c r="GOH19" s="64"/>
      <c r="GOI19" s="64"/>
      <c r="GOJ19" s="64"/>
      <c r="GOK19" s="64"/>
      <c r="GOL19" s="64"/>
      <c r="GOM19" s="64"/>
      <c r="GON19" s="64"/>
      <c r="GOO19" s="64"/>
      <c r="GOP19" s="64"/>
      <c r="GOQ19" s="64"/>
      <c r="GOR19" s="64"/>
      <c r="GOS19" s="64"/>
      <c r="GOT19" s="64"/>
      <c r="GOU19" s="64"/>
      <c r="GOV19" s="64"/>
      <c r="GOW19" s="64"/>
      <c r="GOX19" s="64"/>
      <c r="GOY19" s="64"/>
      <c r="GOZ19" s="64"/>
      <c r="GPA19" s="64"/>
      <c r="GPB19" s="64"/>
      <c r="GPC19" s="64"/>
      <c r="GPD19" s="64"/>
      <c r="GPE19" s="64"/>
      <c r="GPF19" s="64"/>
      <c r="GPG19" s="64"/>
      <c r="GPH19" s="64"/>
      <c r="GPI19" s="64"/>
      <c r="GPJ19" s="64"/>
      <c r="GPK19" s="64"/>
      <c r="GPL19" s="64"/>
      <c r="GPM19" s="64"/>
      <c r="GPN19" s="64"/>
      <c r="GPO19" s="64"/>
      <c r="GPP19" s="64"/>
      <c r="GPQ19" s="64"/>
      <c r="GPR19" s="64"/>
      <c r="GPS19" s="64"/>
      <c r="GPT19" s="64"/>
      <c r="GPU19" s="64"/>
      <c r="GPV19" s="64"/>
      <c r="GPW19" s="64"/>
      <c r="GPX19" s="64"/>
      <c r="GPY19" s="64"/>
      <c r="GPZ19" s="64"/>
      <c r="GQA19" s="64"/>
      <c r="GQB19" s="64"/>
      <c r="GQC19" s="64"/>
      <c r="GQD19" s="64"/>
      <c r="GQE19" s="64"/>
      <c r="GQF19" s="64"/>
      <c r="GQG19" s="64"/>
      <c r="GQH19" s="64"/>
      <c r="GQI19" s="64"/>
      <c r="GQJ19" s="64"/>
      <c r="GQK19" s="64"/>
      <c r="GQL19" s="64"/>
      <c r="GQM19" s="64"/>
      <c r="GQN19" s="64"/>
      <c r="GQO19" s="64"/>
      <c r="GQP19" s="64"/>
      <c r="GQQ19" s="64"/>
      <c r="GQR19" s="64"/>
      <c r="GQS19" s="64"/>
      <c r="GQT19" s="64"/>
      <c r="GQU19" s="64"/>
      <c r="GQV19" s="64"/>
      <c r="GQW19" s="64"/>
      <c r="GQX19" s="64"/>
      <c r="GQY19" s="64"/>
      <c r="GQZ19" s="64"/>
      <c r="GRA19" s="64"/>
      <c r="GRB19" s="64"/>
      <c r="GRC19" s="64"/>
      <c r="GRD19" s="64"/>
      <c r="GRE19" s="64"/>
      <c r="GRF19" s="64"/>
      <c r="GRG19" s="64"/>
      <c r="GRH19" s="64"/>
      <c r="GRI19" s="64"/>
      <c r="GRJ19" s="64"/>
      <c r="GRK19" s="64"/>
      <c r="GRL19" s="64"/>
      <c r="GRM19" s="64"/>
      <c r="GRN19" s="64"/>
      <c r="GRO19" s="64"/>
      <c r="GRP19" s="64"/>
      <c r="GRQ19" s="64"/>
      <c r="GRR19" s="64"/>
      <c r="GRS19" s="64"/>
      <c r="GRT19" s="64"/>
      <c r="GRU19" s="64"/>
      <c r="GRV19" s="64"/>
      <c r="GRW19" s="64"/>
      <c r="GRX19" s="64"/>
      <c r="GRY19" s="64"/>
      <c r="GRZ19" s="64"/>
      <c r="GSA19" s="64"/>
      <c r="GSB19" s="64"/>
      <c r="GSC19" s="64"/>
      <c r="GSD19" s="64"/>
      <c r="GSE19" s="64"/>
      <c r="GSF19" s="64"/>
      <c r="GSG19" s="64"/>
      <c r="GSH19" s="64"/>
      <c r="GSI19" s="64"/>
      <c r="GSJ19" s="64"/>
      <c r="GSK19" s="64"/>
      <c r="GSL19" s="64"/>
      <c r="GSM19" s="64"/>
      <c r="GSN19" s="64"/>
      <c r="GSO19" s="64"/>
      <c r="GSP19" s="64"/>
      <c r="GSQ19" s="64"/>
      <c r="GSR19" s="64"/>
      <c r="GSS19" s="64"/>
      <c r="GST19" s="64"/>
      <c r="GSU19" s="64"/>
      <c r="GSV19" s="64"/>
      <c r="GSW19" s="64"/>
      <c r="GSX19" s="64"/>
      <c r="GSY19" s="64"/>
      <c r="GSZ19" s="64"/>
      <c r="GTA19" s="64"/>
      <c r="GTB19" s="64"/>
      <c r="GTC19" s="64"/>
      <c r="GTD19" s="64"/>
      <c r="GTE19" s="64"/>
      <c r="GTF19" s="64"/>
      <c r="GTG19" s="64"/>
      <c r="GTH19" s="64"/>
      <c r="GTI19" s="64"/>
      <c r="GTJ19" s="64"/>
      <c r="GTK19" s="64"/>
      <c r="GTL19" s="64"/>
      <c r="GTM19" s="64"/>
      <c r="GTN19" s="64"/>
      <c r="GTO19" s="64"/>
      <c r="GTP19" s="64"/>
      <c r="GTQ19" s="64"/>
      <c r="GTR19" s="64"/>
      <c r="GTS19" s="64"/>
      <c r="GTT19" s="64"/>
      <c r="GTU19" s="64"/>
      <c r="GTV19" s="64"/>
      <c r="GTW19" s="64"/>
      <c r="GTX19" s="64"/>
      <c r="GTY19" s="64"/>
      <c r="GTZ19" s="64"/>
      <c r="GUA19" s="64"/>
      <c r="GUB19" s="64"/>
      <c r="GUC19" s="64"/>
      <c r="GUD19" s="64"/>
      <c r="GUE19" s="64"/>
      <c r="GUF19" s="64"/>
      <c r="GUG19" s="64"/>
      <c r="GUH19" s="64"/>
      <c r="GUI19" s="64"/>
      <c r="GUJ19" s="64"/>
      <c r="GUK19" s="64"/>
      <c r="GUL19" s="64"/>
      <c r="GUM19" s="64"/>
      <c r="GUN19" s="64"/>
      <c r="GUO19" s="64"/>
      <c r="GUP19" s="64"/>
      <c r="GUQ19" s="64"/>
      <c r="GUR19" s="64"/>
      <c r="GUS19" s="64"/>
      <c r="GUT19" s="64"/>
      <c r="GUU19" s="64"/>
      <c r="GUV19" s="64"/>
      <c r="GUW19" s="64"/>
      <c r="GUX19" s="64"/>
      <c r="GUY19" s="64"/>
      <c r="GUZ19" s="64"/>
      <c r="GVA19" s="64"/>
      <c r="GVB19" s="64"/>
      <c r="GVC19" s="64"/>
      <c r="GVD19" s="64"/>
      <c r="GVE19" s="64"/>
      <c r="GVF19" s="64"/>
      <c r="GVG19" s="64"/>
      <c r="GVH19" s="64"/>
      <c r="GVI19" s="64"/>
      <c r="GVJ19" s="64"/>
      <c r="GVK19" s="64"/>
      <c r="GVL19" s="64"/>
      <c r="GVM19" s="64"/>
      <c r="GVN19" s="64"/>
      <c r="GVO19" s="64"/>
      <c r="GVP19" s="64"/>
      <c r="GVQ19" s="64"/>
      <c r="GVR19" s="64"/>
      <c r="GVS19" s="64"/>
      <c r="GVT19" s="64"/>
      <c r="GVU19" s="64"/>
      <c r="GVV19" s="64"/>
      <c r="GVW19" s="64"/>
      <c r="GVX19" s="64"/>
      <c r="GVY19" s="64"/>
      <c r="GVZ19" s="64"/>
      <c r="GWA19" s="64"/>
      <c r="GWB19" s="64"/>
      <c r="GWC19" s="64"/>
      <c r="GWD19" s="64"/>
      <c r="GWE19" s="64"/>
      <c r="GWF19" s="64"/>
      <c r="GWG19" s="64"/>
      <c r="GWH19" s="64"/>
      <c r="GWI19" s="64"/>
      <c r="GWJ19" s="64"/>
      <c r="GWK19" s="64"/>
      <c r="GWL19" s="64"/>
      <c r="GWM19" s="64"/>
      <c r="GWN19" s="64"/>
      <c r="GWO19" s="64"/>
      <c r="GWP19" s="64"/>
      <c r="GWQ19" s="64"/>
      <c r="GWR19" s="64"/>
      <c r="GWS19" s="64"/>
      <c r="GWT19" s="64"/>
      <c r="GWU19" s="64"/>
      <c r="GWV19" s="64"/>
      <c r="GWW19" s="64"/>
      <c r="GWX19" s="64"/>
      <c r="GWY19" s="64"/>
      <c r="GWZ19" s="64"/>
      <c r="GXA19" s="64"/>
      <c r="GXB19" s="64"/>
      <c r="GXC19" s="64"/>
      <c r="GXD19" s="64"/>
      <c r="GXE19" s="64"/>
      <c r="GXF19" s="64"/>
      <c r="GXG19" s="64"/>
      <c r="GXH19" s="64"/>
      <c r="GXI19" s="64"/>
      <c r="GXJ19" s="64"/>
      <c r="GXK19" s="64"/>
      <c r="GXL19" s="64"/>
      <c r="GXM19" s="64"/>
      <c r="GXN19" s="64"/>
      <c r="GXO19" s="64"/>
      <c r="GXP19" s="64"/>
      <c r="GXQ19" s="64"/>
      <c r="GXR19" s="64"/>
      <c r="GXS19" s="64"/>
      <c r="GXT19" s="64"/>
      <c r="GXU19" s="64"/>
      <c r="GXV19" s="64"/>
      <c r="GXW19" s="64"/>
      <c r="GXX19" s="64"/>
      <c r="GXY19" s="64"/>
      <c r="GXZ19" s="64"/>
      <c r="GYA19" s="64"/>
      <c r="GYB19" s="64"/>
      <c r="GYC19" s="64"/>
      <c r="GYD19" s="64"/>
      <c r="GYE19" s="64"/>
      <c r="GYF19" s="64"/>
      <c r="GYG19" s="64"/>
      <c r="GYH19" s="64"/>
      <c r="GYI19" s="64"/>
      <c r="GYJ19" s="64"/>
      <c r="GYK19" s="64"/>
      <c r="GYL19" s="64"/>
      <c r="GYM19" s="64"/>
      <c r="GYN19" s="64"/>
      <c r="GYO19" s="64"/>
      <c r="GYP19" s="64"/>
      <c r="GYQ19" s="64"/>
      <c r="GYR19" s="64"/>
      <c r="GYS19" s="64"/>
      <c r="GYT19" s="64"/>
      <c r="GYU19" s="64"/>
      <c r="GYV19" s="64"/>
      <c r="GYW19" s="64"/>
      <c r="GYX19" s="64"/>
      <c r="GYY19" s="64"/>
      <c r="GYZ19" s="64"/>
      <c r="GZA19" s="64"/>
      <c r="GZB19" s="64"/>
      <c r="GZC19" s="64"/>
      <c r="GZD19" s="64"/>
      <c r="GZE19" s="64"/>
      <c r="GZF19" s="64"/>
      <c r="GZG19" s="64"/>
      <c r="GZH19" s="64"/>
      <c r="GZI19" s="64"/>
      <c r="GZJ19" s="64"/>
      <c r="GZK19" s="64"/>
      <c r="GZL19" s="64"/>
      <c r="GZM19" s="64"/>
      <c r="GZN19" s="64"/>
      <c r="GZO19" s="64"/>
      <c r="GZP19" s="64"/>
      <c r="GZQ19" s="64"/>
      <c r="GZR19" s="64"/>
      <c r="GZS19" s="64"/>
      <c r="GZT19" s="64"/>
      <c r="GZU19" s="64"/>
      <c r="GZV19" s="64"/>
      <c r="GZW19" s="64"/>
      <c r="GZX19" s="64"/>
      <c r="GZY19" s="64"/>
      <c r="GZZ19" s="64"/>
      <c r="HAA19" s="64"/>
      <c r="HAB19" s="64"/>
      <c r="HAC19" s="64"/>
      <c r="HAD19" s="64"/>
      <c r="HAE19" s="64"/>
      <c r="HAF19" s="64"/>
      <c r="HAG19" s="64"/>
      <c r="HAH19" s="64"/>
      <c r="HAI19" s="64"/>
      <c r="HAJ19" s="64"/>
      <c r="HAK19" s="64"/>
      <c r="HAL19" s="64"/>
      <c r="HAM19" s="64"/>
      <c r="HAN19" s="64"/>
      <c r="HAO19" s="64"/>
      <c r="HAP19" s="64"/>
      <c r="HAQ19" s="64"/>
      <c r="HAR19" s="64"/>
      <c r="HAS19" s="64"/>
      <c r="HAT19" s="64"/>
      <c r="HAU19" s="64"/>
      <c r="HAV19" s="64"/>
      <c r="HAW19" s="64"/>
      <c r="HAX19" s="64"/>
      <c r="HAY19" s="64"/>
      <c r="HAZ19" s="64"/>
      <c r="HBA19" s="64"/>
      <c r="HBB19" s="64"/>
      <c r="HBC19" s="64"/>
      <c r="HBD19" s="64"/>
      <c r="HBE19" s="64"/>
      <c r="HBF19" s="64"/>
      <c r="HBG19" s="64"/>
      <c r="HBH19" s="64"/>
      <c r="HBI19" s="64"/>
      <c r="HBJ19" s="64"/>
      <c r="HBK19" s="64"/>
      <c r="HBL19" s="64"/>
      <c r="HBM19" s="64"/>
      <c r="HBN19" s="64"/>
      <c r="HBO19" s="64"/>
      <c r="HBP19" s="64"/>
      <c r="HBQ19" s="64"/>
      <c r="HBR19" s="64"/>
      <c r="HBS19" s="64"/>
      <c r="HBT19" s="64"/>
      <c r="HBU19" s="64"/>
      <c r="HBV19" s="64"/>
      <c r="HBW19" s="64"/>
      <c r="HBX19" s="64"/>
      <c r="HBY19" s="64"/>
      <c r="HBZ19" s="64"/>
      <c r="HCA19" s="64"/>
      <c r="HCB19" s="64"/>
      <c r="HCC19" s="64"/>
      <c r="HCD19" s="64"/>
      <c r="HCE19" s="64"/>
      <c r="HCF19" s="64"/>
      <c r="HCG19" s="64"/>
      <c r="HCH19" s="64"/>
      <c r="HCI19" s="64"/>
      <c r="HCJ19" s="64"/>
      <c r="HCK19" s="64"/>
      <c r="HCL19" s="64"/>
      <c r="HCM19" s="64"/>
      <c r="HCN19" s="64"/>
      <c r="HCO19" s="64"/>
      <c r="HCP19" s="64"/>
      <c r="HCQ19" s="64"/>
      <c r="HCR19" s="64"/>
      <c r="HCS19" s="64"/>
      <c r="HCT19" s="64"/>
      <c r="HCU19" s="64"/>
      <c r="HCV19" s="64"/>
      <c r="HCW19" s="64"/>
      <c r="HCX19" s="64"/>
      <c r="HCY19" s="64"/>
      <c r="HCZ19" s="64"/>
      <c r="HDA19" s="64"/>
      <c r="HDB19" s="64"/>
      <c r="HDC19" s="64"/>
      <c r="HDD19" s="64"/>
      <c r="HDE19" s="64"/>
      <c r="HDF19" s="64"/>
      <c r="HDG19" s="64"/>
      <c r="HDH19" s="64"/>
      <c r="HDI19" s="64"/>
      <c r="HDJ19" s="64"/>
      <c r="HDK19" s="64"/>
      <c r="HDL19" s="64"/>
      <c r="HDM19" s="64"/>
      <c r="HDN19" s="64"/>
      <c r="HDO19" s="64"/>
      <c r="HDP19" s="64"/>
      <c r="HDQ19" s="64"/>
      <c r="HDR19" s="64"/>
      <c r="HDS19" s="64"/>
      <c r="HDT19" s="64"/>
      <c r="HDU19" s="64"/>
      <c r="HDV19" s="64"/>
      <c r="HDW19" s="64"/>
      <c r="HDX19" s="64"/>
      <c r="HDY19" s="64"/>
      <c r="HDZ19" s="64"/>
      <c r="HEA19" s="64"/>
      <c r="HEB19" s="64"/>
      <c r="HEC19" s="64"/>
      <c r="HED19" s="64"/>
      <c r="HEE19" s="64"/>
      <c r="HEF19" s="64"/>
      <c r="HEG19" s="64"/>
      <c r="HEH19" s="64"/>
      <c r="HEI19" s="64"/>
      <c r="HEJ19" s="64"/>
      <c r="HEK19" s="64"/>
      <c r="HEL19" s="64"/>
      <c r="HEM19" s="64"/>
      <c r="HEN19" s="64"/>
      <c r="HEO19" s="64"/>
      <c r="HEP19" s="64"/>
      <c r="HEQ19" s="64"/>
      <c r="HER19" s="64"/>
      <c r="HES19" s="64"/>
      <c r="HET19" s="64"/>
      <c r="HEU19" s="64"/>
      <c r="HEV19" s="64"/>
      <c r="HEW19" s="64"/>
      <c r="HEX19" s="64"/>
      <c r="HEY19" s="64"/>
      <c r="HEZ19" s="64"/>
      <c r="HFA19" s="64"/>
      <c r="HFB19" s="64"/>
      <c r="HFC19" s="64"/>
      <c r="HFD19" s="64"/>
      <c r="HFE19" s="64"/>
      <c r="HFF19" s="64"/>
      <c r="HFG19" s="64"/>
      <c r="HFH19" s="64"/>
      <c r="HFI19" s="64"/>
      <c r="HFJ19" s="64"/>
      <c r="HFK19" s="64"/>
      <c r="HFL19" s="64"/>
      <c r="HFM19" s="64"/>
      <c r="HFN19" s="64"/>
      <c r="HFO19" s="64"/>
      <c r="HFP19" s="64"/>
      <c r="HFQ19" s="64"/>
      <c r="HFR19" s="64"/>
      <c r="HFS19" s="64"/>
      <c r="HFT19" s="64"/>
      <c r="HFU19" s="64"/>
      <c r="HFV19" s="64"/>
      <c r="HFW19" s="64"/>
      <c r="HFX19" s="64"/>
      <c r="HFY19" s="64"/>
      <c r="HFZ19" s="64"/>
      <c r="HGA19" s="64"/>
      <c r="HGB19" s="64"/>
      <c r="HGC19" s="64"/>
      <c r="HGD19" s="64"/>
      <c r="HGE19" s="64"/>
      <c r="HGF19" s="64"/>
      <c r="HGG19" s="64"/>
      <c r="HGH19" s="64"/>
      <c r="HGI19" s="64"/>
      <c r="HGJ19" s="64"/>
      <c r="HGK19" s="64"/>
      <c r="HGL19" s="64"/>
      <c r="HGM19" s="64"/>
      <c r="HGN19" s="64"/>
      <c r="HGO19" s="64"/>
      <c r="HGP19" s="64"/>
      <c r="HGQ19" s="64"/>
      <c r="HGR19" s="64"/>
      <c r="HGS19" s="64"/>
      <c r="HGT19" s="64"/>
      <c r="HGU19" s="64"/>
      <c r="HGV19" s="64"/>
      <c r="HGW19" s="64"/>
      <c r="HGX19" s="64"/>
      <c r="HGY19" s="64"/>
      <c r="HGZ19" s="64"/>
      <c r="HHA19" s="64"/>
      <c r="HHB19" s="64"/>
      <c r="HHC19" s="64"/>
      <c r="HHD19" s="64"/>
      <c r="HHE19" s="64"/>
      <c r="HHF19" s="64"/>
      <c r="HHG19" s="64"/>
      <c r="HHH19" s="64"/>
      <c r="HHI19" s="64"/>
      <c r="HHJ19" s="64"/>
      <c r="HHK19" s="64"/>
      <c r="HHL19" s="64"/>
      <c r="HHM19" s="64"/>
      <c r="HHN19" s="64"/>
      <c r="HHO19" s="64"/>
      <c r="HHP19" s="64"/>
      <c r="HHQ19" s="64"/>
      <c r="HHR19" s="64"/>
      <c r="HHS19" s="64"/>
      <c r="HHT19" s="64"/>
      <c r="HHU19" s="64"/>
      <c r="HHV19" s="64"/>
      <c r="HHW19" s="64"/>
      <c r="HHX19" s="64"/>
      <c r="HHY19" s="64"/>
      <c r="HHZ19" s="64"/>
      <c r="HIA19" s="64"/>
      <c r="HIB19" s="64"/>
      <c r="HIC19" s="64"/>
      <c r="HID19" s="64"/>
      <c r="HIE19" s="64"/>
      <c r="HIF19" s="64"/>
      <c r="HIG19" s="64"/>
      <c r="HIH19" s="64"/>
      <c r="HII19" s="64"/>
      <c r="HIJ19" s="64"/>
      <c r="HIK19" s="64"/>
      <c r="HIL19" s="64"/>
      <c r="HIM19" s="64"/>
      <c r="HIN19" s="64"/>
      <c r="HIO19" s="64"/>
      <c r="HIP19" s="64"/>
      <c r="HIQ19" s="64"/>
      <c r="HIR19" s="64"/>
      <c r="HIS19" s="64"/>
      <c r="HIT19" s="64"/>
      <c r="HIU19" s="64"/>
      <c r="HIV19" s="64"/>
      <c r="HIW19" s="64"/>
      <c r="HIX19" s="64"/>
      <c r="HIY19" s="64"/>
      <c r="HIZ19" s="64"/>
      <c r="HJA19" s="64"/>
      <c r="HJB19" s="64"/>
      <c r="HJC19" s="64"/>
      <c r="HJD19" s="64"/>
      <c r="HJE19" s="64"/>
      <c r="HJF19" s="64"/>
      <c r="HJG19" s="64"/>
      <c r="HJH19" s="64"/>
      <c r="HJI19" s="64"/>
      <c r="HJJ19" s="64"/>
      <c r="HJK19" s="64"/>
      <c r="HJL19" s="64"/>
      <c r="HJM19" s="64"/>
      <c r="HJN19" s="64"/>
      <c r="HJO19" s="64"/>
      <c r="HJP19" s="64"/>
      <c r="HJQ19" s="64"/>
      <c r="HJR19" s="64"/>
      <c r="HJS19" s="64"/>
      <c r="HJT19" s="64"/>
      <c r="HJU19" s="64"/>
      <c r="HJV19" s="64"/>
      <c r="HJW19" s="64"/>
      <c r="HJX19" s="64"/>
      <c r="HJY19" s="64"/>
      <c r="HJZ19" s="64"/>
      <c r="HKA19" s="64"/>
      <c r="HKB19" s="64"/>
      <c r="HKC19" s="64"/>
      <c r="HKD19" s="64"/>
      <c r="HKE19" s="64"/>
      <c r="HKF19" s="64"/>
      <c r="HKG19" s="64"/>
      <c r="HKH19" s="64"/>
      <c r="HKI19" s="64"/>
      <c r="HKJ19" s="64"/>
      <c r="HKK19" s="64"/>
      <c r="HKL19" s="64"/>
      <c r="HKM19" s="64"/>
      <c r="HKN19" s="64"/>
      <c r="HKO19" s="64"/>
      <c r="HKP19" s="64"/>
      <c r="HKQ19" s="64"/>
      <c r="HKR19" s="64"/>
      <c r="HKS19" s="64"/>
      <c r="HKT19" s="64"/>
      <c r="HKU19" s="64"/>
      <c r="HKV19" s="64"/>
      <c r="HKW19" s="64"/>
      <c r="HKX19" s="64"/>
      <c r="HKY19" s="64"/>
      <c r="HKZ19" s="64"/>
      <c r="HLA19" s="64"/>
      <c r="HLB19" s="64"/>
      <c r="HLC19" s="64"/>
      <c r="HLD19" s="64"/>
      <c r="HLE19" s="64"/>
      <c r="HLF19" s="64"/>
      <c r="HLG19" s="64"/>
      <c r="HLH19" s="64"/>
      <c r="HLI19" s="64"/>
      <c r="HLJ19" s="64"/>
      <c r="HLK19" s="64"/>
      <c r="HLL19" s="64"/>
      <c r="HLM19" s="64"/>
      <c r="HLN19" s="64"/>
      <c r="HLO19" s="64"/>
      <c r="HLP19" s="64"/>
      <c r="HLQ19" s="64"/>
      <c r="HLR19" s="64"/>
      <c r="HLS19" s="64"/>
      <c r="HLT19" s="64"/>
      <c r="HLU19" s="64"/>
      <c r="HLV19" s="64"/>
      <c r="HLW19" s="64"/>
      <c r="HLX19" s="64"/>
      <c r="HLY19" s="64"/>
      <c r="HLZ19" s="64"/>
      <c r="HMA19" s="64"/>
      <c r="HMB19" s="64"/>
      <c r="HMC19" s="64"/>
      <c r="HMD19" s="64"/>
      <c r="HME19" s="64"/>
      <c r="HMF19" s="64"/>
      <c r="HMG19" s="64"/>
      <c r="HMH19" s="64"/>
      <c r="HMI19" s="64"/>
      <c r="HMJ19" s="64"/>
      <c r="HMK19" s="64"/>
      <c r="HML19" s="64"/>
      <c r="HMM19" s="64"/>
      <c r="HMN19" s="64"/>
      <c r="HMO19" s="64"/>
      <c r="HMP19" s="64"/>
      <c r="HMQ19" s="64"/>
      <c r="HMR19" s="64"/>
      <c r="HMS19" s="64"/>
      <c r="HMT19" s="64"/>
      <c r="HMU19" s="64"/>
      <c r="HMV19" s="64"/>
      <c r="HMW19" s="64"/>
      <c r="HMX19" s="64"/>
      <c r="HMY19" s="64"/>
      <c r="HMZ19" s="64"/>
      <c r="HNA19" s="64"/>
      <c r="HNB19" s="64"/>
      <c r="HNC19" s="64"/>
      <c r="HND19" s="64"/>
      <c r="HNE19" s="64"/>
      <c r="HNF19" s="64"/>
      <c r="HNG19" s="64"/>
      <c r="HNH19" s="64"/>
      <c r="HNI19" s="64"/>
      <c r="HNJ19" s="64"/>
      <c r="HNK19" s="64"/>
      <c r="HNL19" s="64"/>
      <c r="HNM19" s="64"/>
      <c r="HNN19" s="64"/>
      <c r="HNO19" s="64"/>
      <c r="HNP19" s="64"/>
      <c r="HNQ19" s="64"/>
      <c r="HNR19" s="64"/>
      <c r="HNS19" s="64"/>
      <c r="HNT19" s="64"/>
      <c r="HNU19" s="64"/>
      <c r="HNV19" s="64"/>
      <c r="HNW19" s="64"/>
      <c r="HNX19" s="64"/>
      <c r="HNY19" s="64"/>
      <c r="HNZ19" s="64"/>
      <c r="HOA19" s="64"/>
      <c r="HOB19" s="64"/>
      <c r="HOC19" s="64"/>
      <c r="HOD19" s="64"/>
      <c r="HOE19" s="64"/>
      <c r="HOF19" s="64"/>
      <c r="HOG19" s="64"/>
      <c r="HOH19" s="64"/>
      <c r="HOI19" s="64"/>
      <c r="HOJ19" s="64"/>
      <c r="HOK19" s="64"/>
      <c r="HOL19" s="64"/>
      <c r="HOM19" s="64"/>
      <c r="HON19" s="64"/>
      <c r="HOO19" s="64"/>
      <c r="HOP19" s="64"/>
      <c r="HOQ19" s="64"/>
      <c r="HOR19" s="64"/>
      <c r="HOS19" s="64"/>
      <c r="HOT19" s="64"/>
      <c r="HOU19" s="64"/>
      <c r="HOV19" s="64"/>
      <c r="HOW19" s="64"/>
      <c r="HOX19" s="64"/>
      <c r="HOY19" s="64"/>
      <c r="HOZ19" s="64"/>
      <c r="HPA19" s="64"/>
      <c r="HPB19" s="64"/>
      <c r="HPC19" s="64"/>
      <c r="HPD19" s="64"/>
      <c r="HPE19" s="64"/>
      <c r="HPF19" s="64"/>
      <c r="HPG19" s="64"/>
      <c r="HPH19" s="64"/>
      <c r="HPI19" s="64"/>
      <c r="HPJ19" s="64"/>
      <c r="HPK19" s="64"/>
      <c r="HPL19" s="64"/>
      <c r="HPM19" s="64"/>
      <c r="HPN19" s="64"/>
      <c r="HPO19" s="64"/>
      <c r="HPP19" s="64"/>
      <c r="HPQ19" s="64"/>
      <c r="HPR19" s="64"/>
      <c r="HPS19" s="64"/>
      <c r="HPT19" s="64"/>
      <c r="HPU19" s="64"/>
      <c r="HPV19" s="64"/>
      <c r="HPW19" s="64"/>
      <c r="HPX19" s="64"/>
      <c r="HPY19" s="64"/>
      <c r="HPZ19" s="64"/>
      <c r="HQA19" s="64"/>
      <c r="HQB19" s="64"/>
      <c r="HQC19" s="64"/>
      <c r="HQD19" s="64"/>
      <c r="HQE19" s="64"/>
      <c r="HQF19" s="64"/>
      <c r="HQG19" s="64"/>
      <c r="HQH19" s="64"/>
      <c r="HQI19" s="64"/>
      <c r="HQJ19" s="64"/>
      <c r="HQK19" s="64"/>
      <c r="HQL19" s="64"/>
      <c r="HQM19" s="64"/>
      <c r="HQN19" s="64"/>
      <c r="HQO19" s="64"/>
      <c r="HQP19" s="64"/>
      <c r="HQQ19" s="64"/>
      <c r="HQR19" s="64"/>
      <c r="HQS19" s="64"/>
      <c r="HQT19" s="64"/>
      <c r="HQU19" s="64"/>
      <c r="HQV19" s="64"/>
      <c r="HQW19" s="64"/>
      <c r="HQX19" s="64"/>
      <c r="HQY19" s="64"/>
      <c r="HQZ19" s="64"/>
      <c r="HRA19" s="64"/>
      <c r="HRB19" s="64"/>
      <c r="HRC19" s="64"/>
      <c r="HRD19" s="64"/>
      <c r="HRE19" s="64"/>
      <c r="HRF19" s="64"/>
      <c r="HRG19" s="64"/>
      <c r="HRH19" s="64"/>
      <c r="HRI19" s="64"/>
      <c r="HRJ19" s="64"/>
      <c r="HRK19" s="64"/>
      <c r="HRL19" s="64"/>
      <c r="HRM19" s="64"/>
      <c r="HRN19" s="64"/>
      <c r="HRO19" s="64"/>
      <c r="HRP19" s="64"/>
      <c r="HRQ19" s="64"/>
      <c r="HRR19" s="64"/>
      <c r="HRS19" s="64"/>
      <c r="HRT19" s="64"/>
      <c r="HRU19" s="64"/>
      <c r="HRV19" s="64"/>
      <c r="HRW19" s="64"/>
      <c r="HRX19" s="64"/>
      <c r="HRY19" s="64"/>
      <c r="HRZ19" s="64"/>
      <c r="HSA19" s="64"/>
      <c r="HSB19" s="64"/>
      <c r="HSC19" s="64"/>
      <c r="HSD19" s="64"/>
      <c r="HSE19" s="64"/>
      <c r="HSF19" s="64"/>
      <c r="HSG19" s="64"/>
      <c r="HSH19" s="64"/>
      <c r="HSI19" s="64"/>
      <c r="HSJ19" s="64"/>
      <c r="HSK19" s="64"/>
      <c r="HSL19" s="64"/>
      <c r="HSM19" s="64"/>
      <c r="HSN19" s="64"/>
      <c r="HSO19" s="64"/>
      <c r="HSP19" s="64"/>
      <c r="HSQ19" s="64"/>
      <c r="HSR19" s="64"/>
      <c r="HSS19" s="64"/>
      <c r="HST19" s="64"/>
      <c r="HSU19" s="64"/>
      <c r="HSV19" s="64"/>
      <c r="HSW19" s="64"/>
      <c r="HSX19" s="64"/>
      <c r="HSY19" s="64"/>
      <c r="HSZ19" s="64"/>
      <c r="HTA19" s="64"/>
      <c r="HTB19" s="64"/>
      <c r="HTC19" s="64"/>
      <c r="HTD19" s="64"/>
      <c r="HTE19" s="64"/>
      <c r="HTF19" s="64"/>
      <c r="HTG19" s="64"/>
      <c r="HTH19" s="64"/>
      <c r="HTI19" s="64"/>
      <c r="HTJ19" s="64"/>
      <c r="HTK19" s="64"/>
      <c r="HTL19" s="64"/>
      <c r="HTM19" s="64"/>
      <c r="HTN19" s="64"/>
      <c r="HTO19" s="64"/>
      <c r="HTP19" s="64"/>
      <c r="HTQ19" s="64"/>
      <c r="HTR19" s="64"/>
      <c r="HTS19" s="64"/>
      <c r="HTT19" s="64"/>
      <c r="HTU19" s="64"/>
      <c r="HTV19" s="64"/>
      <c r="HTW19" s="64"/>
      <c r="HTX19" s="64"/>
      <c r="HTY19" s="64"/>
      <c r="HTZ19" s="64"/>
      <c r="HUA19" s="64"/>
      <c r="HUB19" s="64"/>
      <c r="HUC19" s="64"/>
      <c r="HUD19" s="64"/>
      <c r="HUE19" s="64"/>
      <c r="HUF19" s="64"/>
      <c r="HUG19" s="64"/>
      <c r="HUH19" s="64"/>
      <c r="HUI19" s="64"/>
      <c r="HUJ19" s="64"/>
      <c r="HUK19" s="64"/>
      <c r="HUL19" s="64"/>
      <c r="HUM19" s="64"/>
      <c r="HUN19" s="64"/>
      <c r="HUO19" s="64"/>
      <c r="HUP19" s="64"/>
      <c r="HUQ19" s="64"/>
      <c r="HUR19" s="64"/>
      <c r="HUS19" s="64"/>
      <c r="HUT19" s="64"/>
      <c r="HUU19" s="64"/>
      <c r="HUV19" s="64"/>
      <c r="HUW19" s="64"/>
      <c r="HUX19" s="64"/>
      <c r="HUY19" s="64"/>
      <c r="HUZ19" s="64"/>
      <c r="HVA19" s="64"/>
      <c r="HVB19" s="64"/>
      <c r="HVC19" s="64"/>
      <c r="HVD19" s="64"/>
      <c r="HVE19" s="64"/>
      <c r="HVF19" s="64"/>
      <c r="HVG19" s="64"/>
      <c r="HVH19" s="64"/>
      <c r="HVI19" s="64"/>
      <c r="HVJ19" s="64"/>
      <c r="HVK19" s="64"/>
      <c r="HVL19" s="64"/>
      <c r="HVM19" s="64"/>
      <c r="HVN19" s="64"/>
      <c r="HVO19" s="64"/>
      <c r="HVP19" s="64"/>
      <c r="HVQ19" s="64"/>
      <c r="HVR19" s="64"/>
      <c r="HVS19" s="64"/>
      <c r="HVT19" s="64"/>
      <c r="HVU19" s="64"/>
      <c r="HVV19" s="64"/>
      <c r="HVW19" s="64"/>
      <c r="HVX19" s="64"/>
      <c r="HVY19" s="64"/>
      <c r="HVZ19" s="64"/>
      <c r="HWA19" s="64"/>
      <c r="HWB19" s="64"/>
      <c r="HWC19" s="64"/>
      <c r="HWD19" s="64"/>
      <c r="HWE19" s="64"/>
      <c r="HWF19" s="64"/>
      <c r="HWG19" s="64"/>
      <c r="HWH19" s="64"/>
      <c r="HWI19" s="64"/>
      <c r="HWJ19" s="64"/>
      <c r="HWK19" s="64"/>
      <c r="HWL19" s="64"/>
      <c r="HWM19" s="64"/>
      <c r="HWN19" s="64"/>
      <c r="HWO19" s="64"/>
      <c r="HWP19" s="64"/>
      <c r="HWQ19" s="64"/>
      <c r="HWR19" s="64"/>
      <c r="HWS19" s="64"/>
      <c r="HWT19" s="64"/>
      <c r="HWU19" s="64"/>
      <c r="HWV19" s="64"/>
      <c r="HWW19" s="64"/>
      <c r="HWX19" s="64"/>
      <c r="HWY19" s="64"/>
      <c r="HWZ19" s="64"/>
      <c r="HXA19" s="64"/>
      <c r="HXB19" s="64"/>
      <c r="HXC19" s="64"/>
      <c r="HXD19" s="64"/>
      <c r="HXE19" s="64"/>
      <c r="HXF19" s="64"/>
      <c r="HXG19" s="64"/>
      <c r="HXH19" s="64"/>
      <c r="HXI19" s="64"/>
      <c r="HXJ19" s="64"/>
      <c r="HXK19" s="64"/>
      <c r="HXL19" s="64"/>
      <c r="HXM19" s="64"/>
      <c r="HXN19" s="64"/>
      <c r="HXO19" s="64"/>
      <c r="HXP19" s="64"/>
      <c r="HXQ19" s="64"/>
      <c r="HXR19" s="64"/>
      <c r="HXS19" s="64"/>
      <c r="HXT19" s="64"/>
      <c r="HXU19" s="64"/>
      <c r="HXV19" s="64"/>
      <c r="HXW19" s="64"/>
      <c r="HXX19" s="64"/>
      <c r="HXY19" s="64"/>
      <c r="HXZ19" s="64"/>
      <c r="HYA19" s="64"/>
      <c r="HYB19" s="64"/>
      <c r="HYC19" s="64"/>
      <c r="HYD19" s="64"/>
      <c r="HYE19" s="64"/>
      <c r="HYF19" s="64"/>
      <c r="HYG19" s="64"/>
      <c r="HYH19" s="64"/>
      <c r="HYI19" s="64"/>
      <c r="HYJ19" s="64"/>
      <c r="HYK19" s="64"/>
      <c r="HYL19" s="64"/>
      <c r="HYM19" s="64"/>
      <c r="HYN19" s="64"/>
      <c r="HYO19" s="64"/>
      <c r="HYP19" s="64"/>
      <c r="HYQ19" s="64"/>
      <c r="HYR19" s="64"/>
      <c r="HYS19" s="64"/>
      <c r="HYT19" s="64"/>
      <c r="HYU19" s="64"/>
      <c r="HYV19" s="64"/>
      <c r="HYW19" s="64"/>
      <c r="HYX19" s="64"/>
      <c r="HYY19" s="64"/>
      <c r="HYZ19" s="64"/>
      <c r="HZA19" s="64"/>
      <c r="HZB19" s="64"/>
      <c r="HZC19" s="64"/>
      <c r="HZD19" s="64"/>
      <c r="HZE19" s="64"/>
      <c r="HZF19" s="64"/>
      <c r="HZG19" s="64"/>
      <c r="HZH19" s="64"/>
      <c r="HZI19" s="64"/>
      <c r="HZJ19" s="64"/>
      <c r="HZK19" s="64"/>
      <c r="HZL19" s="64"/>
      <c r="HZM19" s="64"/>
      <c r="HZN19" s="64"/>
      <c r="HZO19" s="64"/>
      <c r="HZP19" s="64"/>
      <c r="HZQ19" s="64"/>
      <c r="HZR19" s="64"/>
      <c r="HZS19" s="64"/>
      <c r="HZT19" s="64"/>
      <c r="HZU19" s="64"/>
      <c r="HZV19" s="64"/>
      <c r="HZW19" s="64"/>
      <c r="HZX19" s="64"/>
      <c r="HZY19" s="64"/>
      <c r="HZZ19" s="64"/>
      <c r="IAA19" s="64"/>
      <c r="IAB19" s="64"/>
      <c r="IAC19" s="64"/>
      <c r="IAD19" s="64"/>
      <c r="IAE19" s="64"/>
      <c r="IAF19" s="64"/>
      <c r="IAG19" s="64"/>
      <c r="IAH19" s="64"/>
      <c r="IAI19" s="64"/>
      <c r="IAJ19" s="64"/>
      <c r="IAK19" s="64"/>
      <c r="IAL19" s="64"/>
      <c r="IAM19" s="64"/>
      <c r="IAN19" s="64"/>
      <c r="IAO19" s="64"/>
      <c r="IAP19" s="64"/>
      <c r="IAQ19" s="64"/>
      <c r="IAR19" s="64"/>
      <c r="IAS19" s="64"/>
      <c r="IAT19" s="64"/>
      <c r="IAU19" s="64"/>
      <c r="IAV19" s="64"/>
      <c r="IAW19" s="64"/>
      <c r="IAX19" s="64"/>
      <c r="IAY19" s="64"/>
      <c r="IAZ19" s="64"/>
      <c r="IBA19" s="64"/>
      <c r="IBB19" s="64"/>
      <c r="IBC19" s="64"/>
      <c r="IBD19" s="64"/>
      <c r="IBE19" s="64"/>
      <c r="IBF19" s="64"/>
      <c r="IBG19" s="64"/>
      <c r="IBH19" s="64"/>
      <c r="IBI19" s="64"/>
      <c r="IBJ19" s="64"/>
      <c r="IBK19" s="64"/>
      <c r="IBL19" s="64"/>
      <c r="IBM19" s="64"/>
      <c r="IBN19" s="64"/>
      <c r="IBO19" s="64"/>
      <c r="IBP19" s="64"/>
      <c r="IBQ19" s="64"/>
      <c r="IBR19" s="64"/>
      <c r="IBS19" s="64"/>
      <c r="IBT19" s="64"/>
      <c r="IBU19" s="64"/>
      <c r="IBV19" s="64"/>
      <c r="IBW19" s="64"/>
      <c r="IBX19" s="64"/>
      <c r="IBY19" s="64"/>
      <c r="IBZ19" s="64"/>
      <c r="ICA19" s="64"/>
      <c r="ICB19" s="64"/>
      <c r="ICC19" s="64"/>
      <c r="ICD19" s="64"/>
      <c r="ICE19" s="64"/>
      <c r="ICF19" s="64"/>
      <c r="ICG19" s="64"/>
      <c r="ICH19" s="64"/>
      <c r="ICI19" s="64"/>
      <c r="ICJ19" s="64"/>
      <c r="ICK19" s="64"/>
      <c r="ICL19" s="64"/>
      <c r="ICM19" s="64"/>
      <c r="ICN19" s="64"/>
      <c r="ICO19" s="64"/>
      <c r="ICP19" s="64"/>
      <c r="ICQ19" s="64"/>
      <c r="ICR19" s="64"/>
      <c r="ICS19" s="64"/>
      <c r="ICT19" s="64"/>
      <c r="ICU19" s="64"/>
      <c r="ICV19" s="64"/>
      <c r="ICW19" s="64"/>
      <c r="ICX19" s="64"/>
      <c r="ICY19" s="64"/>
      <c r="ICZ19" s="64"/>
      <c r="IDA19" s="64"/>
      <c r="IDB19" s="64"/>
      <c r="IDC19" s="64"/>
      <c r="IDD19" s="64"/>
      <c r="IDE19" s="64"/>
      <c r="IDF19" s="64"/>
      <c r="IDG19" s="64"/>
      <c r="IDH19" s="64"/>
      <c r="IDI19" s="64"/>
      <c r="IDJ19" s="64"/>
      <c r="IDK19" s="64"/>
      <c r="IDL19" s="64"/>
      <c r="IDM19" s="64"/>
      <c r="IDN19" s="64"/>
      <c r="IDO19" s="64"/>
      <c r="IDP19" s="64"/>
      <c r="IDQ19" s="64"/>
      <c r="IDR19" s="64"/>
      <c r="IDS19" s="64"/>
      <c r="IDT19" s="64"/>
      <c r="IDU19" s="64"/>
      <c r="IDV19" s="64"/>
      <c r="IDW19" s="64"/>
      <c r="IDX19" s="64"/>
      <c r="IDY19" s="64"/>
      <c r="IDZ19" s="64"/>
      <c r="IEA19" s="64"/>
      <c r="IEB19" s="64"/>
      <c r="IEC19" s="64"/>
      <c r="IED19" s="64"/>
      <c r="IEE19" s="64"/>
      <c r="IEF19" s="64"/>
      <c r="IEG19" s="64"/>
      <c r="IEH19" s="64"/>
      <c r="IEI19" s="64"/>
      <c r="IEJ19" s="64"/>
      <c r="IEK19" s="64"/>
      <c r="IEL19" s="64"/>
      <c r="IEM19" s="64"/>
      <c r="IEN19" s="64"/>
      <c r="IEO19" s="64"/>
      <c r="IEP19" s="64"/>
      <c r="IEQ19" s="64"/>
      <c r="IER19" s="64"/>
      <c r="IES19" s="64"/>
      <c r="IET19" s="64"/>
      <c r="IEU19" s="64"/>
      <c r="IEV19" s="64"/>
      <c r="IEW19" s="64"/>
      <c r="IEX19" s="64"/>
      <c r="IEY19" s="64"/>
      <c r="IEZ19" s="64"/>
      <c r="IFA19" s="64"/>
      <c r="IFB19" s="64"/>
      <c r="IFC19" s="64"/>
      <c r="IFD19" s="64"/>
      <c r="IFE19" s="64"/>
      <c r="IFF19" s="64"/>
      <c r="IFG19" s="64"/>
      <c r="IFH19" s="64"/>
      <c r="IFI19" s="64"/>
      <c r="IFJ19" s="64"/>
      <c r="IFK19" s="64"/>
      <c r="IFL19" s="64"/>
      <c r="IFM19" s="64"/>
      <c r="IFN19" s="64"/>
      <c r="IFO19" s="64"/>
      <c r="IFP19" s="64"/>
      <c r="IFQ19" s="64"/>
      <c r="IFR19" s="64"/>
      <c r="IFS19" s="64"/>
      <c r="IFT19" s="64"/>
      <c r="IFU19" s="64"/>
      <c r="IFV19" s="64"/>
      <c r="IFW19" s="64"/>
      <c r="IFX19" s="64"/>
      <c r="IFY19" s="64"/>
      <c r="IFZ19" s="64"/>
      <c r="IGA19" s="64"/>
      <c r="IGB19" s="64"/>
      <c r="IGC19" s="64"/>
      <c r="IGD19" s="64"/>
      <c r="IGE19" s="64"/>
      <c r="IGF19" s="64"/>
      <c r="IGG19" s="64"/>
      <c r="IGH19" s="64"/>
      <c r="IGI19" s="64"/>
      <c r="IGJ19" s="64"/>
      <c r="IGK19" s="64"/>
      <c r="IGL19" s="64"/>
      <c r="IGM19" s="64"/>
      <c r="IGN19" s="64"/>
      <c r="IGO19" s="64"/>
      <c r="IGP19" s="64"/>
      <c r="IGQ19" s="64"/>
      <c r="IGR19" s="64"/>
      <c r="IGS19" s="64"/>
      <c r="IGT19" s="64"/>
      <c r="IGU19" s="64"/>
      <c r="IGV19" s="64"/>
      <c r="IGW19" s="64"/>
      <c r="IGX19" s="64"/>
      <c r="IGY19" s="64"/>
      <c r="IGZ19" s="64"/>
      <c r="IHA19" s="64"/>
      <c r="IHB19" s="64"/>
      <c r="IHC19" s="64"/>
      <c r="IHD19" s="64"/>
      <c r="IHE19" s="64"/>
      <c r="IHF19" s="64"/>
      <c r="IHG19" s="64"/>
      <c r="IHH19" s="64"/>
      <c r="IHI19" s="64"/>
      <c r="IHJ19" s="64"/>
      <c r="IHK19" s="64"/>
      <c r="IHL19" s="64"/>
      <c r="IHM19" s="64"/>
      <c r="IHN19" s="64"/>
      <c r="IHO19" s="64"/>
      <c r="IHP19" s="64"/>
      <c r="IHQ19" s="64"/>
      <c r="IHR19" s="64"/>
      <c r="IHS19" s="64"/>
      <c r="IHT19" s="64"/>
      <c r="IHU19" s="64"/>
      <c r="IHV19" s="64"/>
      <c r="IHW19" s="64"/>
      <c r="IHX19" s="64"/>
      <c r="IHY19" s="64"/>
      <c r="IHZ19" s="64"/>
      <c r="IIA19" s="64"/>
      <c r="IIB19" s="64"/>
      <c r="IIC19" s="64"/>
      <c r="IID19" s="64"/>
      <c r="IIE19" s="64"/>
      <c r="IIF19" s="64"/>
      <c r="IIG19" s="64"/>
      <c r="IIH19" s="64"/>
      <c r="III19" s="64"/>
      <c r="IIJ19" s="64"/>
      <c r="IIK19" s="64"/>
      <c r="IIL19" s="64"/>
      <c r="IIM19" s="64"/>
      <c r="IIN19" s="64"/>
      <c r="IIO19" s="64"/>
      <c r="IIP19" s="64"/>
      <c r="IIQ19" s="64"/>
      <c r="IIR19" s="64"/>
      <c r="IIS19" s="64"/>
      <c r="IIT19" s="64"/>
      <c r="IIU19" s="64"/>
      <c r="IIV19" s="64"/>
      <c r="IIW19" s="64"/>
      <c r="IIX19" s="64"/>
      <c r="IIY19" s="64"/>
      <c r="IIZ19" s="64"/>
      <c r="IJA19" s="64"/>
      <c r="IJB19" s="64"/>
      <c r="IJC19" s="64"/>
      <c r="IJD19" s="64"/>
      <c r="IJE19" s="64"/>
      <c r="IJF19" s="64"/>
      <c r="IJG19" s="64"/>
      <c r="IJH19" s="64"/>
      <c r="IJI19" s="64"/>
      <c r="IJJ19" s="64"/>
      <c r="IJK19" s="64"/>
      <c r="IJL19" s="64"/>
      <c r="IJM19" s="64"/>
      <c r="IJN19" s="64"/>
      <c r="IJO19" s="64"/>
      <c r="IJP19" s="64"/>
      <c r="IJQ19" s="64"/>
      <c r="IJR19" s="64"/>
      <c r="IJS19" s="64"/>
      <c r="IJT19" s="64"/>
      <c r="IJU19" s="64"/>
      <c r="IJV19" s="64"/>
      <c r="IJW19" s="64"/>
      <c r="IJX19" s="64"/>
      <c r="IJY19" s="64"/>
      <c r="IJZ19" s="64"/>
      <c r="IKA19" s="64"/>
      <c r="IKB19" s="64"/>
      <c r="IKC19" s="64"/>
      <c r="IKD19" s="64"/>
      <c r="IKE19" s="64"/>
      <c r="IKF19" s="64"/>
      <c r="IKG19" s="64"/>
      <c r="IKH19" s="64"/>
      <c r="IKI19" s="64"/>
      <c r="IKJ19" s="64"/>
      <c r="IKK19" s="64"/>
      <c r="IKL19" s="64"/>
      <c r="IKM19" s="64"/>
      <c r="IKN19" s="64"/>
      <c r="IKO19" s="64"/>
      <c r="IKP19" s="64"/>
      <c r="IKQ19" s="64"/>
      <c r="IKR19" s="64"/>
      <c r="IKS19" s="64"/>
      <c r="IKT19" s="64"/>
      <c r="IKU19" s="64"/>
      <c r="IKV19" s="64"/>
      <c r="IKW19" s="64"/>
      <c r="IKX19" s="64"/>
      <c r="IKY19" s="64"/>
      <c r="IKZ19" s="64"/>
      <c r="ILA19" s="64"/>
      <c r="ILB19" s="64"/>
      <c r="ILC19" s="64"/>
      <c r="ILD19" s="64"/>
      <c r="ILE19" s="64"/>
      <c r="ILF19" s="64"/>
      <c r="ILG19" s="64"/>
      <c r="ILH19" s="64"/>
      <c r="ILI19" s="64"/>
      <c r="ILJ19" s="64"/>
      <c r="ILK19" s="64"/>
      <c r="ILL19" s="64"/>
      <c r="ILM19" s="64"/>
      <c r="ILN19" s="64"/>
      <c r="ILO19" s="64"/>
      <c r="ILP19" s="64"/>
      <c r="ILQ19" s="64"/>
      <c r="ILR19" s="64"/>
      <c r="ILS19" s="64"/>
      <c r="ILT19" s="64"/>
      <c r="ILU19" s="64"/>
      <c r="ILV19" s="64"/>
      <c r="ILW19" s="64"/>
      <c r="ILX19" s="64"/>
      <c r="ILY19" s="64"/>
      <c r="ILZ19" s="64"/>
      <c r="IMA19" s="64"/>
      <c r="IMB19" s="64"/>
      <c r="IMC19" s="64"/>
      <c r="IMD19" s="64"/>
      <c r="IME19" s="64"/>
      <c r="IMF19" s="64"/>
      <c r="IMG19" s="64"/>
      <c r="IMH19" s="64"/>
      <c r="IMI19" s="64"/>
      <c r="IMJ19" s="64"/>
      <c r="IMK19" s="64"/>
      <c r="IML19" s="64"/>
      <c r="IMM19" s="64"/>
      <c r="IMN19" s="64"/>
      <c r="IMO19" s="64"/>
      <c r="IMP19" s="64"/>
      <c r="IMQ19" s="64"/>
      <c r="IMR19" s="64"/>
      <c r="IMS19" s="64"/>
      <c r="IMT19" s="64"/>
      <c r="IMU19" s="64"/>
      <c r="IMV19" s="64"/>
      <c r="IMW19" s="64"/>
      <c r="IMX19" s="64"/>
      <c r="IMY19" s="64"/>
      <c r="IMZ19" s="64"/>
      <c r="INA19" s="64"/>
      <c r="INB19" s="64"/>
      <c r="INC19" s="64"/>
      <c r="IND19" s="64"/>
      <c r="INE19" s="64"/>
      <c r="INF19" s="64"/>
      <c r="ING19" s="64"/>
      <c r="INH19" s="64"/>
      <c r="INI19" s="64"/>
      <c r="INJ19" s="64"/>
      <c r="INK19" s="64"/>
      <c r="INL19" s="64"/>
      <c r="INM19" s="64"/>
      <c r="INN19" s="64"/>
      <c r="INO19" s="64"/>
      <c r="INP19" s="64"/>
      <c r="INQ19" s="64"/>
      <c r="INR19" s="64"/>
      <c r="INS19" s="64"/>
      <c r="INT19" s="64"/>
      <c r="INU19" s="64"/>
      <c r="INV19" s="64"/>
      <c r="INW19" s="64"/>
      <c r="INX19" s="64"/>
      <c r="INY19" s="64"/>
      <c r="INZ19" s="64"/>
      <c r="IOA19" s="64"/>
      <c r="IOB19" s="64"/>
      <c r="IOC19" s="64"/>
      <c r="IOD19" s="64"/>
      <c r="IOE19" s="64"/>
      <c r="IOF19" s="64"/>
      <c r="IOG19" s="64"/>
      <c r="IOH19" s="64"/>
      <c r="IOI19" s="64"/>
      <c r="IOJ19" s="64"/>
      <c r="IOK19" s="64"/>
      <c r="IOL19" s="64"/>
      <c r="IOM19" s="64"/>
      <c r="ION19" s="64"/>
      <c r="IOO19" s="64"/>
      <c r="IOP19" s="64"/>
      <c r="IOQ19" s="64"/>
      <c r="IOR19" s="64"/>
      <c r="IOS19" s="64"/>
      <c r="IOT19" s="64"/>
      <c r="IOU19" s="64"/>
      <c r="IOV19" s="64"/>
      <c r="IOW19" s="64"/>
      <c r="IOX19" s="64"/>
      <c r="IOY19" s="64"/>
      <c r="IOZ19" s="64"/>
      <c r="IPA19" s="64"/>
      <c r="IPB19" s="64"/>
      <c r="IPC19" s="64"/>
      <c r="IPD19" s="64"/>
      <c r="IPE19" s="64"/>
      <c r="IPF19" s="64"/>
      <c r="IPG19" s="64"/>
      <c r="IPH19" s="64"/>
      <c r="IPI19" s="64"/>
      <c r="IPJ19" s="64"/>
      <c r="IPK19" s="64"/>
      <c r="IPL19" s="64"/>
      <c r="IPM19" s="64"/>
      <c r="IPN19" s="64"/>
      <c r="IPO19" s="64"/>
      <c r="IPP19" s="64"/>
      <c r="IPQ19" s="64"/>
      <c r="IPR19" s="64"/>
      <c r="IPS19" s="64"/>
      <c r="IPT19" s="64"/>
      <c r="IPU19" s="64"/>
      <c r="IPV19" s="64"/>
      <c r="IPW19" s="64"/>
      <c r="IPX19" s="64"/>
      <c r="IPY19" s="64"/>
      <c r="IPZ19" s="64"/>
      <c r="IQA19" s="64"/>
      <c r="IQB19" s="64"/>
      <c r="IQC19" s="64"/>
      <c r="IQD19" s="64"/>
      <c r="IQE19" s="64"/>
      <c r="IQF19" s="64"/>
      <c r="IQG19" s="64"/>
      <c r="IQH19" s="64"/>
      <c r="IQI19" s="64"/>
      <c r="IQJ19" s="64"/>
      <c r="IQK19" s="64"/>
      <c r="IQL19" s="64"/>
      <c r="IQM19" s="64"/>
      <c r="IQN19" s="64"/>
      <c r="IQO19" s="64"/>
      <c r="IQP19" s="64"/>
      <c r="IQQ19" s="64"/>
      <c r="IQR19" s="64"/>
      <c r="IQS19" s="64"/>
      <c r="IQT19" s="64"/>
      <c r="IQU19" s="64"/>
      <c r="IQV19" s="64"/>
      <c r="IQW19" s="64"/>
      <c r="IQX19" s="64"/>
      <c r="IQY19" s="64"/>
      <c r="IQZ19" s="64"/>
      <c r="IRA19" s="64"/>
      <c r="IRB19" s="64"/>
      <c r="IRC19" s="64"/>
      <c r="IRD19" s="64"/>
      <c r="IRE19" s="64"/>
      <c r="IRF19" s="64"/>
      <c r="IRG19" s="64"/>
      <c r="IRH19" s="64"/>
      <c r="IRI19" s="64"/>
      <c r="IRJ19" s="64"/>
      <c r="IRK19" s="64"/>
      <c r="IRL19" s="64"/>
      <c r="IRM19" s="64"/>
      <c r="IRN19" s="64"/>
      <c r="IRO19" s="64"/>
      <c r="IRP19" s="64"/>
      <c r="IRQ19" s="64"/>
      <c r="IRR19" s="64"/>
      <c r="IRS19" s="64"/>
      <c r="IRT19" s="64"/>
      <c r="IRU19" s="64"/>
      <c r="IRV19" s="64"/>
      <c r="IRW19" s="64"/>
      <c r="IRX19" s="64"/>
      <c r="IRY19" s="64"/>
      <c r="IRZ19" s="64"/>
      <c r="ISA19" s="64"/>
      <c r="ISB19" s="64"/>
      <c r="ISC19" s="64"/>
      <c r="ISD19" s="64"/>
      <c r="ISE19" s="64"/>
      <c r="ISF19" s="64"/>
      <c r="ISG19" s="64"/>
      <c r="ISH19" s="64"/>
      <c r="ISI19" s="64"/>
      <c r="ISJ19" s="64"/>
      <c r="ISK19" s="64"/>
      <c r="ISL19" s="64"/>
      <c r="ISM19" s="64"/>
      <c r="ISN19" s="64"/>
      <c r="ISO19" s="64"/>
      <c r="ISP19" s="64"/>
      <c r="ISQ19" s="64"/>
      <c r="ISR19" s="64"/>
      <c r="ISS19" s="64"/>
      <c r="IST19" s="64"/>
      <c r="ISU19" s="64"/>
      <c r="ISV19" s="64"/>
      <c r="ISW19" s="64"/>
      <c r="ISX19" s="64"/>
      <c r="ISY19" s="64"/>
      <c r="ISZ19" s="64"/>
      <c r="ITA19" s="64"/>
      <c r="ITB19" s="64"/>
      <c r="ITC19" s="64"/>
      <c r="ITD19" s="64"/>
      <c r="ITE19" s="64"/>
      <c r="ITF19" s="64"/>
      <c r="ITG19" s="64"/>
      <c r="ITH19" s="64"/>
      <c r="ITI19" s="64"/>
      <c r="ITJ19" s="64"/>
      <c r="ITK19" s="64"/>
      <c r="ITL19" s="64"/>
      <c r="ITM19" s="64"/>
      <c r="ITN19" s="64"/>
      <c r="ITO19" s="64"/>
      <c r="ITP19" s="64"/>
      <c r="ITQ19" s="64"/>
      <c r="ITR19" s="64"/>
      <c r="ITS19" s="64"/>
      <c r="ITT19" s="64"/>
      <c r="ITU19" s="64"/>
      <c r="ITV19" s="64"/>
      <c r="ITW19" s="64"/>
      <c r="ITX19" s="64"/>
      <c r="ITY19" s="64"/>
      <c r="ITZ19" s="64"/>
      <c r="IUA19" s="64"/>
      <c r="IUB19" s="64"/>
      <c r="IUC19" s="64"/>
      <c r="IUD19" s="64"/>
      <c r="IUE19" s="64"/>
      <c r="IUF19" s="64"/>
      <c r="IUG19" s="64"/>
      <c r="IUH19" s="64"/>
      <c r="IUI19" s="64"/>
      <c r="IUJ19" s="64"/>
      <c r="IUK19" s="64"/>
      <c r="IUL19" s="64"/>
      <c r="IUM19" s="64"/>
      <c r="IUN19" s="64"/>
      <c r="IUO19" s="64"/>
      <c r="IUP19" s="64"/>
      <c r="IUQ19" s="64"/>
      <c r="IUR19" s="64"/>
      <c r="IUS19" s="64"/>
      <c r="IUT19" s="64"/>
      <c r="IUU19" s="64"/>
      <c r="IUV19" s="64"/>
      <c r="IUW19" s="64"/>
      <c r="IUX19" s="64"/>
      <c r="IUY19" s="64"/>
      <c r="IUZ19" s="64"/>
      <c r="IVA19" s="64"/>
      <c r="IVB19" s="64"/>
      <c r="IVC19" s="64"/>
      <c r="IVD19" s="64"/>
      <c r="IVE19" s="64"/>
      <c r="IVF19" s="64"/>
      <c r="IVG19" s="64"/>
      <c r="IVH19" s="64"/>
      <c r="IVI19" s="64"/>
      <c r="IVJ19" s="64"/>
      <c r="IVK19" s="64"/>
      <c r="IVL19" s="64"/>
      <c r="IVM19" s="64"/>
      <c r="IVN19" s="64"/>
      <c r="IVO19" s="64"/>
      <c r="IVP19" s="64"/>
      <c r="IVQ19" s="64"/>
      <c r="IVR19" s="64"/>
      <c r="IVS19" s="64"/>
      <c r="IVT19" s="64"/>
      <c r="IVU19" s="64"/>
      <c r="IVV19" s="64"/>
      <c r="IVW19" s="64"/>
      <c r="IVX19" s="64"/>
      <c r="IVY19" s="64"/>
      <c r="IVZ19" s="64"/>
      <c r="IWA19" s="64"/>
      <c r="IWB19" s="64"/>
      <c r="IWC19" s="64"/>
      <c r="IWD19" s="64"/>
      <c r="IWE19" s="64"/>
      <c r="IWF19" s="64"/>
      <c r="IWG19" s="64"/>
      <c r="IWH19" s="64"/>
      <c r="IWI19" s="64"/>
      <c r="IWJ19" s="64"/>
      <c r="IWK19" s="64"/>
      <c r="IWL19" s="64"/>
      <c r="IWM19" s="64"/>
      <c r="IWN19" s="64"/>
      <c r="IWO19" s="64"/>
      <c r="IWP19" s="64"/>
      <c r="IWQ19" s="64"/>
      <c r="IWR19" s="64"/>
      <c r="IWS19" s="64"/>
      <c r="IWT19" s="64"/>
      <c r="IWU19" s="64"/>
      <c r="IWV19" s="64"/>
      <c r="IWW19" s="64"/>
      <c r="IWX19" s="64"/>
      <c r="IWY19" s="64"/>
      <c r="IWZ19" s="64"/>
      <c r="IXA19" s="64"/>
      <c r="IXB19" s="64"/>
      <c r="IXC19" s="64"/>
      <c r="IXD19" s="64"/>
      <c r="IXE19" s="64"/>
      <c r="IXF19" s="64"/>
      <c r="IXG19" s="64"/>
      <c r="IXH19" s="64"/>
      <c r="IXI19" s="64"/>
      <c r="IXJ19" s="64"/>
      <c r="IXK19" s="64"/>
      <c r="IXL19" s="64"/>
      <c r="IXM19" s="64"/>
      <c r="IXN19" s="64"/>
      <c r="IXO19" s="64"/>
      <c r="IXP19" s="64"/>
      <c r="IXQ19" s="64"/>
      <c r="IXR19" s="64"/>
      <c r="IXS19" s="64"/>
      <c r="IXT19" s="64"/>
      <c r="IXU19" s="64"/>
      <c r="IXV19" s="64"/>
      <c r="IXW19" s="64"/>
      <c r="IXX19" s="64"/>
      <c r="IXY19" s="64"/>
      <c r="IXZ19" s="64"/>
      <c r="IYA19" s="64"/>
      <c r="IYB19" s="64"/>
      <c r="IYC19" s="64"/>
      <c r="IYD19" s="64"/>
      <c r="IYE19" s="64"/>
      <c r="IYF19" s="64"/>
      <c r="IYG19" s="64"/>
      <c r="IYH19" s="64"/>
      <c r="IYI19" s="64"/>
      <c r="IYJ19" s="64"/>
      <c r="IYK19" s="64"/>
      <c r="IYL19" s="64"/>
      <c r="IYM19" s="64"/>
      <c r="IYN19" s="64"/>
      <c r="IYO19" s="64"/>
      <c r="IYP19" s="64"/>
      <c r="IYQ19" s="64"/>
      <c r="IYR19" s="64"/>
      <c r="IYS19" s="64"/>
      <c r="IYT19" s="64"/>
      <c r="IYU19" s="64"/>
      <c r="IYV19" s="64"/>
      <c r="IYW19" s="64"/>
      <c r="IYX19" s="64"/>
      <c r="IYY19" s="64"/>
      <c r="IYZ19" s="64"/>
      <c r="IZA19" s="64"/>
      <c r="IZB19" s="64"/>
      <c r="IZC19" s="64"/>
      <c r="IZD19" s="64"/>
      <c r="IZE19" s="64"/>
      <c r="IZF19" s="64"/>
      <c r="IZG19" s="64"/>
      <c r="IZH19" s="64"/>
      <c r="IZI19" s="64"/>
      <c r="IZJ19" s="64"/>
      <c r="IZK19" s="64"/>
      <c r="IZL19" s="64"/>
      <c r="IZM19" s="64"/>
      <c r="IZN19" s="64"/>
      <c r="IZO19" s="64"/>
      <c r="IZP19" s="64"/>
      <c r="IZQ19" s="64"/>
      <c r="IZR19" s="64"/>
      <c r="IZS19" s="64"/>
      <c r="IZT19" s="64"/>
      <c r="IZU19" s="64"/>
      <c r="IZV19" s="64"/>
      <c r="IZW19" s="64"/>
      <c r="IZX19" s="64"/>
      <c r="IZY19" s="64"/>
      <c r="IZZ19" s="64"/>
      <c r="JAA19" s="64"/>
      <c r="JAB19" s="64"/>
      <c r="JAC19" s="64"/>
      <c r="JAD19" s="64"/>
      <c r="JAE19" s="64"/>
      <c r="JAF19" s="64"/>
      <c r="JAG19" s="64"/>
      <c r="JAH19" s="64"/>
      <c r="JAI19" s="64"/>
      <c r="JAJ19" s="64"/>
      <c r="JAK19" s="64"/>
      <c r="JAL19" s="64"/>
      <c r="JAM19" s="64"/>
      <c r="JAN19" s="64"/>
      <c r="JAO19" s="64"/>
      <c r="JAP19" s="64"/>
      <c r="JAQ19" s="64"/>
      <c r="JAR19" s="64"/>
      <c r="JAS19" s="64"/>
      <c r="JAT19" s="64"/>
      <c r="JAU19" s="64"/>
      <c r="JAV19" s="64"/>
      <c r="JAW19" s="64"/>
      <c r="JAX19" s="64"/>
      <c r="JAY19" s="64"/>
      <c r="JAZ19" s="64"/>
      <c r="JBA19" s="64"/>
      <c r="JBB19" s="64"/>
      <c r="JBC19" s="64"/>
      <c r="JBD19" s="64"/>
      <c r="JBE19" s="64"/>
      <c r="JBF19" s="64"/>
      <c r="JBG19" s="64"/>
      <c r="JBH19" s="64"/>
      <c r="JBI19" s="64"/>
      <c r="JBJ19" s="64"/>
      <c r="JBK19" s="64"/>
      <c r="JBL19" s="64"/>
      <c r="JBM19" s="64"/>
      <c r="JBN19" s="64"/>
      <c r="JBO19" s="64"/>
      <c r="JBP19" s="64"/>
      <c r="JBQ19" s="64"/>
      <c r="JBR19" s="64"/>
      <c r="JBS19" s="64"/>
      <c r="JBT19" s="64"/>
      <c r="JBU19" s="64"/>
      <c r="JBV19" s="64"/>
      <c r="JBW19" s="64"/>
      <c r="JBX19" s="64"/>
      <c r="JBY19" s="64"/>
      <c r="JBZ19" s="64"/>
      <c r="JCA19" s="64"/>
      <c r="JCB19" s="64"/>
      <c r="JCC19" s="64"/>
      <c r="JCD19" s="64"/>
      <c r="JCE19" s="64"/>
      <c r="JCF19" s="64"/>
      <c r="JCG19" s="64"/>
      <c r="JCH19" s="64"/>
      <c r="JCI19" s="64"/>
      <c r="JCJ19" s="64"/>
      <c r="JCK19" s="64"/>
      <c r="JCL19" s="64"/>
      <c r="JCM19" s="64"/>
      <c r="JCN19" s="64"/>
      <c r="JCO19" s="64"/>
      <c r="JCP19" s="64"/>
      <c r="JCQ19" s="64"/>
      <c r="JCR19" s="64"/>
      <c r="JCS19" s="64"/>
      <c r="JCT19" s="64"/>
      <c r="JCU19" s="64"/>
      <c r="JCV19" s="64"/>
      <c r="JCW19" s="64"/>
      <c r="JCX19" s="64"/>
      <c r="JCY19" s="64"/>
      <c r="JCZ19" s="64"/>
      <c r="JDA19" s="64"/>
      <c r="JDB19" s="64"/>
      <c r="JDC19" s="64"/>
      <c r="JDD19" s="64"/>
      <c r="JDE19" s="64"/>
      <c r="JDF19" s="64"/>
      <c r="JDG19" s="64"/>
      <c r="JDH19" s="64"/>
      <c r="JDI19" s="64"/>
      <c r="JDJ19" s="64"/>
      <c r="JDK19" s="64"/>
      <c r="JDL19" s="64"/>
      <c r="JDM19" s="64"/>
      <c r="JDN19" s="64"/>
      <c r="JDO19" s="64"/>
      <c r="JDP19" s="64"/>
      <c r="JDQ19" s="64"/>
      <c r="JDR19" s="64"/>
      <c r="JDS19" s="64"/>
      <c r="JDT19" s="64"/>
      <c r="JDU19" s="64"/>
      <c r="JDV19" s="64"/>
      <c r="JDW19" s="64"/>
      <c r="JDX19" s="64"/>
      <c r="JDY19" s="64"/>
      <c r="JDZ19" s="64"/>
      <c r="JEA19" s="64"/>
      <c r="JEB19" s="64"/>
      <c r="JEC19" s="64"/>
      <c r="JED19" s="64"/>
      <c r="JEE19" s="64"/>
      <c r="JEF19" s="64"/>
      <c r="JEG19" s="64"/>
      <c r="JEH19" s="64"/>
      <c r="JEI19" s="64"/>
      <c r="JEJ19" s="64"/>
      <c r="JEK19" s="64"/>
      <c r="JEL19" s="64"/>
      <c r="JEM19" s="64"/>
      <c r="JEN19" s="64"/>
      <c r="JEO19" s="64"/>
      <c r="JEP19" s="64"/>
      <c r="JEQ19" s="64"/>
      <c r="JER19" s="64"/>
      <c r="JES19" s="64"/>
      <c r="JET19" s="64"/>
      <c r="JEU19" s="64"/>
      <c r="JEV19" s="64"/>
      <c r="JEW19" s="64"/>
      <c r="JEX19" s="64"/>
      <c r="JEY19" s="64"/>
      <c r="JEZ19" s="64"/>
      <c r="JFA19" s="64"/>
      <c r="JFB19" s="64"/>
      <c r="JFC19" s="64"/>
      <c r="JFD19" s="64"/>
      <c r="JFE19" s="64"/>
      <c r="JFF19" s="64"/>
      <c r="JFG19" s="64"/>
      <c r="JFH19" s="64"/>
      <c r="JFI19" s="64"/>
      <c r="JFJ19" s="64"/>
      <c r="JFK19" s="64"/>
      <c r="JFL19" s="64"/>
      <c r="JFM19" s="64"/>
      <c r="JFN19" s="64"/>
      <c r="JFO19" s="64"/>
      <c r="JFP19" s="64"/>
      <c r="JFQ19" s="64"/>
      <c r="JFR19" s="64"/>
      <c r="JFS19" s="64"/>
      <c r="JFT19" s="64"/>
      <c r="JFU19" s="64"/>
      <c r="JFV19" s="64"/>
      <c r="JFW19" s="64"/>
      <c r="JFX19" s="64"/>
      <c r="JFY19" s="64"/>
      <c r="JFZ19" s="64"/>
      <c r="JGA19" s="64"/>
      <c r="JGB19" s="64"/>
      <c r="JGC19" s="64"/>
      <c r="JGD19" s="64"/>
      <c r="JGE19" s="64"/>
      <c r="JGF19" s="64"/>
      <c r="JGG19" s="64"/>
      <c r="JGH19" s="64"/>
      <c r="JGI19" s="64"/>
      <c r="JGJ19" s="64"/>
      <c r="JGK19" s="64"/>
      <c r="JGL19" s="64"/>
      <c r="JGM19" s="64"/>
      <c r="JGN19" s="64"/>
      <c r="JGO19" s="64"/>
      <c r="JGP19" s="64"/>
      <c r="JGQ19" s="64"/>
      <c r="JGR19" s="64"/>
      <c r="JGS19" s="64"/>
      <c r="JGT19" s="64"/>
      <c r="JGU19" s="64"/>
      <c r="JGV19" s="64"/>
      <c r="JGW19" s="64"/>
      <c r="JGX19" s="64"/>
      <c r="JGY19" s="64"/>
      <c r="JGZ19" s="64"/>
      <c r="JHA19" s="64"/>
      <c r="JHB19" s="64"/>
      <c r="JHC19" s="64"/>
      <c r="JHD19" s="64"/>
      <c r="JHE19" s="64"/>
      <c r="JHF19" s="64"/>
      <c r="JHG19" s="64"/>
      <c r="JHH19" s="64"/>
      <c r="JHI19" s="64"/>
      <c r="JHJ19" s="64"/>
      <c r="JHK19" s="64"/>
      <c r="JHL19" s="64"/>
      <c r="JHM19" s="64"/>
      <c r="JHN19" s="64"/>
      <c r="JHO19" s="64"/>
      <c r="JHP19" s="64"/>
      <c r="JHQ19" s="64"/>
      <c r="JHR19" s="64"/>
      <c r="JHS19" s="64"/>
      <c r="JHT19" s="64"/>
      <c r="JHU19" s="64"/>
      <c r="JHV19" s="64"/>
      <c r="JHW19" s="64"/>
      <c r="JHX19" s="64"/>
      <c r="JHY19" s="64"/>
      <c r="JHZ19" s="64"/>
      <c r="JIA19" s="64"/>
      <c r="JIB19" s="64"/>
      <c r="JIC19" s="64"/>
      <c r="JID19" s="64"/>
      <c r="JIE19" s="64"/>
      <c r="JIF19" s="64"/>
      <c r="JIG19" s="64"/>
      <c r="JIH19" s="64"/>
      <c r="JII19" s="64"/>
      <c r="JIJ19" s="64"/>
      <c r="JIK19" s="64"/>
      <c r="JIL19" s="64"/>
      <c r="JIM19" s="64"/>
      <c r="JIN19" s="64"/>
      <c r="JIO19" s="64"/>
      <c r="JIP19" s="64"/>
      <c r="JIQ19" s="64"/>
      <c r="JIR19" s="64"/>
      <c r="JIS19" s="64"/>
      <c r="JIT19" s="64"/>
      <c r="JIU19" s="64"/>
      <c r="JIV19" s="64"/>
      <c r="JIW19" s="64"/>
      <c r="JIX19" s="64"/>
      <c r="JIY19" s="64"/>
      <c r="JIZ19" s="64"/>
      <c r="JJA19" s="64"/>
      <c r="JJB19" s="64"/>
      <c r="JJC19" s="64"/>
      <c r="JJD19" s="64"/>
      <c r="JJE19" s="64"/>
      <c r="JJF19" s="64"/>
      <c r="JJG19" s="64"/>
      <c r="JJH19" s="64"/>
      <c r="JJI19" s="64"/>
      <c r="JJJ19" s="64"/>
      <c r="JJK19" s="64"/>
      <c r="JJL19" s="64"/>
      <c r="JJM19" s="64"/>
      <c r="JJN19" s="64"/>
      <c r="JJO19" s="64"/>
      <c r="JJP19" s="64"/>
      <c r="JJQ19" s="64"/>
      <c r="JJR19" s="64"/>
      <c r="JJS19" s="64"/>
      <c r="JJT19" s="64"/>
      <c r="JJU19" s="64"/>
      <c r="JJV19" s="64"/>
      <c r="JJW19" s="64"/>
      <c r="JJX19" s="64"/>
      <c r="JJY19" s="64"/>
      <c r="JJZ19" s="64"/>
      <c r="JKA19" s="64"/>
      <c r="JKB19" s="64"/>
      <c r="JKC19" s="64"/>
      <c r="JKD19" s="64"/>
      <c r="JKE19" s="64"/>
      <c r="JKF19" s="64"/>
      <c r="JKG19" s="64"/>
      <c r="JKH19" s="64"/>
      <c r="JKI19" s="64"/>
      <c r="JKJ19" s="64"/>
      <c r="JKK19" s="64"/>
      <c r="JKL19" s="64"/>
      <c r="JKM19" s="64"/>
      <c r="JKN19" s="64"/>
      <c r="JKO19" s="64"/>
      <c r="JKP19" s="64"/>
      <c r="JKQ19" s="64"/>
      <c r="JKR19" s="64"/>
      <c r="JKS19" s="64"/>
      <c r="JKT19" s="64"/>
      <c r="JKU19" s="64"/>
      <c r="JKV19" s="64"/>
      <c r="JKW19" s="64"/>
      <c r="JKX19" s="64"/>
      <c r="JKY19" s="64"/>
      <c r="JKZ19" s="64"/>
      <c r="JLA19" s="64"/>
      <c r="JLB19" s="64"/>
      <c r="JLC19" s="64"/>
      <c r="JLD19" s="64"/>
      <c r="JLE19" s="64"/>
      <c r="JLF19" s="64"/>
      <c r="JLG19" s="64"/>
      <c r="JLH19" s="64"/>
      <c r="JLI19" s="64"/>
      <c r="JLJ19" s="64"/>
      <c r="JLK19" s="64"/>
      <c r="JLL19" s="64"/>
      <c r="JLM19" s="64"/>
      <c r="JLN19" s="64"/>
      <c r="JLO19" s="64"/>
      <c r="JLP19" s="64"/>
      <c r="JLQ19" s="64"/>
      <c r="JLR19" s="64"/>
      <c r="JLS19" s="64"/>
      <c r="JLT19" s="64"/>
      <c r="JLU19" s="64"/>
      <c r="JLV19" s="64"/>
      <c r="JLW19" s="64"/>
      <c r="JLX19" s="64"/>
      <c r="JLY19" s="64"/>
      <c r="JLZ19" s="64"/>
      <c r="JMA19" s="64"/>
      <c r="JMB19" s="64"/>
      <c r="JMC19" s="64"/>
      <c r="JMD19" s="64"/>
      <c r="JME19" s="64"/>
      <c r="JMF19" s="64"/>
      <c r="JMG19" s="64"/>
      <c r="JMH19" s="64"/>
      <c r="JMI19" s="64"/>
      <c r="JMJ19" s="64"/>
      <c r="JMK19" s="64"/>
      <c r="JML19" s="64"/>
      <c r="JMM19" s="64"/>
      <c r="JMN19" s="64"/>
      <c r="JMO19" s="64"/>
      <c r="JMP19" s="64"/>
      <c r="JMQ19" s="64"/>
      <c r="JMR19" s="64"/>
      <c r="JMS19" s="64"/>
      <c r="JMT19" s="64"/>
      <c r="JMU19" s="64"/>
      <c r="JMV19" s="64"/>
      <c r="JMW19" s="64"/>
      <c r="JMX19" s="64"/>
      <c r="JMY19" s="64"/>
      <c r="JMZ19" s="64"/>
      <c r="JNA19" s="64"/>
      <c r="JNB19" s="64"/>
      <c r="JNC19" s="64"/>
      <c r="JND19" s="64"/>
      <c r="JNE19" s="64"/>
      <c r="JNF19" s="64"/>
      <c r="JNG19" s="64"/>
      <c r="JNH19" s="64"/>
      <c r="JNI19" s="64"/>
      <c r="JNJ19" s="64"/>
      <c r="JNK19" s="64"/>
      <c r="JNL19" s="64"/>
      <c r="JNM19" s="64"/>
      <c r="JNN19" s="64"/>
      <c r="JNO19" s="64"/>
      <c r="JNP19" s="64"/>
      <c r="JNQ19" s="64"/>
      <c r="JNR19" s="64"/>
      <c r="JNS19" s="64"/>
      <c r="JNT19" s="64"/>
      <c r="JNU19" s="64"/>
      <c r="JNV19" s="64"/>
      <c r="JNW19" s="64"/>
      <c r="JNX19" s="64"/>
      <c r="JNY19" s="64"/>
      <c r="JNZ19" s="64"/>
      <c r="JOA19" s="64"/>
      <c r="JOB19" s="64"/>
      <c r="JOC19" s="64"/>
      <c r="JOD19" s="64"/>
      <c r="JOE19" s="64"/>
      <c r="JOF19" s="64"/>
      <c r="JOG19" s="64"/>
      <c r="JOH19" s="64"/>
      <c r="JOI19" s="64"/>
      <c r="JOJ19" s="64"/>
      <c r="JOK19" s="64"/>
      <c r="JOL19" s="64"/>
      <c r="JOM19" s="64"/>
      <c r="JON19" s="64"/>
      <c r="JOO19" s="64"/>
      <c r="JOP19" s="64"/>
      <c r="JOQ19" s="64"/>
      <c r="JOR19" s="64"/>
      <c r="JOS19" s="64"/>
      <c r="JOT19" s="64"/>
      <c r="JOU19" s="64"/>
      <c r="JOV19" s="64"/>
      <c r="JOW19" s="64"/>
      <c r="JOX19" s="64"/>
      <c r="JOY19" s="64"/>
      <c r="JOZ19" s="64"/>
      <c r="JPA19" s="64"/>
      <c r="JPB19" s="64"/>
      <c r="JPC19" s="64"/>
      <c r="JPD19" s="64"/>
      <c r="JPE19" s="64"/>
      <c r="JPF19" s="64"/>
      <c r="JPG19" s="64"/>
      <c r="JPH19" s="64"/>
      <c r="JPI19" s="64"/>
      <c r="JPJ19" s="64"/>
      <c r="JPK19" s="64"/>
      <c r="JPL19" s="64"/>
      <c r="JPM19" s="64"/>
      <c r="JPN19" s="64"/>
      <c r="JPO19" s="64"/>
      <c r="JPP19" s="64"/>
      <c r="JPQ19" s="64"/>
      <c r="JPR19" s="64"/>
      <c r="JPS19" s="64"/>
      <c r="JPT19" s="64"/>
      <c r="JPU19" s="64"/>
      <c r="JPV19" s="64"/>
      <c r="JPW19" s="64"/>
      <c r="JPX19" s="64"/>
      <c r="JPY19" s="64"/>
      <c r="JPZ19" s="64"/>
      <c r="JQA19" s="64"/>
      <c r="JQB19" s="64"/>
      <c r="JQC19" s="64"/>
      <c r="JQD19" s="64"/>
      <c r="JQE19" s="64"/>
      <c r="JQF19" s="64"/>
      <c r="JQG19" s="64"/>
      <c r="JQH19" s="64"/>
      <c r="JQI19" s="64"/>
      <c r="JQJ19" s="64"/>
      <c r="JQK19" s="64"/>
      <c r="JQL19" s="64"/>
      <c r="JQM19" s="64"/>
      <c r="JQN19" s="64"/>
      <c r="JQO19" s="64"/>
      <c r="JQP19" s="64"/>
      <c r="JQQ19" s="64"/>
      <c r="JQR19" s="64"/>
      <c r="JQS19" s="64"/>
      <c r="JQT19" s="64"/>
      <c r="JQU19" s="64"/>
      <c r="JQV19" s="64"/>
      <c r="JQW19" s="64"/>
      <c r="JQX19" s="64"/>
      <c r="JQY19" s="64"/>
      <c r="JQZ19" s="64"/>
      <c r="JRA19" s="64"/>
      <c r="JRB19" s="64"/>
      <c r="JRC19" s="64"/>
      <c r="JRD19" s="64"/>
      <c r="JRE19" s="64"/>
      <c r="JRF19" s="64"/>
      <c r="JRG19" s="64"/>
      <c r="JRH19" s="64"/>
      <c r="JRI19" s="64"/>
      <c r="JRJ19" s="64"/>
      <c r="JRK19" s="64"/>
      <c r="JRL19" s="64"/>
      <c r="JRM19" s="64"/>
      <c r="JRN19" s="64"/>
      <c r="JRO19" s="64"/>
      <c r="JRP19" s="64"/>
      <c r="JRQ19" s="64"/>
      <c r="JRR19" s="64"/>
      <c r="JRS19" s="64"/>
      <c r="JRT19" s="64"/>
      <c r="JRU19" s="64"/>
      <c r="JRV19" s="64"/>
      <c r="JRW19" s="64"/>
      <c r="JRX19" s="64"/>
      <c r="JRY19" s="64"/>
      <c r="JRZ19" s="64"/>
      <c r="JSA19" s="64"/>
      <c r="JSB19" s="64"/>
      <c r="JSC19" s="64"/>
      <c r="JSD19" s="64"/>
      <c r="JSE19" s="64"/>
      <c r="JSF19" s="64"/>
      <c r="JSG19" s="64"/>
      <c r="JSH19" s="64"/>
      <c r="JSI19" s="64"/>
      <c r="JSJ19" s="64"/>
      <c r="JSK19" s="64"/>
      <c r="JSL19" s="64"/>
      <c r="JSM19" s="64"/>
      <c r="JSN19" s="64"/>
      <c r="JSO19" s="64"/>
      <c r="JSP19" s="64"/>
      <c r="JSQ19" s="64"/>
      <c r="JSR19" s="64"/>
      <c r="JSS19" s="64"/>
      <c r="JST19" s="64"/>
      <c r="JSU19" s="64"/>
      <c r="JSV19" s="64"/>
      <c r="JSW19" s="64"/>
      <c r="JSX19" s="64"/>
      <c r="JSY19" s="64"/>
      <c r="JSZ19" s="64"/>
      <c r="JTA19" s="64"/>
      <c r="JTB19" s="64"/>
      <c r="JTC19" s="64"/>
      <c r="JTD19" s="64"/>
      <c r="JTE19" s="64"/>
      <c r="JTF19" s="64"/>
      <c r="JTG19" s="64"/>
      <c r="JTH19" s="64"/>
      <c r="JTI19" s="64"/>
      <c r="JTJ19" s="64"/>
      <c r="JTK19" s="64"/>
      <c r="JTL19" s="64"/>
      <c r="JTM19" s="64"/>
      <c r="JTN19" s="64"/>
      <c r="JTO19" s="64"/>
      <c r="JTP19" s="64"/>
      <c r="JTQ19" s="64"/>
      <c r="JTR19" s="64"/>
      <c r="JTS19" s="64"/>
      <c r="JTT19" s="64"/>
      <c r="JTU19" s="64"/>
      <c r="JTV19" s="64"/>
      <c r="JTW19" s="64"/>
      <c r="JTX19" s="64"/>
      <c r="JTY19" s="64"/>
      <c r="JTZ19" s="64"/>
      <c r="JUA19" s="64"/>
      <c r="JUB19" s="64"/>
      <c r="JUC19" s="64"/>
      <c r="JUD19" s="64"/>
      <c r="JUE19" s="64"/>
      <c r="JUF19" s="64"/>
      <c r="JUG19" s="64"/>
      <c r="JUH19" s="64"/>
      <c r="JUI19" s="64"/>
      <c r="JUJ19" s="64"/>
      <c r="JUK19" s="64"/>
      <c r="JUL19" s="64"/>
      <c r="JUM19" s="64"/>
      <c r="JUN19" s="64"/>
      <c r="JUO19" s="64"/>
      <c r="JUP19" s="64"/>
      <c r="JUQ19" s="64"/>
      <c r="JUR19" s="64"/>
      <c r="JUS19" s="64"/>
      <c r="JUT19" s="64"/>
      <c r="JUU19" s="64"/>
      <c r="JUV19" s="64"/>
      <c r="JUW19" s="64"/>
      <c r="JUX19" s="64"/>
      <c r="JUY19" s="64"/>
      <c r="JUZ19" s="64"/>
      <c r="JVA19" s="64"/>
      <c r="JVB19" s="64"/>
      <c r="JVC19" s="64"/>
      <c r="JVD19" s="64"/>
      <c r="JVE19" s="64"/>
      <c r="JVF19" s="64"/>
      <c r="JVG19" s="64"/>
      <c r="JVH19" s="64"/>
      <c r="JVI19" s="64"/>
      <c r="JVJ19" s="64"/>
      <c r="JVK19" s="64"/>
      <c r="JVL19" s="64"/>
      <c r="JVM19" s="64"/>
      <c r="JVN19" s="64"/>
      <c r="JVO19" s="64"/>
      <c r="JVP19" s="64"/>
      <c r="JVQ19" s="64"/>
      <c r="JVR19" s="64"/>
      <c r="JVS19" s="64"/>
      <c r="JVT19" s="64"/>
      <c r="JVU19" s="64"/>
      <c r="JVV19" s="64"/>
      <c r="JVW19" s="64"/>
      <c r="JVX19" s="64"/>
      <c r="JVY19" s="64"/>
      <c r="JVZ19" s="64"/>
      <c r="JWA19" s="64"/>
      <c r="JWB19" s="64"/>
      <c r="JWC19" s="64"/>
      <c r="JWD19" s="64"/>
      <c r="JWE19" s="64"/>
      <c r="JWF19" s="64"/>
      <c r="JWG19" s="64"/>
      <c r="JWH19" s="64"/>
      <c r="JWI19" s="64"/>
      <c r="JWJ19" s="64"/>
      <c r="JWK19" s="64"/>
      <c r="JWL19" s="64"/>
      <c r="JWM19" s="64"/>
      <c r="JWN19" s="64"/>
      <c r="JWO19" s="64"/>
      <c r="JWP19" s="64"/>
      <c r="JWQ19" s="64"/>
      <c r="JWR19" s="64"/>
      <c r="JWS19" s="64"/>
      <c r="JWT19" s="64"/>
      <c r="JWU19" s="64"/>
      <c r="JWV19" s="64"/>
      <c r="JWW19" s="64"/>
      <c r="JWX19" s="64"/>
      <c r="JWY19" s="64"/>
      <c r="JWZ19" s="64"/>
      <c r="JXA19" s="64"/>
      <c r="JXB19" s="64"/>
      <c r="JXC19" s="64"/>
      <c r="JXD19" s="64"/>
      <c r="JXE19" s="64"/>
      <c r="JXF19" s="64"/>
      <c r="JXG19" s="64"/>
      <c r="JXH19" s="64"/>
      <c r="JXI19" s="64"/>
      <c r="JXJ19" s="64"/>
      <c r="JXK19" s="64"/>
      <c r="JXL19" s="64"/>
      <c r="JXM19" s="64"/>
      <c r="JXN19" s="64"/>
      <c r="JXO19" s="64"/>
      <c r="JXP19" s="64"/>
      <c r="JXQ19" s="64"/>
      <c r="JXR19" s="64"/>
      <c r="JXS19" s="64"/>
      <c r="JXT19" s="64"/>
      <c r="JXU19" s="64"/>
      <c r="JXV19" s="64"/>
      <c r="JXW19" s="64"/>
      <c r="JXX19" s="64"/>
      <c r="JXY19" s="64"/>
      <c r="JXZ19" s="64"/>
      <c r="JYA19" s="64"/>
      <c r="JYB19" s="64"/>
      <c r="JYC19" s="64"/>
      <c r="JYD19" s="64"/>
      <c r="JYE19" s="64"/>
      <c r="JYF19" s="64"/>
      <c r="JYG19" s="64"/>
      <c r="JYH19" s="64"/>
      <c r="JYI19" s="64"/>
      <c r="JYJ19" s="64"/>
      <c r="JYK19" s="64"/>
      <c r="JYL19" s="64"/>
      <c r="JYM19" s="64"/>
      <c r="JYN19" s="64"/>
      <c r="JYO19" s="64"/>
      <c r="JYP19" s="64"/>
      <c r="JYQ19" s="64"/>
      <c r="JYR19" s="64"/>
      <c r="JYS19" s="64"/>
      <c r="JYT19" s="64"/>
      <c r="JYU19" s="64"/>
      <c r="JYV19" s="64"/>
      <c r="JYW19" s="64"/>
      <c r="JYX19" s="64"/>
      <c r="JYY19" s="64"/>
      <c r="JYZ19" s="64"/>
      <c r="JZA19" s="64"/>
      <c r="JZB19" s="64"/>
      <c r="JZC19" s="64"/>
      <c r="JZD19" s="64"/>
      <c r="JZE19" s="64"/>
      <c r="JZF19" s="64"/>
      <c r="JZG19" s="64"/>
      <c r="JZH19" s="64"/>
      <c r="JZI19" s="64"/>
      <c r="JZJ19" s="64"/>
      <c r="JZK19" s="64"/>
      <c r="JZL19" s="64"/>
      <c r="JZM19" s="64"/>
      <c r="JZN19" s="64"/>
      <c r="JZO19" s="64"/>
      <c r="JZP19" s="64"/>
      <c r="JZQ19" s="64"/>
      <c r="JZR19" s="64"/>
      <c r="JZS19" s="64"/>
      <c r="JZT19" s="64"/>
      <c r="JZU19" s="64"/>
      <c r="JZV19" s="64"/>
      <c r="JZW19" s="64"/>
      <c r="JZX19" s="64"/>
      <c r="JZY19" s="64"/>
      <c r="JZZ19" s="64"/>
      <c r="KAA19" s="64"/>
      <c r="KAB19" s="64"/>
      <c r="KAC19" s="64"/>
      <c r="KAD19" s="64"/>
      <c r="KAE19" s="64"/>
      <c r="KAF19" s="64"/>
      <c r="KAG19" s="64"/>
      <c r="KAH19" s="64"/>
      <c r="KAI19" s="64"/>
      <c r="KAJ19" s="64"/>
      <c r="KAK19" s="64"/>
      <c r="KAL19" s="64"/>
      <c r="KAM19" s="64"/>
      <c r="KAN19" s="64"/>
      <c r="KAO19" s="64"/>
      <c r="KAP19" s="64"/>
      <c r="KAQ19" s="64"/>
      <c r="KAR19" s="64"/>
      <c r="KAS19" s="64"/>
      <c r="KAT19" s="64"/>
      <c r="KAU19" s="64"/>
      <c r="KAV19" s="64"/>
      <c r="KAW19" s="64"/>
      <c r="KAX19" s="64"/>
      <c r="KAY19" s="64"/>
      <c r="KAZ19" s="64"/>
      <c r="KBA19" s="64"/>
      <c r="KBB19" s="64"/>
      <c r="KBC19" s="64"/>
      <c r="KBD19" s="64"/>
      <c r="KBE19" s="64"/>
      <c r="KBF19" s="64"/>
      <c r="KBG19" s="64"/>
      <c r="KBH19" s="64"/>
      <c r="KBI19" s="64"/>
      <c r="KBJ19" s="64"/>
      <c r="KBK19" s="64"/>
      <c r="KBL19" s="64"/>
      <c r="KBM19" s="64"/>
      <c r="KBN19" s="64"/>
      <c r="KBO19" s="64"/>
      <c r="KBP19" s="64"/>
      <c r="KBQ19" s="64"/>
      <c r="KBR19" s="64"/>
      <c r="KBS19" s="64"/>
      <c r="KBT19" s="64"/>
      <c r="KBU19" s="64"/>
      <c r="KBV19" s="64"/>
      <c r="KBW19" s="64"/>
      <c r="KBX19" s="64"/>
      <c r="KBY19" s="64"/>
      <c r="KBZ19" s="64"/>
      <c r="KCA19" s="64"/>
      <c r="KCB19" s="64"/>
      <c r="KCC19" s="64"/>
      <c r="KCD19" s="64"/>
      <c r="KCE19" s="64"/>
      <c r="KCF19" s="64"/>
      <c r="KCG19" s="64"/>
      <c r="KCH19" s="64"/>
      <c r="KCI19" s="64"/>
      <c r="KCJ19" s="64"/>
      <c r="KCK19" s="64"/>
      <c r="KCL19" s="64"/>
      <c r="KCM19" s="64"/>
      <c r="KCN19" s="64"/>
      <c r="KCO19" s="64"/>
      <c r="KCP19" s="64"/>
      <c r="KCQ19" s="64"/>
      <c r="KCR19" s="64"/>
      <c r="KCS19" s="64"/>
      <c r="KCT19" s="64"/>
      <c r="KCU19" s="64"/>
      <c r="KCV19" s="64"/>
      <c r="KCW19" s="64"/>
      <c r="KCX19" s="64"/>
      <c r="KCY19" s="64"/>
      <c r="KCZ19" s="64"/>
      <c r="KDA19" s="64"/>
      <c r="KDB19" s="64"/>
      <c r="KDC19" s="64"/>
      <c r="KDD19" s="64"/>
      <c r="KDE19" s="64"/>
      <c r="KDF19" s="64"/>
      <c r="KDG19" s="64"/>
      <c r="KDH19" s="64"/>
      <c r="KDI19" s="64"/>
      <c r="KDJ19" s="64"/>
      <c r="KDK19" s="64"/>
      <c r="KDL19" s="64"/>
      <c r="KDM19" s="64"/>
      <c r="KDN19" s="64"/>
      <c r="KDO19" s="64"/>
      <c r="KDP19" s="64"/>
      <c r="KDQ19" s="64"/>
      <c r="KDR19" s="64"/>
      <c r="KDS19" s="64"/>
      <c r="KDT19" s="64"/>
      <c r="KDU19" s="64"/>
      <c r="KDV19" s="64"/>
      <c r="KDW19" s="64"/>
      <c r="KDX19" s="64"/>
      <c r="KDY19" s="64"/>
      <c r="KDZ19" s="64"/>
      <c r="KEA19" s="64"/>
      <c r="KEB19" s="64"/>
      <c r="KEC19" s="64"/>
      <c r="KED19" s="64"/>
      <c r="KEE19" s="64"/>
      <c r="KEF19" s="64"/>
      <c r="KEG19" s="64"/>
      <c r="KEH19" s="64"/>
      <c r="KEI19" s="64"/>
      <c r="KEJ19" s="64"/>
      <c r="KEK19" s="64"/>
      <c r="KEL19" s="64"/>
      <c r="KEM19" s="64"/>
      <c r="KEN19" s="64"/>
      <c r="KEO19" s="64"/>
      <c r="KEP19" s="64"/>
      <c r="KEQ19" s="64"/>
      <c r="KER19" s="64"/>
      <c r="KES19" s="64"/>
      <c r="KET19" s="64"/>
      <c r="KEU19" s="64"/>
      <c r="KEV19" s="64"/>
      <c r="KEW19" s="64"/>
      <c r="KEX19" s="64"/>
      <c r="KEY19" s="64"/>
      <c r="KEZ19" s="64"/>
      <c r="KFA19" s="64"/>
      <c r="KFB19" s="64"/>
      <c r="KFC19" s="64"/>
      <c r="KFD19" s="64"/>
      <c r="KFE19" s="64"/>
      <c r="KFF19" s="64"/>
      <c r="KFG19" s="64"/>
      <c r="KFH19" s="64"/>
      <c r="KFI19" s="64"/>
      <c r="KFJ19" s="64"/>
      <c r="KFK19" s="64"/>
      <c r="KFL19" s="64"/>
      <c r="KFM19" s="64"/>
      <c r="KFN19" s="64"/>
      <c r="KFO19" s="64"/>
      <c r="KFP19" s="64"/>
      <c r="KFQ19" s="64"/>
      <c r="KFR19" s="64"/>
      <c r="KFS19" s="64"/>
      <c r="KFT19" s="64"/>
      <c r="KFU19" s="64"/>
      <c r="KFV19" s="64"/>
      <c r="KFW19" s="64"/>
      <c r="KFX19" s="64"/>
      <c r="KFY19" s="64"/>
      <c r="KFZ19" s="64"/>
      <c r="KGA19" s="64"/>
      <c r="KGB19" s="64"/>
      <c r="KGC19" s="64"/>
      <c r="KGD19" s="64"/>
      <c r="KGE19" s="64"/>
      <c r="KGF19" s="64"/>
      <c r="KGG19" s="64"/>
      <c r="KGH19" s="64"/>
      <c r="KGI19" s="64"/>
      <c r="KGJ19" s="64"/>
      <c r="KGK19" s="64"/>
      <c r="KGL19" s="64"/>
      <c r="KGM19" s="64"/>
      <c r="KGN19" s="64"/>
      <c r="KGO19" s="64"/>
      <c r="KGP19" s="64"/>
      <c r="KGQ19" s="64"/>
      <c r="KGR19" s="64"/>
      <c r="KGS19" s="64"/>
      <c r="KGT19" s="64"/>
      <c r="KGU19" s="64"/>
      <c r="KGV19" s="64"/>
      <c r="KGW19" s="64"/>
      <c r="KGX19" s="64"/>
      <c r="KGY19" s="64"/>
      <c r="KGZ19" s="64"/>
      <c r="KHA19" s="64"/>
      <c r="KHB19" s="64"/>
      <c r="KHC19" s="64"/>
      <c r="KHD19" s="64"/>
      <c r="KHE19" s="64"/>
      <c r="KHF19" s="64"/>
      <c r="KHG19" s="64"/>
      <c r="KHH19" s="64"/>
      <c r="KHI19" s="64"/>
      <c r="KHJ19" s="64"/>
      <c r="KHK19" s="64"/>
      <c r="KHL19" s="64"/>
      <c r="KHM19" s="64"/>
      <c r="KHN19" s="64"/>
      <c r="KHO19" s="64"/>
      <c r="KHP19" s="64"/>
      <c r="KHQ19" s="64"/>
      <c r="KHR19" s="64"/>
      <c r="KHS19" s="64"/>
      <c r="KHT19" s="64"/>
      <c r="KHU19" s="64"/>
      <c r="KHV19" s="64"/>
      <c r="KHW19" s="64"/>
      <c r="KHX19" s="64"/>
      <c r="KHY19" s="64"/>
      <c r="KHZ19" s="64"/>
      <c r="KIA19" s="64"/>
      <c r="KIB19" s="64"/>
      <c r="KIC19" s="64"/>
      <c r="KID19" s="64"/>
      <c r="KIE19" s="64"/>
      <c r="KIF19" s="64"/>
      <c r="KIG19" s="64"/>
      <c r="KIH19" s="64"/>
      <c r="KII19" s="64"/>
      <c r="KIJ19" s="64"/>
      <c r="KIK19" s="64"/>
      <c r="KIL19" s="64"/>
      <c r="KIM19" s="64"/>
      <c r="KIN19" s="64"/>
      <c r="KIO19" s="64"/>
      <c r="KIP19" s="64"/>
      <c r="KIQ19" s="64"/>
      <c r="KIR19" s="64"/>
      <c r="KIS19" s="64"/>
      <c r="KIT19" s="64"/>
      <c r="KIU19" s="64"/>
      <c r="KIV19" s="64"/>
      <c r="KIW19" s="64"/>
      <c r="KIX19" s="64"/>
      <c r="KIY19" s="64"/>
      <c r="KIZ19" s="64"/>
      <c r="KJA19" s="64"/>
      <c r="KJB19" s="64"/>
      <c r="KJC19" s="64"/>
      <c r="KJD19" s="64"/>
      <c r="KJE19" s="64"/>
      <c r="KJF19" s="64"/>
      <c r="KJG19" s="64"/>
      <c r="KJH19" s="64"/>
      <c r="KJI19" s="64"/>
      <c r="KJJ19" s="64"/>
      <c r="KJK19" s="64"/>
      <c r="KJL19" s="64"/>
      <c r="KJM19" s="64"/>
      <c r="KJN19" s="64"/>
      <c r="KJO19" s="64"/>
      <c r="KJP19" s="64"/>
      <c r="KJQ19" s="64"/>
      <c r="KJR19" s="64"/>
      <c r="KJS19" s="64"/>
      <c r="KJT19" s="64"/>
      <c r="KJU19" s="64"/>
      <c r="KJV19" s="64"/>
      <c r="KJW19" s="64"/>
      <c r="KJX19" s="64"/>
      <c r="KJY19" s="64"/>
      <c r="KJZ19" s="64"/>
      <c r="KKA19" s="64"/>
      <c r="KKB19" s="64"/>
      <c r="KKC19" s="64"/>
      <c r="KKD19" s="64"/>
      <c r="KKE19" s="64"/>
      <c r="KKF19" s="64"/>
      <c r="KKG19" s="64"/>
      <c r="KKH19" s="64"/>
      <c r="KKI19" s="64"/>
      <c r="KKJ19" s="64"/>
      <c r="KKK19" s="64"/>
      <c r="KKL19" s="64"/>
      <c r="KKM19" s="64"/>
      <c r="KKN19" s="64"/>
      <c r="KKO19" s="64"/>
      <c r="KKP19" s="64"/>
      <c r="KKQ19" s="64"/>
      <c r="KKR19" s="64"/>
      <c r="KKS19" s="64"/>
      <c r="KKT19" s="64"/>
      <c r="KKU19" s="64"/>
      <c r="KKV19" s="64"/>
      <c r="KKW19" s="64"/>
      <c r="KKX19" s="64"/>
      <c r="KKY19" s="64"/>
      <c r="KKZ19" s="64"/>
      <c r="KLA19" s="64"/>
      <c r="KLB19" s="64"/>
      <c r="KLC19" s="64"/>
      <c r="KLD19" s="64"/>
      <c r="KLE19" s="64"/>
      <c r="KLF19" s="64"/>
      <c r="KLG19" s="64"/>
      <c r="KLH19" s="64"/>
      <c r="KLI19" s="64"/>
      <c r="KLJ19" s="64"/>
      <c r="KLK19" s="64"/>
      <c r="KLL19" s="64"/>
      <c r="KLM19" s="64"/>
      <c r="KLN19" s="64"/>
      <c r="KLO19" s="64"/>
      <c r="KLP19" s="64"/>
      <c r="KLQ19" s="64"/>
      <c r="KLR19" s="64"/>
      <c r="KLS19" s="64"/>
      <c r="KLT19" s="64"/>
      <c r="KLU19" s="64"/>
      <c r="KLV19" s="64"/>
      <c r="KLW19" s="64"/>
      <c r="KLX19" s="64"/>
      <c r="KLY19" s="64"/>
      <c r="KLZ19" s="64"/>
      <c r="KMA19" s="64"/>
      <c r="KMB19" s="64"/>
      <c r="KMC19" s="64"/>
      <c r="KMD19" s="64"/>
      <c r="KME19" s="64"/>
      <c r="KMF19" s="64"/>
      <c r="KMG19" s="64"/>
      <c r="KMH19" s="64"/>
      <c r="KMI19" s="64"/>
      <c r="KMJ19" s="64"/>
      <c r="KMK19" s="64"/>
      <c r="KML19" s="64"/>
      <c r="KMM19" s="64"/>
      <c r="KMN19" s="64"/>
      <c r="KMO19" s="64"/>
      <c r="KMP19" s="64"/>
      <c r="KMQ19" s="64"/>
      <c r="KMR19" s="64"/>
      <c r="KMS19" s="64"/>
      <c r="KMT19" s="64"/>
      <c r="KMU19" s="64"/>
      <c r="KMV19" s="64"/>
      <c r="KMW19" s="64"/>
      <c r="KMX19" s="64"/>
      <c r="KMY19" s="64"/>
      <c r="KMZ19" s="64"/>
      <c r="KNA19" s="64"/>
      <c r="KNB19" s="64"/>
      <c r="KNC19" s="64"/>
      <c r="KND19" s="64"/>
      <c r="KNE19" s="64"/>
      <c r="KNF19" s="64"/>
      <c r="KNG19" s="64"/>
      <c r="KNH19" s="64"/>
      <c r="KNI19" s="64"/>
      <c r="KNJ19" s="64"/>
      <c r="KNK19" s="64"/>
      <c r="KNL19" s="64"/>
      <c r="KNM19" s="64"/>
      <c r="KNN19" s="64"/>
      <c r="KNO19" s="64"/>
      <c r="KNP19" s="64"/>
      <c r="KNQ19" s="64"/>
      <c r="KNR19" s="64"/>
      <c r="KNS19" s="64"/>
      <c r="KNT19" s="64"/>
      <c r="KNU19" s="64"/>
      <c r="KNV19" s="64"/>
      <c r="KNW19" s="64"/>
      <c r="KNX19" s="64"/>
      <c r="KNY19" s="64"/>
      <c r="KNZ19" s="64"/>
      <c r="KOA19" s="64"/>
      <c r="KOB19" s="64"/>
      <c r="KOC19" s="64"/>
      <c r="KOD19" s="64"/>
      <c r="KOE19" s="64"/>
      <c r="KOF19" s="64"/>
      <c r="KOG19" s="64"/>
      <c r="KOH19" s="64"/>
      <c r="KOI19" s="64"/>
      <c r="KOJ19" s="64"/>
      <c r="KOK19" s="64"/>
      <c r="KOL19" s="64"/>
      <c r="KOM19" s="64"/>
      <c r="KON19" s="64"/>
      <c r="KOO19" s="64"/>
      <c r="KOP19" s="64"/>
      <c r="KOQ19" s="64"/>
      <c r="KOR19" s="64"/>
      <c r="KOS19" s="64"/>
      <c r="KOT19" s="64"/>
      <c r="KOU19" s="64"/>
      <c r="KOV19" s="64"/>
      <c r="KOW19" s="64"/>
      <c r="KOX19" s="64"/>
      <c r="KOY19" s="64"/>
      <c r="KOZ19" s="64"/>
      <c r="KPA19" s="64"/>
      <c r="KPB19" s="64"/>
      <c r="KPC19" s="64"/>
      <c r="KPD19" s="64"/>
      <c r="KPE19" s="64"/>
      <c r="KPF19" s="64"/>
      <c r="KPG19" s="64"/>
      <c r="KPH19" s="64"/>
      <c r="KPI19" s="64"/>
      <c r="KPJ19" s="64"/>
      <c r="KPK19" s="64"/>
      <c r="KPL19" s="64"/>
      <c r="KPM19" s="64"/>
      <c r="KPN19" s="64"/>
      <c r="KPO19" s="64"/>
      <c r="KPP19" s="64"/>
      <c r="KPQ19" s="64"/>
      <c r="KPR19" s="64"/>
      <c r="KPS19" s="64"/>
      <c r="KPT19" s="64"/>
      <c r="KPU19" s="64"/>
      <c r="KPV19" s="64"/>
      <c r="KPW19" s="64"/>
      <c r="KPX19" s="64"/>
      <c r="KPY19" s="64"/>
      <c r="KPZ19" s="64"/>
      <c r="KQA19" s="64"/>
      <c r="KQB19" s="64"/>
      <c r="KQC19" s="64"/>
      <c r="KQD19" s="64"/>
      <c r="KQE19" s="64"/>
      <c r="KQF19" s="64"/>
      <c r="KQG19" s="64"/>
      <c r="KQH19" s="64"/>
      <c r="KQI19" s="64"/>
      <c r="KQJ19" s="64"/>
      <c r="KQK19" s="64"/>
      <c r="KQL19" s="64"/>
      <c r="KQM19" s="64"/>
      <c r="KQN19" s="64"/>
      <c r="KQO19" s="64"/>
      <c r="KQP19" s="64"/>
      <c r="KQQ19" s="64"/>
      <c r="KQR19" s="64"/>
      <c r="KQS19" s="64"/>
      <c r="KQT19" s="64"/>
      <c r="KQU19" s="64"/>
      <c r="KQV19" s="64"/>
      <c r="KQW19" s="64"/>
      <c r="KQX19" s="64"/>
      <c r="KQY19" s="64"/>
      <c r="KQZ19" s="64"/>
      <c r="KRA19" s="64"/>
      <c r="KRB19" s="64"/>
      <c r="KRC19" s="64"/>
      <c r="KRD19" s="64"/>
      <c r="KRE19" s="64"/>
      <c r="KRF19" s="64"/>
      <c r="KRG19" s="64"/>
      <c r="KRH19" s="64"/>
      <c r="KRI19" s="64"/>
      <c r="KRJ19" s="64"/>
      <c r="KRK19" s="64"/>
      <c r="KRL19" s="64"/>
      <c r="KRM19" s="64"/>
      <c r="KRN19" s="64"/>
      <c r="KRO19" s="64"/>
      <c r="KRP19" s="64"/>
      <c r="KRQ19" s="64"/>
      <c r="KRR19" s="64"/>
      <c r="KRS19" s="64"/>
      <c r="KRT19" s="64"/>
      <c r="KRU19" s="64"/>
      <c r="KRV19" s="64"/>
      <c r="KRW19" s="64"/>
      <c r="KRX19" s="64"/>
      <c r="KRY19" s="64"/>
      <c r="KRZ19" s="64"/>
      <c r="KSA19" s="64"/>
      <c r="KSB19" s="64"/>
      <c r="KSC19" s="64"/>
      <c r="KSD19" s="64"/>
      <c r="KSE19" s="64"/>
      <c r="KSF19" s="64"/>
      <c r="KSG19" s="64"/>
      <c r="KSH19" s="64"/>
      <c r="KSI19" s="64"/>
      <c r="KSJ19" s="64"/>
      <c r="KSK19" s="64"/>
      <c r="KSL19" s="64"/>
      <c r="KSM19" s="64"/>
      <c r="KSN19" s="64"/>
      <c r="KSO19" s="64"/>
      <c r="KSP19" s="64"/>
      <c r="KSQ19" s="64"/>
      <c r="KSR19" s="64"/>
      <c r="KSS19" s="64"/>
      <c r="KST19" s="64"/>
      <c r="KSU19" s="64"/>
      <c r="KSV19" s="64"/>
      <c r="KSW19" s="64"/>
      <c r="KSX19" s="64"/>
      <c r="KSY19" s="64"/>
      <c r="KSZ19" s="64"/>
      <c r="KTA19" s="64"/>
      <c r="KTB19" s="64"/>
      <c r="KTC19" s="64"/>
      <c r="KTD19" s="64"/>
      <c r="KTE19" s="64"/>
      <c r="KTF19" s="64"/>
      <c r="KTG19" s="64"/>
      <c r="KTH19" s="64"/>
      <c r="KTI19" s="64"/>
      <c r="KTJ19" s="64"/>
      <c r="KTK19" s="64"/>
      <c r="KTL19" s="64"/>
      <c r="KTM19" s="64"/>
      <c r="KTN19" s="64"/>
      <c r="KTO19" s="64"/>
      <c r="KTP19" s="64"/>
      <c r="KTQ19" s="64"/>
      <c r="KTR19" s="64"/>
      <c r="KTS19" s="64"/>
      <c r="KTT19" s="64"/>
      <c r="KTU19" s="64"/>
      <c r="KTV19" s="64"/>
      <c r="KTW19" s="64"/>
      <c r="KTX19" s="64"/>
      <c r="KTY19" s="64"/>
      <c r="KTZ19" s="64"/>
      <c r="KUA19" s="64"/>
      <c r="KUB19" s="64"/>
      <c r="KUC19" s="64"/>
      <c r="KUD19" s="64"/>
      <c r="KUE19" s="64"/>
      <c r="KUF19" s="64"/>
      <c r="KUG19" s="64"/>
      <c r="KUH19" s="64"/>
      <c r="KUI19" s="64"/>
      <c r="KUJ19" s="64"/>
      <c r="KUK19" s="64"/>
      <c r="KUL19" s="64"/>
      <c r="KUM19" s="64"/>
      <c r="KUN19" s="64"/>
      <c r="KUO19" s="64"/>
      <c r="KUP19" s="64"/>
      <c r="KUQ19" s="64"/>
      <c r="KUR19" s="64"/>
      <c r="KUS19" s="64"/>
      <c r="KUT19" s="64"/>
      <c r="KUU19" s="64"/>
      <c r="KUV19" s="64"/>
      <c r="KUW19" s="64"/>
      <c r="KUX19" s="64"/>
      <c r="KUY19" s="64"/>
      <c r="KUZ19" s="64"/>
      <c r="KVA19" s="64"/>
      <c r="KVB19" s="64"/>
      <c r="KVC19" s="64"/>
      <c r="KVD19" s="64"/>
      <c r="KVE19" s="64"/>
      <c r="KVF19" s="64"/>
      <c r="KVG19" s="64"/>
      <c r="KVH19" s="64"/>
      <c r="KVI19" s="64"/>
      <c r="KVJ19" s="64"/>
      <c r="KVK19" s="64"/>
      <c r="KVL19" s="64"/>
      <c r="KVM19" s="64"/>
      <c r="KVN19" s="64"/>
      <c r="KVO19" s="64"/>
      <c r="KVP19" s="64"/>
      <c r="KVQ19" s="64"/>
      <c r="KVR19" s="64"/>
      <c r="KVS19" s="64"/>
      <c r="KVT19" s="64"/>
      <c r="KVU19" s="64"/>
      <c r="KVV19" s="64"/>
      <c r="KVW19" s="64"/>
      <c r="KVX19" s="64"/>
      <c r="KVY19" s="64"/>
      <c r="KVZ19" s="64"/>
      <c r="KWA19" s="64"/>
      <c r="KWB19" s="64"/>
      <c r="KWC19" s="64"/>
      <c r="KWD19" s="64"/>
      <c r="KWE19" s="64"/>
      <c r="KWF19" s="64"/>
      <c r="KWG19" s="64"/>
      <c r="KWH19" s="64"/>
      <c r="KWI19" s="64"/>
      <c r="KWJ19" s="64"/>
      <c r="KWK19" s="64"/>
      <c r="KWL19" s="64"/>
      <c r="KWM19" s="64"/>
      <c r="KWN19" s="64"/>
      <c r="KWO19" s="64"/>
      <c r="KWP19" s="64"/>
      <c r="KWQ19" s="64"/>
      <c r="KWR19" s="64"/>
      <c r="KWS19" s="64"/>
      <c r="KWT19" s="64"/>
      <c r="KWU19" s="64"/>
      <c r="KWV19" s="64"/>
      <c r="KWW19" s="64"/>
      <c r="KWX19" s="64"/>
      <c r="KWY19" s="64"/>
      <c r="KWZ19" s="64"/>
      <c r="KXA19" s="64"/>
      <c r="KXB19" s="64"/>
      <c r="KXC19" s="64"/>
      <c r="KXD19" s="64"/>
      <c r="KXE19" s="64"/>
      <c r="KXF19" s="64"/>
      <c r="KXG19" s="64"/>
      <c r="KXH19" s="64"/>
      <c r="KXI19" s="64"/>
      <c r="KXJ19" s="64"/>
      <c r="KXK19" s="64"/>
      <c r="KXL19" s="64"/>
      <c r="KXM19" s="64"/>
      <c r="KXN19" s="64"/>
      <c r="KXO19" s="64"/>
      <c r="KXP19" s="64"/>
      <c r="KXQ19" s="64"/>
      <c r="KXR19" s="64"/>
      <c r="KXS19" s="64"/>
      <c r="KXT19" s="64"/>
      <c r="KXU19" s="64"/>
      <c r="KXV19" s="64"/>
      <c r="KXW19" s="64"/>
      <c r="KXX19" s="64"/>
      <c r="KXY19" s="64"/>
      <c r="KXZ19" s="64"/>
      <c r="KYA19" s="64"/>
      <c r="KYB19" s="64"/>
      <c r="KYC19" s="64"/>
      <c r="KYD19" s="64"/>
      <c r="KYE19" s="64"/>
      <c r="KYF19" s="64"/>
      <c r="KYG19" s="64"/>
      <c r="KYH19" s="64"/>
      <c r="KYI19" s="64"/>
      <c r="KYJ19" s="64"/>
      <c r="KYK19" s="64"/>
      <c r="KYL19" s="64"/>
      <c r="KYM19" s="64"/>
      <c r="KYN19" s="64"/>
      <c r="KYO19" s="64"/>
      <c r="KYP19" s="64"/>
      <c r="KYQ19" s="64"/>
      <c r="KYR19" s="64"/>
      <c r="KYS19" s="64"/>
      <c r="KYT19" s="64"/>
      <c r="KYU19" s="64"/>
      <c r="KYV19" s="64"/>
      <c r="KYW19" s="64"/>
      <c r="KYX19" s="64"/>
      <c r="KYY19" s="64"/>
      <c r="KYZ19" s="64"/>
      <c r="KZA19" s="64"/>
      <c r="KZB19" s="64"/>
      <c r="KZC19" s="64"/>
      <c r="KZD19" s="64"/>
      <c r="KZE19" s="64"/>
      <c r="KZF19" s="64"/>
      <c r="KZG19" s="64"/>
      <c r="KZH19" s="64"/>
      <c r="KZI19" s="64"/>
      <c r="KZJ19" s="64"/>
      <c r="KZK19" s="64"/>
      <c r="KZL19" s="64"/>
      <c r="KZM19" s="64"/>
      <c r="KZN19" s="64"/>
      <c r="KZO19" s="64"/>
      <c r="KZP19" s="64"/>
      <c r="KZQ19" s="64"/>
      <c r="KZR19" s="64"/>
      <c r="KZS19" s="64"/>
      <c r="KZT19" s="64"/>
      <c r="KZU19" s="64"/>
      <c r="KZV19" s="64"/>
      <c r="KZW19" s="64"/>
      <c r="KZX19" s="64"/>
      <c r="KZY19" s="64"/>
      <c r="KZZ19" s="64"/>
      <c r="LAA19" s="64"/>
      <c r="LAB19" s="64"/>
      <c r="LAC19" s="64"/>
      <c r="LAD19" s="64"/>
      <c r="LAE19" s="64"/>
      <c r="LAF19" s="64"/>
      <c r="LAG19" s="64"/>
      <c r="LAH19" s="64"/>
      <c r="LAI19" s="64"/>
      <c r="LAJ19" s="64"/>
      <c r="LAK19" s="64"/>
      <c r="LAL19" s="64"/>
      <c r="LAM19" s="64"/>
      <c r="LAN19" s="64"/>
      <c r="LAO19" s="64"/>
      <c r="LAP19" s="64"/>
      <c r="LAQ19" s="64"/>
      <c r="LAR19" s="64"/>
      <c r="LAS19" s="64"/>
      <c r="LAT19" s="64"/>
      <c r="LAU19" s="64"/>
      <c r="LAV19" s="64"/>
      <c r="LAW19" s="64"/>
      <c r="LAX19" s="64"/>
      <c r="LAY19" s="64"/>
      <c r="LAZ19" s="64"/>
      <c r="LBA19" s="64"/>
      <c r="LBB19" s="64"/>
      <c r="LBC19" s="64"/>
      <c r="LBD19" s="64"/>
      <c r="LBE19" s="64"/>
      <c r="LBF19" s="64"/>
      <c r="LBG19" s="64"/>
      <c r="LBH19" s="64"/>
      <c r="LBI19" s="64"/>
      <c r="LBJ19" s="64"/>
      <c r="LBK19" s="64"/>
      <c r="LBL19" s="64"/>
      <c r="LBM19" s="64"/>
      <c r="LBN19" s="64"/>
      <c r="LBO19" s="64"/>
      <c r="LBP19" s="64"/>
      <c r="LBQ19" s="64"/>
      <c r="LBR19" s="64"/>
      <c r="LBS19" s="64"/>
      <c r="LBT19" s="64"/>
      <c r="LBU19" s="64"/>
      <c r="LBV19" s="64"/>
      <c r="LBW19" s="64"/>
      <c r="LBX19" s="64"/>
      <c r="LBY19" s="64"/>
      <c r="LBZ19" s="64"/>
      <c r="LCA19" s="64"/>
      <c r="LCB19" s="64"/>
      <c r="LCC19" s="64"/>
      <c r="LCD19" s="64"/>
      <c r="LCE19" s="64"/>
      <c r="LCF19" s="64"/>
      <c r="LCG19" s="64"/>
      <c r="LCH19" s="64"/>
      <c r="LCI19" s="64"/>
      <c r="LCJ19" s="64"/>
      <c r="LCK19" s="64"/>
      <c r="LCL19" s="64"/>
      <c r="LCM19" s="64"/>
      <c r="LCN19" s="64"/>
      <c r="LCO19" s="64"/>
      <c r="LCP19" s="64"/>
      <c r="LCQ19" s="64"/>
      <c r="LCR19" s="64"/>
      <c r="LCS19" s="64"/>
      <c r="LCT19" s="64"/>
      <c r="LCU19" s="64"/>
      <c r="LCV19" s="64"/>
      <c r="LCW19" s="64"/>
      <c r="LCX19" s="64"/>
      <c r="LCY19" s="64"/>
      <c r="LCZ19" s="64"/>
      <c r="LDA19" s="64"/>
      <c r="LDB19" s="64"/>
      <c r="LDC19" s="64"/>
      <c r="LDD19" s="64"/>
      <c r="LDE19" s="64"/>
      <c r="LDF19" s="64"/>
      <c r="LDG19" s="64"/>
      <c r="LDH19" s="64"/>
      <c r="LDI19" s="64"/>
      <c r="LDJ19" s="64"/>
      <c r="LDK19" s="64"/>
      <c r="LDL19" s="64"/>
      <c r="LDM19" s="64"/>
      <c r="LDN19" s="64"/>
      <c r="LDO19" s="64"/>
      <c r="LDP19" s="64"/>
      <c r="LDQ19" s="64"/>
      <c r="LDR19" s="64"/>
      <c r="LDS19" s="64"/>
      <c r="LDT19" s="64"/>
      <c r="LDU19" s="64"/>
      <c r="LDV19" s="64"/>
      <c r="LDW19" s="64"/>
      <c r="LDX19" s="64"/>
      <c r="LDY19" s="64"/>
      <c r="LDZ19" s="64"/>
      <c r="LEA19" s="64"/>
      <c r="LEB19" s="64"/>
      <c r="LEC19" s="64"/>
      <c r="LED19" s="64"/>
      <c r="LEE19" s="64"/>
      <c r="LEF19" s="64"/>
      <c r="LEG19" s="64"/>
      <c r="LEH19" s="64"/>
      <c r="LEI19" s="64"/>
      <c r="LEJ19" s="64"/>
      <c r="LEK19" s="64"/>
      <c r="LEL19" s="64"/>
      <c r="LEM19" s="64"/>
      <c r="LEN19" s="64"/>
      <c r="LEO19" s="64"/>
      <c r="LEP19" s="64"/>
      <c r="LEQ19" s="64"/>
      <c r="LER19" s="64"/>
      <c r="LES19" s="64"/>
      <c r="LET19" s="64"/>
      <c r="LEU19" s="64"/>
      <c r="LEV19" s="64"/>
      <c r="LEW19" s="64"/>
      <c r="LEX19" s="64"/>
      <c r="LEY19" s="64"/>
      <c r="LEZ19" s="64"/>
      <c r="LFA19" s="64"/>
      <c r="LFB19" s="64"/>
      <c r="LFC19" s="64"/>
      <c r="LFD19" s="64"/>
      <c r="LFE19" s="64"/>
      <c r="LFF19" s="64"/>
      <c r="LFG19" s="64"/>
      <c r="LFH19" s="64"/>
      <c r="LFI19" s="64"/>
      <c r="LFJ19" s="64"/>
      <c r="LFK19" s="64"/>
      <c r="LFL19" s="64"/>
      <c r="LFM19" s="64"/>
      <c r="LFN19" s="64"/>
      <c r="LFO19" s="64"/>
      <c r="LFP19" s="64"/>
      <c r="LFQ19" s="64"/>
      <c r="LFR19" s="64"/>
      <c r="LFS19" s="64"/>
      <c r="LFT19" s="64"/>
      <c r="LFU19" s="64"/>
      <c r="LFV19" s="64"/>
      <c r="LFW19" s="64"/>
      <c r="LFX19" s="64"/>
      <c r="LFY19" s="64"/>
      <c r="LFZ19" s="64"/>
      <c r="LGA19" s="64"/>
      <c r="LGB19" s="64"/>
      <c r="LGC19" s="64"/>
      <c r="LGD19" s="64"/>
      <c r="LGE19" s="64"/>
      <c r="LGF19" s="64"/>
      <c r="LGG19" s="64"/>
      <c r="LGH19" s="64"/>
      <c r="LGI19" s="64"/>
      <c r="LGJ19" s="64"/>
      <c r="LGK19" s="64"/>
      <c r="LGL19" s="64"/>
      <c r="LGM19" s="64"/>
      <c r="LGN19" s="64"/>
      <c r="LGO19" s="64"/>
      <c r="LGP19" s="64"/>
      <c r="LGQ19" s="64"/>
      <c r="LGR19" s="64"/>
      <c r="LGS19" s="64"/>
      <c r="LGT19" s="64"/>
      <c r="LGU19" s="64"/>
      <c r="LGV19" s="64"/>
      <c r="LGW19" s="64"/>
      <c r="LGX19" s="64"/>
      <c r="LGY19" s="64"/>
      <c r="LGZ19" s="64"/>
      <c r="LHA19" s="64"/>
      <c r="LHB19" s="64"/>
      <c r="LHC19" s="64"/>
      <c r="LHD19" s="64"/>
      <c r="LHE19" s="64"/>
      <c r="LHF19" s="64"/>
      <c r="LHG19" s="64"/>
      <c r="LHH19" s="64"/>
      <c r="LHI19" s="64"/>
      <c r="LHJ19" s="64"/>
      <c r="LHK19" s="64"/>
      <c r="LHL19" s="64"/>
      <c r="LHM19" s="64"/>
      <c r="LHN19" s="64"/>
      <c r="LHO19" s="64"/>
      <c r="LHP19" s="64"/>
      <c r="LHQ19" s="64"/>
      <c r="LHR19" s="64"/>
      <c r="LHS19" s="64"/>
      <c r="LHT19" s="64"/>
      <c r="LHU19" s="64"/>
      <c r="LHV19" s="64"/>
      <c r="LHW19" s="64"/>
      <c r="LHX19" s="64"/>
      <c r="LHY19" s="64"/>
      <c r="LHZ19" s="64"/>
      <c r="LIA19" s="64"/>
      <c r="LIB19" s="64"/>
      <c r="LIC19" s="64"/>
      <c r="LID19" s="64"/>
      <c r="LIE19" s="64"/>
      <c r="LIF19" s="64"/>
      <c r="LIG19" s="64"/>
      <c r="LIH19" s="64"/>
      <c r="LII19" s="64"/>
      <c r="LIJ19" s="64"/>
      <c r="LIK19" s="64"/>
      <c r="LIL19" s="64"/>
      <c r="LIM19" s="64"/>
      <c r="LIN19" s="64"/>
      <c r="LIO19" s="64"/>
      <c r="LIP19" s="64"/>
      <c r="LIQ19" s="64"/>
      <c r="LIR19" s="64"/>
      <c r="LIS19" s="64"/>
      <c r="LIT19" s="64"/>
      <c r="LIU19" s="64"/>
      <c r="LIV19" s="64"/>
      <c r="LIW19" s="64"/>
      <c r="LIX19" s="64"/>
      <c r="LIY19" s="64"/>
      <c r="LIZ19" s="64"/>
      <c r="LJA19" s="64"/>
      <c r="LJB19" s="64"/>
      <c r="LJC19" s="64"/>
      <c r="LJD19" s="64"/>
      <c r="LJE19" s="64"/>
      <c r="LJF19" s="64"/>
      <c r="LJG19" s="64"/>
      <c r="LJH19" s="64"/>
      <c r="LJI19" s="64"/>
      <c r="LJJ19" s="64"/>
      <c r="LJK19" s="64"/>
      <c r="LJL19" s="64"/>
      <c r="LJM19" s="64"/>
      <c r="LJN19" s="64"/>
      <c r="LJO19" s="64"/>
      <c r="LJP19" s="64"/>
      <c r="LJQ19" s="64"/>
      <c r="LJR19" s="64"/>
      <c r="LJS19" s="64"/>
      <c r="LJT19" s="64"/>
      <c r="LJU19" s="64"/>
      <c r="LJV19" s="64"/>
      <c r="LJW19" s="64"/>
      <c r="LJX19" s="64"/>
      <c r="LJY19" s="64"/>
      <c r="LJZ19" s="64"/>
      <c r="LKA19" s="64"/>
      <c r="LKB19" s="64"/>
      <c r="LKC19" s="64"/>
      <c r="LKD19" s="64"/>
      <c r="LKE19" s="64"/>
      <c r="LKF19" s="64"/>
      <c r="LKG19" s="64"/>
      <c r="LKH19" s="64"/>
      <c r="LKI19" s="64"/>
      <c r="LKJ19" s="64"/>
      <c r="LKK19" s="64"/>
      <c r="LKL19" s="64"/>
      <c r="LKM19" s="64"/>
      <c r="LKN19" s="64"/>
      <c r="LKO19" s="64"/>
      <c r="LKP19" s="64"/>
      <c r="LKQ19" s="64"/>
      <c r="LKR19" s="64"/>
      <c r="LKS19" s="64"/>
      <c r="LKT19" s="64"/>
      <c r="LKU19" s="64"/>
      <c r="LKV19" s="64"/>
      <c r="LKW19" s="64"/>
      <c r="LKX19" s="64"/>
      <c r="LKY19" s="64"/>
      <c r="LKZ19" s="64"/>
      <c r="LLA19" s="64"/>
      <c r="LLB19" s="64"/>
      <c r="LLC19" s="64"/>
      <c r="LLD19" s="64"/>
      <c r="LLE19" s="64"/>
      <c r="LLF19" s="64"/>
      <c r="LLG19" s="64"/>
      <c r="LLH19" s="64"/>
      <c r="LLI19" s="64"/>
      <c r="LLJ19" s="64"/>
      <c r="LLK19" s="64"/>
      <c r="LLL19" s="64"/>
      <c r="LLM19" s="64"/>
      <c r="LLN19" s="64"/>
      <c r="LLO19" s="64"/>
      <c r="LLP19" s="64"/>
      <c r="LLQ19" s="64"/>
      <c r="LLR19" s="64"/>
      <c r="LLS19" s="64"/>
      <c r="LLT19" s="64"/>
      <c r="LLU19" s="64"/>
      <c r="LLV19" s="64"/>
      <c r="LLW19" s="64"/>
      <c r="LLX19" s="64"/>
      <c r="LLY19" s="64"/>
      <c r="LLZ19" s="64"/>
      <c r="LMA19" s="64"/>
      <c r="LMB19" s="64"/>
      <c r="LMC19" s="64"/>
      <c r="LMD19" s="64"/>
      <c r="LME19" s="64"/>
      <c r="LMF19" s="64"/>
      <c r="LMG19" s="64"/>
      <c r="LMH19" s="64"/>
      <c r="LMI19" s="64"/>
      <c r="LMJ19" s="64"/>
      <c r="LMK19" s="64"/>
      <c r="LML19" s="64"/>
      <c r="LMM19" s="64"/>
      <c r="LMN19" s="64"/>
      <c r="LMO19" s="64"/>
      <c r="LMP19" s="64"/>
      <c r="LMQ19" s="64"/>
      <c r="LMR19" s="64"/>
      <c r="LMS19" s="64"/>
      <c r="LMT19" s="64"/>
      <c r="LMU19" s="64"/>
      <c r="LMV19" s="64"/>
      <c r="LMW19" s="64"/>
      <c r="LMX19" s="64"/>
      <c r="LMY19" s="64"/>
      <c r="LMZ19" s="64"/>
      <c r="LNA19" s="64"/>
      <c r="LNB19" s="64"/>
      <c r="LNC19" s="64"/>
      <c r="LND19" s="64"/>
      <c r="LNE19" s="64"/>
      <c r="LNF19" s="64"/>
      <c r="LNG19" s="64"/>
      <c r="LNH19" s="64"/>
      <c r="LNI19" s="64"/>
      <c r="LNJ19" s="64"/>
      <c r="LNK19" s="64"/>
      <c r="LNL19" s="64"/>
      <c r="LNM19" s="64"/>
      <c r="LNN19" s="64"/>
      <c r="LNO19" s="64"/>
      <c r="LNP19" s="64"/>
      <c r="LNQ19" s="64"/>
      <c r="LNR19" s="64"/>
      <c r="LNS19" s="64"/>
      <c r="LNT19" s="64"/>
      <c r="LNU19" s="64"/>
      <c r="LNV19" s="64"/>
      <c r="LNW19" s="64"/>
      <c r="LNX19" s="64"/>
      <c r="LNY19" s="64"/>
      <c r="LNZ19" s="64"/>
      <c r="LOA19" s="64"/>
      <c r="LOB19" s="64"/>
      <c r="LOC19" s="64"/>
      <c r="LOD19" s="64"/>
      <c r="LOE19" s="64"/>
      <c r="LOF19" s="64"/>
      <c r="LOG19" s="64"/>
      <c r="LOH19" s="64"/>
      <c r="LOI19" s="64"/>
      <c r="LOJ19" s="64"/>
      <c r="LOK19" s="64"/>
      <c r="LOL19" s="64"/>
      <c r="LOM19" s="64"/>
      <c r="LON19" s="64"/>
      <c r="LOO19" s="64"/>
      <c r="LOP19" s="64"/>
      <c r="LOQ19" s="64"/>
      <c r="LOR19" s="64"/>
      <c r="LOS19" s="64"/>
      <c r="LOT19" s="64"/>
      <c r="LOU19" s="64"/>
      <c r="LOV19" s="64"/>
      <c r="LOW19" s="64"/>
      <c r="LOX19" s="64"/>
      <c r="LOY19" s="64"/>
      <c r="LOZ19" s="64"/>
      <c r="LPA19" s="64"/>
      <c r="LPB19" s="64"/>
      <c r="LPC19" s="64"/>
      <c r="LPD19" s="64"/>
      <c r="LPE19" s="64"/>
      <c r="LPF19" s="64"/>
      <c r="LPG19" s="64"/>
      <c r="LPH19" s="64"/>
      <c r="LPI19" s="64"/>
      <c r="LPJ19" s="64"/>
      <c r="LPK19" s="64"/>
      <c r="LPL19" s="64"/>
      <c r="LPM19" s="64"/>
      <c r="LPN19" s="64"/>
      <c r="LPO19" s="64"/>
      <c r="LPP19" s="64"/>
      <c r="LPQ19" s="64"/>
      <c r="LPR19" s="64"/>
      <c r="LPS19" s="64"/>
      <c r="LPT19" s="64"/>
      <c r="LPU19" s="64"/>
      <c r="LPV19" s="64"/>
      <c r="LPW19" s="64"/>
      <c r="LPX19" s="64"/>
      <c r="LPY19" s="64"/>
      <c r="LPZ19" s="64"/>
      <c r="LQA19" s="64"/>
      <c r="LQB19" s="64"/>
      <c r="LQC19" s="64"/>
      <c r="LQD19" s="64"/>
      <c r="LQE19" s="64"/>
      <c r="LQF19" s="64"/>
      <c r="LQG19" s="64"/>
      <c r="LQH19" s="64"/>
      <c r="LQI19" s="64"/>
      <c r="LQJ19" s="64"/>
      <c r="LQK19" s="64"/>
      <c r="LQL19" s="64"/>
      <c r="LQM19" s="64"/>
      <c r="LQN19" s="64"/>
      <c r="LQO19" s="64"/>
      <c r="LQP19" s="64"/>
      <c r="LQQ19" s="64"/>
      <c r="LQR19" s="64"/>
      <c r="LQS19" s="64"/>
      <c r="LQT19" s="64"/>
      <c r="LQU19" s="64"/>
      <c r="LQV19" s="64"/>
      <c r="LQW19" s="64"/>
      <c r="LQX19" s="64"/>
      <c r="LQY19" s="64"/>
      <c r="LQZ19" s="64"/>
      <c r="LRA19" s="64"/>
      <c r="LRB19" s="64"/>
      <c r="LRC19" s="64"/>
      <c r="LRD19" s="64"/>
      <c r="LRE19" s="64"/>
      <c r="LRF19" s="64"/>
      <c r="LRG19" s="64"/>
      <c r="LRH19" s="64"/>
      <c r="LRI19" s="64"/>
      <c r="LRJ19" s="64"/>
      <c r="LRK19" s="64"/>
      <c r="LRL19" s="64"/>
      <c r="LRM19" s="64"/>
      <c r="LRN19" s="64"/>
      <c r="LRO19" s="64"/>
      <c r="LRP19" s="64"/>
      <c r="LRQ19" s="64"/>
      <c r="LRR19" s="64"/>
      <c r="LRS19" s="64"/>
      <c r="LRT19" s="64"/>
      <c r="LRU19" s="64"/>
      <c r="LRV19" s="64"/>
      <c r="LRW19" s="64"/>
      <c r="LRX19" s="64"/>
      <c r="LRY19" s="64"/>
      <c r="LRZ19" s="64"/>
      <c r="LSA19" s="64"/>
      <c r="LSB19" s="64"/>
      <c r="LSC19" s="64"/>
      <c r="LSD19" s="64"/>
      <c r="LSE19" s="64"/>
      <c r="LSF19" s="64"/>
      <c r="LSG19" s="64"/>
      <c r="LSH19" s="64"/>
      <c r="LSI19" s="64"/>
      <c r="LSJ19" s="64"/>
      <c r="LSK19" s="64"/>
      <c r="LSL19" s="64"/>
      <c r="LSM19" s="64"/>
      <c r="LSN19" s="64"/>
      <c r="LSO19" s="64"/>
      <c r="LSP19" s="64"/>
      <c r="LSQ19" s="64"/>
      <c r="LSR19" s="64"/>
      <c r="LSS19" s="64"/>
      <c r="LST19" s="64"/>
      <c r="LSU19" s="64"/>
      <c r="LSV19" s="64"/>
      <c r="LSW19" s="64"/>
      <c r="LSX19" s="64"/>
      <c r="LSY19" s="64"/>
      <c r="LSZ19" s="64"/>
      <c r="LTA19" s="64"/>
      <c r="LTB19" s="64"/>
      <c r="LTC19" s="64"/>
      <c r="LTD19" s="64"/>
      <c r="LTE19" s="64"/>
      <c r="LTF19" s="64"/>
      <c r="LTG19" s="64"/>
      <c r="LTH19" s="64"/>
      <c r="LTI19" s="64"/>
      <c r="LTJ19" s="64"/>
      <c r="LTK19" s="64"/>
      <c r="LTL19" s="64"/>
      <c r="LTM19" s="64"/>
      <c r="LTN19" s="64"/>
      <c r="LTO19" s="64"/>
      <c r="LTP19" s="64"/>
      <c r="LTQ19" s="64"/>
      <c r="LTR19" s="64"/>
      <c r="LTS19" s="64"/>
      <c r="LTT19" s="64"/>
      <c r="LTU19" s="64"/>
      <c r="LTV19" s="64"/>
      <c r="LTW19" s="64"/>
      <c r="LTX19" s="64"/>
      <c r="LTY19" s="64"/>
      <c r="LTZ19" s="64"/>
      <c r="LUA19" s="64"/>
      <c r="LUB19" s="64"/>
      <c r="LUC19" s="64"/>
      <c r="LUD19" s="64"/>
      <c r="LUE19" s="64"/>
      <c r="LUF19" s="64"/>
      <c r="LUG19" s="64"/>
      <c r="LUH19" s="64"/>
      <c r="LUI19" s="64"/>
      <c r="LUJ19" s="64"/>
      <c r="LUK19" s="64"/>
      <c r="LUL19" s="64"/>
      <c r="LUM19" s="64"/>
      <c r="LUN19" s="64"/>
      <c r="LUO19" s="64"/>
      <c r="LUP19" s="64"/>
      <c r="LUQ19" s="64"/>
      <c r="LUR19" s="64"/>
      <c r="LUS19" s="64"/>
      <c r="LUT19" s="64"/>
      <c r="LUU19" s="64"/>
      <c r="LUV19" s="64"/>
      <c r="LUW19" s="64"/>
      <c r="LUX19" s="64"/>
      <c r="LUY19" s="64"/>
      <c r="LUZ19" s="64"/>
      <c r="LVA19" s="64"/>
      <c r="LVB19" s="64"/>
      <c r="LVC19" s="64"/>
      <c r="LVD19" s="64"/>
      <c r="LVE19" s="64"/>
      <c r="LVF19" s="64"/>
      <c r="LVG19" s="64"/>
      <c r="LVH19" s="64"/>
      <c r="LVI19" s="64"/>
      <c r="LVJ19" s="64"/>
      <c r="LVK19" s="64"/>
      <c r="LVL19" s="64"/>
      <c r="LVM19" s="64"/>
      <c r="LVN19" s="64"/>
      <c r="LVO19" s="64"/>
      <c r="LVP19" s="64"/>
      <c r="LVQ19" s="64"/>
      <c r="LVR19" s="64"/>
      <c r="LVS19" s="64"/>
      <c r="LVT19" s="64"/>
      <c r="LVU19" s="64"/>
      <c r="LVV19" s="64"/>
      <c r="LVW19" s="64"/>
      <c r="LVX19" s="64"/>
      <c r="LVY19" s="64"/>
      <c r="LVZ19" s="64"/>
      <c r="LWA19" s="64"/>
      <c r="LWB19" s="64"/>
      <c r="LWC19" s="64"/>
      <c r="LWD19" s="64"/>
      <c r="LWE19" s="64"/>
      <c r="LWF19" s="64"/>
      <c r="LWG19" s="64"/>
      <c r="LWH19" s="64"/>
      <c r="LWI19" s="64"/>
      <c r="LWJ19" s="64"/>
      <c r="LWK19" s="64"/>
      <c r="LWL19" s="64"/>
      <c r="LWM19" s="64"/>
      <c r="LWN19" s="64"/>
      <c r="LWO19" s="64"/>
      <c r="LWP19" s="64"/>
      <c r="LWQ19" s="64"/>
      <c r="LWR19" s="64"/>
      <c r="LWS19" s="64"/>
      <c r="LWT19" s="64"/>
      <c r="LWU19" s="64"/>
      <c r="LWV19" s="64"/>
      <c r="LWW19" s="64"/>
      <c r="LWX19" s="64"/>
      <c r="LWY19" s="64"/>
      <c r="LWZ19" s="64"/>
      <c r="LXA19" s="64"/>
      <c r="LXB19" s="64"/>
      <c r="LXC19" s="64"/>
      <c r="LXD19" s="64"/>
      <c r="LXE19" s="64"/>
      <c r="LXF19" s="64"/>
      <c r="LXG19" s="64"/>
      <c r="LXH19" s="64"/>
      <c r="LXI19" s="64"/>
      <c r="LXJ19" s="64"/>
      <c r="LXK19" s="64"/>
      <c r="LXL19" s="64"/>
      <c r="LXM19" s="64"/>
      <c r="LXN19" s="64"/>
      <c r="LXO19" s="64"/>
      <c r="LXP19" s="64"/>
      <c r="LXQ19" s="64"/>
      <c r="LXR19" s="64"/>
      <c r="LXS19" s="64"/>
      <c r="LXT19" s="64"/>
      <c r="LXU19" s="64"/>
      <c r="LXV19" s="64"/>
      <c r="LXW19" s="64"/>
      <c r="LXX19" s="64"/>
      <c r="LXY19" s="64"/>
      <c r="LXZ19" s="64"/>
      <c r="LYA19" s="64"/>
      <c r="LYB19" s="64"/>
      <c r="LYC19" s="64"/>
      <c r="LYD19" s="64"/>
      <c r="LYE19" s="64"/>
      <c r="LYF19" s="64"/>
      <c r="LYG19" s="64"/>
      <c r="LYH19" s="64"/>
      <c r="LYI19" s="64"/>
      <c r="LYJ19" s="64"/>
      <c r="LYK19" s="64"/>
      <c r="LYL19" s="64"/>
      <c r="LYM19" s="64"/>
      <c r="LYN19" s="64"/>
      <c r="LYO19" s="64"/>
      <c r="LYP19" s="64"/>
      <c r="LYQ19" s="64"/>
      <c r="LYR19" s="64"/>
      <c r="LYS19" s="64"/>
      <c r="LYT19" s="64"/>
      <c r="LYU19" s="64"/>
      <c r="LYV19" s="64"/>
      <c r="LYW19" s="64"/>
      <c r="LYX19" s="64"/>
      <c r="LYY19" s="64"/>
      <c r="LYZ19" s="64"/>
      <c r="LZA19" s="64"/>
      <c r="LZB19" s="64"/>
      <c r="LZC19" s="64"/>
      <c r="LZD19" s="64"/>
      <c r="LZE19" s="64"/>
      <c r="LZF19" s="64"/>
      <c r="LZG19" s="64"/>
      <c r="LZH19" s="64"/>
      <c r="LZI19" s="64"/>
      <c r="LZJ19" s="64"/>
      <c r="LZK19" s="64"/>
      <c r="LZL19" s="64"/>
      <c r="LZM19" s="64"/>
      <c r="LZN19" s="64"/>
      <c r="LZO19" s="64"/>
      <c r="LZP19" s="64"/>
      <c r="LZQ19" s="64"/>
      <c r="LZR19" s="64"/>
      <c r="LZS19" s="64"/>
      <c r="LZT19" s="64"/>
      <c r="LZU19" s="64"/>
      <c r="LZV19" s="64"/>
      <c r="LZW19" s="64"/>
      <c r="LZX19" s="64"/>
      <c r="LZY19" s="64"/>
      <c r="LZZ19" s="64"/>
      <c r="MAA19" s="64"/>
      <c r="MAB19" s="64"/>
      <c r="MAC19" s="64"/>
      <c r="MAD19" s="64"/>
      <c r="MAE19" s="64"/>
      <c r="MAF19" s="64"/>
      <c r="MAG19" s="64"/>
      <c r="MAH19" s="64"/>
      <c r="MAI19" s="64"/>
      <c r="MAJ19" s="64"/>
      <c r="MAK19" s="64"/>
      <c r="MAL19" s="64"/>
      <c r="MAM19" s="64"/>
      <c r="MAN19" s="64"/>
      <c r="MAO19" s="64"/>
      <c r="MAP19" s="64"/>
      <c r="MAQ19" s="64"/>
      <c r="MAR19" s="64"/>
      <c r="MAS19" s="64"/>
      <c r="MAT19" s="64"/>
      <c r="MAU19" s="64"/>
      <c r="MAV19" s="64"/>
      <c r="MAW19" s="64"/>
      <c r="MAX19" s="64"/>
      <c r="MAY19" s="64"/>
      <c r="MAZ19" s="64"/>
      <c r="MBA19" s="64"/>
      <c r="MBB19" s="64"/>
      <c r="MBC19" s="64"/>
      <c r="MBD19" s="64"/>
      <c r="MBE19" s="64"/>
      <c r="MBF19" s="64"/>
      <c r="MBG19" s="64"/>
      <c r="MBH19" s="64"/>
      <c r="MBI19" s="64"/>
      <c r="MBJ19" s="64"/>
      <c r="MBK19" s="64"/>
      <c r="MBL19" s="64"/>
      <c r="MBM19" s="64"/>
      <c r="MBN19" s="64"/>
      <c r="MBO19" s="64"/>
      <c r="MBP19" s="64"/>
      <c r="MBQ19" s="64"/>
      <c r="MBR19" s="64"/>
      <c r="MBS19" s="64"/>
      <c r="MBT19" s="64"/>
      <c r="MBU19" s="64"/>
      <c r="MBV19" s="64"/>
      <c r="MBW19" s="64"/>
      <c r="MBX19" s="64"/>
      <c r="MBY19" s="64"/>
      <c r="MBZ19" s="64"/>
      <c r="MCA19" s="64"/>
      <c r="MCB19" s="64"/>
      <c r="MCC19" s="64"/>
      <c r="MCD19" s="64"/>
      <c r="MCE19" s="64"/>
      <c r="MCF19" s="64"/>
      <c r="MCG19" s="64"/>
      <c r="MCH19" s="64"/>
      <c r="MCI19" s="64"/>
      <c r="MCJ19" s="64"/>
      <c r="MCK19" s="64"/>
      <c r="MCL19" s="64"/>
      <c r="MCM19" s="64"/>
      <c r="MCN19" s="64"/>
      <c r="MCO19" s="64"/>
      <c r="MCP19" s="64"/>
      <c r="MCQ19" s="64"/>
      <c r="MCR19" s="64"/>
      <c r="MCS19" s="64"/>
      <c r="MCT19" s="64"/>
      <c r="MCU19" s="64"/>
      <c r="MCV19" s="64"/>
      <c r="MCW19" s="64"/>
      <c r="MCX19" s="64"/>
      <c r="MCY19" s="64"/>
      <c r="MCZ19" s="64"/>
      <c r="MDA19" s="64"/>
      <c r="MDB19" s="64"/>
      <c r="MDC19" s="64"/>
      <c r="MDD19" s="64"/>
      <c r="MDE19" s="64"/>
      <c r="MDF19" s="64"/>
      <c r="MDG19" s="64"/>
      <c r="MDH19" s="64"/>
      <c r="MDI19" s="64"/>
      <c r="MDJ19" s="64"/>
      <c r="MDK19" s="64"/>
      <c r="MDL19" s="64"/>
      <c r="MDM19" s="64"/>
      <c r="MDN19" s="64"/>
      <c r="MDO19" s="64"/>
      <c r="MDP19" s="64"/>
      <c r="MDQ19" s="64"/>
      <c r="MDR19" s="64"/>
      <c r="MDS19" s="64"/>
      <c r="MDT19" s="64"/>
      <c r="MDU19" s="64"/>
      <c r="MDV19" s="64"/>
      <c r="MDW19" s="64"/>
      <c r="MDX19" s="64"/>
      <c r="MDY19" s="64"/>
      <c r="MDZ19" s="64"/>
      <c r="MEA19" s="64"/>
      <c r="MEB19" s="64"/>
      <c r="MEC19" s="64"/>
      <c r="MED19" s="64"/>
      <c r="MEE19" s="64"/>
      <c r="MEF19" s="64"/>
      <c r="MEG19" s="64"/>
      <c r="MEH19" s="64"/>
      <c r="MEI19" s="64"/>
      <c r="MEJ19" s="64"/>
      <c r="MEK19" s="64"/>
      <c r="MEL19" s="64"/>
      <c r="MEM19" s="64"/>
      <c r="MEN19" s="64"/>
      <c r="MEO19" s="64"/>
      <c r="MEP19" s="64"/>
      <c r="MEQ19" s="64"/>
      <c r="MER19" s="64"/>
      <c r="MES19" s="64"/>
      <c r="MET19" s="64"/>
      <c r="MEU19" s="64"/>
      <c r="MEV19" s="64"/>
      <c r="MEW19" s="64"/>
      <c r="MEX19" s="64"/>
      <c r="MEY19" s="64"/>
      <c r="MEZ19" s="64"/>
      <c r="MFA19" s="64"/>
      <c r="MFB19" s="64"/>
      <c r="MFC19" s="64"/>
      <c r="MFD19" s="64"/>
      <c r="MFE19" s="64"/>
      <c r="MFF19" s="64"/>
      <c r="MFG19" s="64"/>
      <c r="MFH19" s="64"/>
      <c r="MFI19" s="64"/>
      <c r="MFJ19" s="64"/>
      <c r="MFK19" s="64"/>
      <c r="MFL19" s="64"/>
      <c r="MFM19" s="64"/>
      <c r="MFN19" s="64"/>
      <c r="MFO19" s="64"/>
      <c r="MFP19" s="64"/>
      <c r="MFQ19" s="64"/>
      <c r="MFR19" s="64"/>
      <c r="MFS19" s="64"/>
      <c r="MFT19" s="64"/>
      <c r="MFU19" s="64"/>
      <c r="MFV19" s="64"/>
      <c r="MFW19" s="64"/>
      <c r="MFX19" s="64"/>
      <c r="MFY19" s="64"/>
      <c r="MFZ19" s="64"/>
      <c r="MGA19" s="64"/>
      <c r="MGB19" s="64"/>
      <c r="MGC19" s="64"/>
      <c r="MGD19" s="64"/>
      <c r="MGE19" s="64"/>
      <c r="MGF19" s="64"/>
      <c r="MGG19" s="64"/>
      <c r="MGH19" s="64"/>
      <c r="MGI19" s="64"/>
      <c r="MGJ19" s="64"/>
      <c r="MGK19" s="64"/>
      <c r="MGL19" s="64"/>
      <c r="MGM19" s="64"/>
      <c r="MGN19" s="64"/>
      <c r="MGO19" s="64"/>
      <c r="MGP19" s="64"/>
      <c r="MGQ19" s="64"/>
      <c r="MGR19" s="64"/>
      <c r="MGS19" s="64"/>
      <c r="MGT19" s="64"/>
      <c r="MGU19" s="64"/>
      <c r="MGV19" s="64"/>
      <c r="MGW19" s="64"/>
      <c r="MGX19" s="64"/>
      <c r="MGY19" s="64"/>
      <c r="MGZ19" s="64"/>
      <c r="MHA19" s="64"/>
      <c r="MHB19" s="64"/>
      <c r="MHC19" s="64"/>
      <c r="MHD19" s="64"/>
      <c r="MHE19" s="64"/>
      <c r="MHF19" s="64"/>
      <c r="MHG19" s="64"/>
      <c r="MHH19" s="64"/>
      <c r="MHI19" s="64"/>
      <c r="MHJ19" s="64"/>
      <c r="MHK19" s="64"/>
      <c r="MHL19" s="64"/>
      <c r="MHM19" s="64"/>
      <c r="MHN19" s="64"/>
      <c r="MHO19" s="64"/>
      <c r="MHP19" s="64"/>
      <c r="MHQ19" s="64"/>
      <c r="MHR19" s="64"/>
      <c r="MHS19" s="64"/>
      <c r="MHT19" s="64"/>
      <c r="MHU19" s="64"/>
      <c r="MHV19" s="64"/>
      <c r="MHW19" s="64"/>
      <c r="MHX19" s="64"/>
      <c r="MHY19" s="64"/>
      <c r="MHZ19" s="64"/>
      <c r="MIA19" s="64"/>
      <c r="MIB19" s="64"/>
      <c r="MIC19" s="64"/>
      <c r="MID19" s="64"/>
      <c r="MIE19" s="64"/>
      <c r="MIF19" s="64"/>
      <c r="MIG19" s="64"/>
      <c r="MIH19" s="64"/>
      <c r="MII19" s="64"/>
      <c r="MIJ19" s="64"/>
      <c r="MIK19" s="64"/>
      <c r="MIL19" s="64"/>
      <c r="MIM19" s="64"/>
      <c r="MIN19" s="64"/>
      <c r="MIO19" s="64"/>
      <c r="MIP19" s="64"/>
      <c r="MIQ19" s="64"/>
      <c r="MIR19" s="64"/>
      <c r="MIS19" s="64"/>
      <c r="MIT19" s="64"/>
      <c r="MIU19" s="64"/>
      <c r="MIV19" s="64"/>
      <c r="MIW19" s="64"/>
      <c r="MIX19" s="64"/>
      <c r="MIY19" s="64"/>
      <c r="MIZ19" s="64"/>
      <c r="MJA19" s="64"/>
      <c r="MJB19" s="64"/>
      <c r="MJC19" s="64"/>
      <c r="MJD19" s="64"/>
      <c r="MJE19" s="64"/>
      <c r="MJF19" s="64"/>
      <c r="MJG19" s="64"/>
      <c r="MJH19" s="64"/>
      <c r="MJI19" s="64"/>
      <c r="MJJ19" s="64"/>
      <c r="MJK19" s="64"/>
      <c r="MJL19" s="64"/>
      <c r="MJM19" s="64"/>
      <c r="MJN19" s="64"/>
      <c r="MJO19" s="64"/>
      <c r="MJP19" s="64"/>
      <c r="MJQ19" s="64"/>
      <c r="MJR19" s="64"/>
      <c r="MJS19" s="64"/>
      <c r="MJT19" s="64"/>
      <c r="MJU19" s="64"/>
      <c r="MJV19" s="64"/>
      <c r="MJW19" s="64"/>
      <c r="MJX19" s="64"/>
      <c r="MJY19" s="64"/>
      <c r="MJZ19" s="64"/>
      <c r="MKA19" s="64"/>
      <c r="MKB19" s="64"/>
      <c r="MKC19" s="64"/>
      <c r="MKD19" s="64"/>
      <c r="MKE19" s="64"/>
      <c r="MKF19" s="64"/>
      <c r="MKG19" s="64"/>
      <c r="MKH19" s="64"/>
      <c r="MKI19" s="64"/>
      <c r="MKJ19" s="64"/>
      <c r="MKK19" s="64"/>
      <c r="MKL19" s="64"/>
      <c r="MKM19" s="64"/>
      <c r="MKN19" s="64"/>
      <c r="MKO19" s="64"/>
      <c r="MKP19" s="64"/>
      <c r="MKQ19" s="64"/>
      <c r="MKR19" s="64"/>
      <c r="MKS19" s="64"/>
      <c r="MKT19" s="64"/>
      <c r="MKU19" s="64"/>
      <c r="MKV19" s="64"/>
      <c r="MKW19" s="64"/>
      <c r="MKX19" s="64"/>
      <c r="MKY19" s="64"/>
      <c r="MKZ19" s="64"/>
      <c r="MLA19" s="64"/>
      <c r="MLB19" s="64"/>
      <c r="MLC19" s="64"/>
      <c r="MLD19" s="64"/>
      <c r="MLE19" s="64"/>
      <c r="MLF19" s="64"/>
      <c r="MLG19" s="64"/>
      <c r="MLH19" s="64"/>
      <c r="MLI19" s="64"/>
      <c r="MLJ19" s="64"/>
      <c r="MLK19" s="64"/>
      <c r="MLL19" s="64"/>
      <c r="MLM19" s="64"/>
      <c r="MLN19" s="64"/>
      <c r="MLO19" s="64"/>
      <c r="MLP19" s="64"/>
      <c r="MLQ19" s="64"/>
      <c r="MLR19" s="64"/>
      <c r="MLS19" s="64"/>
      <c r="MLT19" s="64"/>
      <c r="MLU19" s="64"/>
      <c r="MLV19" s="64"/>
      <c r="MLW19" s="64"/>
      <c r="MLX19" s="64"/>
      <c r="MLY19" s="64"/>
      <c r="MLZ19" s="64"/>
      <c r="MMA19" s="64"/>
      <c r="MMB19" s="64"/>
      <c r="MMC19" s="64"/>
      <c r="MMD19" s="64"/>
      <c r="MME19" s="64"/>
      <c r="MMF19" s="64"/>
      <c r="MMG19" s="64"/>
      <c r="MMH19" s="64"/>
      <c r="MMI19" s="64"/>
      <c r="MMJ19" s="64"/>
      <c r="MMK19" s="64"/>
      <c r="MML19" s="64"/>
      <c r="MMM19" s="64"/>
      <c r="MMN19" s="64"/>
      <c r="MMO19" s="64"/>
      <c r="MMP19" s="64"/>
      <c r="MMQ19" s="64"/>
      <c r="MMR19" s="64"/>
      <c r="MMS19" s="64"/>
      <c r="MMT19" s="64"/>
      <c r="MMU19" s="64"/>
      <c r="MMV19" s="64"/>
      <c r="MMW19" s="64"/>
      <c r="MMX19" s="64"/>
      <c r="MMY19" s="64"/>
      <c r="MMZ19" s="64"/>
      <c r="MNA19" s="64"/>
      <c r="MNB19" s="64"/>
      <c r="MNC19" s="64"/>
      <c r="MND19" s="64"/>
      <c r="MNE19" s="64"/>
      <c r="MNF19" s="64"/>
      <c r="MNG19" s="64"/>
      <c r="MNH19" s="64"/>
      <c r="MNI19" s="64"/>
      <c r="MNJ19" s="64"/>
      <c r="MNK19" s="64"/>
      <c r="MNL19" s="64"/>
      <c r="MNM19" s="64"/>
      <c r="MNN19" s="64"/>
      <c r="MNO19" s="64"/>
      <c r="MNP19" s="64"/>
      <c r="MNQ19" s="64"/>
      <c r="MNR19" s="64"/>
      <c r="MNS19" s="64"/>
      <c r="MNT19" s="64"/>
      <c r="MNU19" s="64"/>
      <c r="MNV19" s="64"/>
      <c r="MNW19" s="64"/>
      <c r="MNX19" s="64"/>
      <c r="MNY19" s="64"/>
      <c r="MNZ19" s="64"/>
      <c r="MOA19" s="64"/>
      <c r="MOB19" s="64"/>
      <c r="MOC19" s="64"/>
      <c r="MOD19" s="64"/>
      <c r="MOE19" s="64"/>
      <c r="MOF19" s="64"/>
      <c r="MOG19" s="64"/>
      <c r="MOH19" s="64"/>
      <c r="MOI19" s="64"/>
      <c r="MOJ19" s="64"/>
      <c r="MOK19" s="64"/>
      <c r="MOL19" s="64"/>
      <c r="MOM19" s="64"/>
      <c r="MON19" s="64"/>
      <c r="MOO19" s="64"/>
      <c r="MOP19" s="64"/>
      <c r="MOQ19" s="64"/>
      <c r="MOR19" s="64"/>
      <c r="MOS19" s="64"/>
      <c r="MOT19" s="64"/>
      <c r="MOU19" s="64"/>
      <c r="MOV19" s="64"/>
      <c r="MOW19" s="64"/>
      <c r="MOX19" s="64"/>
      <c r="MOY19" s="64"/>
      <c r="MOZ19" s="64"/>
      <c r="MPA19" s="64"/>
      <c r="MPB19" s="64"/>
      <c r="MPC19" s="64"/>
      <c r="MPD19" s="64"/>
      <c r="MPE19" s="64"/>
      <c r="MPF19" s="64"/>
      <c r="MPG19" s="64"/>
      <c r="MPH19" s="64"/>
      <c r="MPI19" s="64"/>
      <c r="MPJ19" s="64"/>
      <c r="MPK19" s="64"/>
      <c r="MPL19" s="64"/>
      <c r="MPM19" s="64"/>
      <c r="MPN19" s="64"/>
      <c r="MPO19" s="64"/>
      <c r="MPP19" s="64"/>
      <c r="MPQ19" s="64"/>
      <c r="MPR19" s="64"/>
      <c r="MPS19" s="64"/>
      <c r="MPT19" s="64"/>
      <c r="MPU19" s="64"/>
      <c r="MPV19" s="64"/>
      <c r="MPW19" s="64"/>
      <c r="MPX19" s="64"/>
      <c r="MPY19" s="64"/>
      <c r="MPZ19" s="64"/>
      <c r="MQA19" s="64"/>
      <c r="MQB19" s="64"/>
      <c r="MQC19" s="64"/>
      <c r="MQD19" s="64"/>
      <c r="MQE19" s="64"/>
      <c r="MQF19" s="64"/>
      <c r="MQG19" s="64"/>
      <c r="MQH19" s="64"/>
      <c r="MQI19" s="64"/>
      <c r="MQJ19" s="64"/>
      <c r="MQK19" s="64"/>
      <c r="MQL19" s="64"/>
      <c r="MQM19" s="64"/>
      <c r="MQN19" s="64"/>
      <c r="MQO19" s="64"/>
      <c r="MQP19" s="64"/>
      <c r="MQQ19" s="64"/>
      <c r="MQR19" s="64"/>
      <c r="MQS19" s="64"/>
      <c r="MQT19" s="64"/>
      <c r="MQU19" s="64"/>
      <c r="MQV19" s="64"/>
      <c r="MQW19" s="64"/>
      <c r="MQX19" s="64"/>
      <c r="MQY19" s="64"/>
      <c r="MQZ19" s="64"/>
      <c r="MRA19" s="64"/>
      <c r="MRB19" s="64"/>
      <c r="MRC19" s="64"/>
      <c r="MRD19" s="64"/>
      <c r="MRE19" s="64"/>
      <c r="MRF19" s="64"/>
      <c r="MRG19" s="64"/>
      <c r="MRH19" s="64"/>
      <c r="MRI19" s="64"/>
      <c r="MRJ19" s="64"/>
      <c r="MRK19" s="64"/>
      <c r="MRL19" s="64"/>
      <c r="MRM19" s="64"/>
      <c r="MRN19" s="64"/>
      <c r="MRO19" s="64"/>
      <c r="MRP19" s="64"/>
      <c r="MRQ19" s="64"/>
      <c r="MRR19" s="64"/>
      <c r="MRS19" s="64"/>
      <c r="MRT19" s="64"/>
      <c r="MRU19" s="64"/>
      <c r="MRV19" s="64"/>
      <c r="MRW19" s="64"/>
      <c r="MRX19" s="64"/>
      <c r="MRY19" s="64"/>
      <c r="MRZ19" s="64"/>
      <c r="MSA19" s="64"/>
      <c r="MSB19" s="64"/>
      <c r="MSC19" s="64"/>
      <c r="MSD19" s="64"/>
      <c r="MSE19" s="64"/>
      <c r="MSF19" s="64"/>
      <c r="MSG19" s="64"/>
      <c r="MSH19" s="64"/>
      <c r="MSI19" s="64"/>
      <c r="MSJ19" s="64"/>
      <c r="MSK19" s="64"/>
      <c r="MSL19" s="64"/>
      <c r="MSM19" s="64"/>
      <c r="MSN19" s="64"/>
      <c r="MSO19" s="64"/>
      <c r="MSP19" s="64"/>
      <c r="MSQ19" s="64"/>
      <c r="MSR19" s="64"/>
      <c r="MSS19" s="64"/>
      <c r="MST19" s="64"/>
      <c r="MSU19" s="64"/>
      <c r="MSV19" s="64"/>
      <c r="MSW19" s="64"/>
      <c r="MSX19" s="64"/>
      <c r="MSY19" s="64"/>
      <c r="MSZ19" s="64"/>
      <c r="MTA19" s="64"/>
      <c r="MTB19" s="64"/>
      <c r="MTC19" s="64"/>
      <c r="MTD19" s="64"/>
      <c r="MTE19" s="64"/>
      <c r="MTF19" s="64"/>
      <c r="MTG19" s="64"/>
      <c r="MTH19" s="64"/>
      <c r="MTI19" s="64"/>
      <c r="MTJ19" s="64"/>
      <c r="MTK19" s="64"/>
      <c r="MTL19" s="64"/>
      <c r="MTM19" s="64"/>
      <c r="MTN19" s="64"/>
      <c r="MTO19" s="64"/>
      <c r="MTP19" s="64"/>
      <c r="MTQ19" s="64"/>
      <c r="MTR19" s="64"/>
      <c r="MTS19" s="64"/>
      <c r="MTT19" s="64"/>
      <c r="MTU19" s="64"/>
      <c r="MTV19" s="64"/>
      <c r="MTW19" s="64"/>
      <c r="MTX19" s="64"/>
      <c r="MTY19" s="64"/>
      <c r="MTZ19" s="64"/>
      <c r="MUA19" s="64"/>
      <c r="MUB19" s="64"/>
      <c r="MUC19" s="64"/>
      <c r="MUD19" s="64"/>
      <c r="MUE19" s="64"/>
      <c r="MUF19" s="64"/>
      <c r="MUG19" s="64"/>
      <c r="MUH19" s="64"/>
      <c r="MUI19" s="64"/>
      <c r="MUJ19" s="64"/>
      <c r="MUK19" s="64"/>
      <c r="MUL19" s="64"/>
      <c r="MUM19" s="64"/>
      <c r="MUN19" s="64"/>
      <c r="MUO19" s="64"/>
      <c r="MUP19" s="64"/>
      <c r="MUQ19" s="64"/>
      <c r="MUR19" s="64"/>
      <c r="MUS19" s="64"/>
      <c r="MUT19" s="64"/>
      <c r="MUU19" s="64"/>
      <c r="MUV19" s="64"/>
      <c r="MUW19" s="64"/>
      <c r="MUX19" s="64"/>
      <c r="MUY19" s="64"/>
      <c r="MUZ19" s="64"/>
      <c r="MVA19" s="64"/>
      <c r="MVB19" s="64"/>
      <c r="MVC19" s="64"/>
      <c r="MVD19" s="64"/>
      <c r="MVE19" s="64"/>
      <c r="MVF19" s="64"/>
      <c r="MVG19" s="64"/>
      <c r="MVH19" s="64"/>
      <c r="MVI19" s="64"/>
      <c r="MVJ19" s="64"/>
      <c r="MVK19" s="64"/>
      <c r="MVL19" s="64"/>
      <c r="MVM19" s="64"/>
      <c r="MVN19" s="64"/>
      <c r="MVO19" s="64"/>
      <c r="MVP19" s="64"/>
      <c r="MVQ19" s="64"/>
      <c r="MVR19" s="64"/>
      <c r="MVS19" s="64"/>
      <c r="MVT19" s="64"/>
      <c r="MVU19" s="64"/>
      <c r="MVV19" s="64"/>
      <c r="MVW19" s="64"/>
      <c r="MVX19" s="64"/>
      <c r="MVY19" s="64"/>
      <c r="MVZ19" s="64"/>
      <c r="MWA19" s="64"/>
      <c r="MWB19" s="64"/>
      <c r="MWC19" s="64"/>
      <c r="MWD19" s="64"/>
      <c r="MWE19" s="64"/>
      <c r="MWF19" s="64"/>
      <c r="MWG19" s="64"/>
      <c r="MWH19" s="64"/>
      <c r="MWI19" s="64"/>
      <c r="MWJ19" s="64"/>
      <c r="MWK19" s="64"/>
      <c r="MWL19" s="64"/>
      <c r="MWM19" s="64"/>
      <c r="MWN19" s="64"/>
      <c r="MWO19" s="64"/>
      <c r="MWP19" s="64"/>
      <c r="MWQ19" s="64"/>
      <c r="MWR19" s="64"/>
      <c r="MWS19" s="64"/>
      <c r="MWT19" s="64"/>
      <c r="MWU19" s="64"/>
      <c r="MWV19" s="64"/>
      <c r="MWW19" s="64"/>
      <c r="MWX19" s="64"/>
      <c r="MWY19" s="64"/>
      <c r="MWZ19" s="64"/>
      <c r="MXA19" s="64"/>
      <c r="MXB19" s="64"/>
      <c r="MXC19" s="64"/>
      <c r="MXD19" s="64"/>
      <c r="MXE19" s="64"/>
      <c r="MXF19" s="64"/>
      <c r="MXG19" s="64"/>
      <c r="MXH19" s="64"/>
      <c r="MXI19" s="64"/>
      <c r="MXJ19" s="64"/>
      <c r="MXK19" s="64"/>
      <c r="MXL19" s="64"/>
      <c r="MXM19" s="64"/>
      <c r="MXN19" s="64"/>
      <c r="MXO19" s="64"/>
      <c r="MXP19" s="64"/>
      <c r="MXQ19" s="64"/>
      <c r="MXR19" s="64"/>
      <c r="MXS19" s="64"/>
      <c r="MXT19" s="64"/>
      <c r="MXU19" s="64"/>
      <c r="MXV19" s="64"/>
      <c r="MXW19" s="64"/>
      <c r="MXX19" s="64"/>
      <c r="MXY19" s="64"/>
      <c r="MXZ19" s="64"/>
      <c r="MYA19" s="64"/>
      <c r="MYB19" s="64"/>
      <c r="MYC19" s="64"/>
      <c r="MYD19" s="64"/>
      <c r="MYE19" s="64"/>
      <c r="MYF19" s="64"/>
      <c r="MYG19" s="64"/>
      <c r="MYH19" s="64"/>
      <c r="MYI19" s="64"/>
      <c r="MYJ19" s="64"/>
      <c r="MYK19" s="64"/>
      <c r="MYL19" s="64"/>
      <c r="MYM19" s="64"/>
      <c r="MYN19" s="64"/>
      <c r="MYO19" s="64"/>
      <c r="MYP19" s="64"/>
      <c r="MYQ19" s="64"/>
      <c r="MYR19" s="64"/>
      <c r="MYS19" s="64"/>
      <c r="MYT19" s="64"/>
      <c r="MYU19" s="64"/>
      <c r="MYV19" s="64"/>
      <c r="MYW19" s="64"/>
      <c r="MYX19" s="64"/>
      <c r="MYY19" s="64"/>
      <c r="MYZ19" s="64"/>
      <c r="MZA19" s="64"/>
      <c r="MZB19" s="64"/>
      <c r="MZC19" s="64"/>
      <c r="MZD19" s="64"/>
      <c r="MZE19" s="64"/>
      <c r="MZF19" s="64"/>
      <c r="MZG19" s="64"/>
      <c r="MZH19" s="64"/>
      <c r="MZI19" s="64"/>
      <c r="MZJ19" s="64"/>
      <c r="MZK19" s="64"/>
      <c r="MZL19" s="64"/>
      <c r="MZM19" s="64"/>
      <c r="MZN19" s="64"/>
      <c r="MZO19" s="64"/>
      <c r="MZP19" s="64"/>
      <c r="MZQ19" s="64"/>
      <c r="MZR19" s="64"/>
      <c r="MZS19" s="64"/>
      <c r="MZT19" s="64"/>
      <c r="MZU19" s="64"/>
      <c r="MZV19" s="64"/>
      <c r="MZW19" s="64"/>
      <c r="MZX19" s="64"/>
      <c r="MZY19" s="64"/>
      <c r="MZZ19" s="64"/>
      <c r="NAA19" s="64"/>
      <c r="NAB19" s="64"/>
      <c r="NAC19" s="64"/>
      <c r="NAD19" s="64"/>
      <c r="NAE19" s="64"/>
      <c r="NAF19" s="64"/>
      <c r="NAG19" s="64"/>
      <c r="NAH19" s="64"/>
      <c r="NAI19" s="64"/>
      <c r="NAJ19" s="64"/>
      <c r="NAK19" s="64"/>
      <c r="NAL19" s="64"/>
      <c r="NAM19" s="64"/>
      <c r="NAN19" s="64"/>
      <c r="NAO19" s="64"/>
      <c r="NAP19" s="64"/>
      <c r="NAQ19" s="64"/>
      <c r="NAR19" s="64"/>
      <c r="NAS19" s="64"/>
      <c r="NAT19" s="64"/>
      <c r="NAU19" s="64"/>
      <c r="NAV19" s="64"/>
      <c r="NAW19" s="64"/>
      <c r="NAX19" s="64"/>
      <c r="NAY19" s="64"/>
      <c r="NAZ19" s="64"/>
      <c r="NBA19" s="64"/>
      <c r="NBB19" s="64"/>
      <c r="NBC19" s="64"/>
      <c r="NBD19" s="64"/>
      <c r="NBE19" s="64"/>
      <c r="NBF19" s="64"/>
      <c r="NBG19" s="64"/>
      <c r="NBH19" s="64"/>
      <c r="NBI19" s="64"/>
      <c r="NBJ19" s="64"/>
      <c r="NBK19" s="64"/>
      <c r="NBL19" s="64"/>
      <c r="NBM19" s="64"/>
      <c r="NBN19" s="64"/>
      <c r="NBO19" s="64"/>
      <c r="NBP19" s="64"/>
      <c r="NBQ19" s="64"/>
      <c r="NBR19" s="64"/>
      <c r="NBS19" s="64"/>
      <c r="NBT19" s="64"/>
      <c r="NBU19" s="64"/>
      <c r="NBV19" s="64"/>
      <c r="NBW19" s="64"/>
      <c r="NBX19" s="64"/>
      <c r="NBY19" s="64"/>
      <c r="NBZ19" s="64"/>
      <c r="NCA19" s="64"/>
      <c r="NCB19" s="64"/>
      <c r="NCC19" s="64"/>
      <c r="NCD19" s="64"/>
      <c r="NCE19" s="64"/>
      <c r="NCF19" s="64"/>
      <c r="NCG19" s="64"/>
      <c r="NCH19" s="64"/>
      <c r="NCI19" s="64"/>
      <c r="NCJ19" s="64"/>
      <c r="NCK19" s="64"/>
      <c r="NCL19" s="64"/>
      <c r="NCM19" s="64"/>
      <c r="NCN19" s="64"/>
      <c r="NCO19" s="64"/>
      <c r="NCP19" s="64"/>
      <c r="NCQ19" s="64"/>
      <c r="NCR19" s="64"/>
      <c r="NCS19" s="64"/>
      <c r="NCT19" s="64"/>
      <c r="NCU19" s="64"/>
      <c r="NCV19" s="64"/>
      <c r="NCW19" s="64"/>
      <c r="NCX19" s="64"/>
      <c r="NCY19" s="64"/>
      <c r="NCZ19" s="64"/>
      <c r="NDA19" s="64"/>
      <c r="NDB19" s="64"/>
      <c r="NDC19" s="64"/>
      <c r="NDD19" s="64"/>
      <c r="NDE19" s="64"/>
      <c r="NDF19" s="64"/>
      <c r="NDG19" s="64"/>
      <c r="NDH19" s="64"/>
      <c r="NDI19" s="64"/>
      <c r="NDJ19" s="64"/>
      <c r="NDK19" s="64"/>
      <c r="NDL19" s="64"/>
      <c r="NDM19" s="64"/>
      <c r="NDN19" s="64"/>
      <c r="NDO19" s="64"/>
      <c r="NDP19" s="64"/>
      <c r="NDQ19" s="64"/>
      <c r="NDR19" s="64"/>
      <c r="NDS19" s="64"/>
      <c r="NDT19" s="64"/>
      <c r="NDU19" s="64"/>
      <c r="NDV19" s="64"/>
      <c r="NDW19" s="64"/>
      <c r="NDX19" s="64"/>
      <c r="NDY19" s="64"/>
      <c r="NDZ19" s="64"/>
      <c r="NEA19" s="64"/>
      <c r="NEB19" s="64"/>
      <c r="NEC19" s="64"/>
      <c r="NED19" s="64"/>
      <c r="NEE19" s="64"/>
      <c r="NEF19" s="64"/>
      <c r="NEG19" s="64"/>
      <c r="NEH19" s="64"/>
      <c r="NEI19" s="64"/>
      <c r="NEJ19" s="64"/>
      <c r="NEK19" s="64"/>
      <c r="NEL19" s="64"/>
      <c r="NEM19" s="64"/>
      <c r="NEN19" s="64"/>
      <c r="NEO19" s="64"/>
      <c r="NEP19" s="64"/>
      <c r="NEQ19" s="64"/>
      <c r="NER19" s="64"/>
      <c r="NES19" s="64"/>
      <c r="NET19" s="64"/>
      <c r="NEU19" s="64"/>
      <c r="NEV19" s="64"/>
      <c r="NEW19" s="64"/>
      <c r="NEX19" s="64"/>
      <c r="NEY19" s="64"/>
      <c r="NEZ19" s="64"/>
      <c r="NFA19" s="64"/>
      <c r="NFB19" s="64"/>
      <c r="NFC19" s="64"/>
      <c r="NFD19" s="64"/>
      <c r="NFE19" s="64"/>
      <c r="NFF19" s="64"/>
      <c r="NFG19" s="64"/>
      <c r="NFH19" s="64"/>
      <c r="NFI19" s="64"/>
      <c r="NFJ19" s="64"/>
      <c r="NFK19" s="64"/>
      <c r="NFL19" s="64"/>
      <c r="NFM19" s="64"/>
      <c r="NFN19" s="64"/>
      <c r="NFO19" s="64"/>
      <c r="NFP19" s="64"/>
      <c r="NFQ19" s="64"/>
      <c r="NFR19" s="64"/>
      <c r="NFS19" s="64"/>
      <c r="NFT19" s="64"/>
      <c r="NFU19" s="64"/>
      <c r="NFV19" s="64"/>
      <c r="NFW19" s="64"/>
      <c r="NFX19" s="64"/>
      <c r="NFY19" s="64"/>
      <c r="NFZ19" s="64"/>
      <c r="NGA19" s="64"/>
      <c r="NGB19" s="64"/>
      <c r="NGC19" s="64"/>
      <c r="NGD19" s="64"/>
      <c r="NGE19" s="64"/>
      <c r="NGF19" s="64"/>
      <c r="NGG19" s="64"/>
      <c r="NGH19" s="64"/>
      <c r="NGI19" s="64"/>
      <c r="NGJ19" s="64"/>
      <c r="NGK19" s="64"/>
      <c r="NGL19" s="64"/>
      <c r="NGM19" s="64"/>
      <c r="NGN19" s="64"/>
      <c r="NGO19" s="64"/>
      <c r="NGP19" s="64"/>
      <c r="NGQ19" s="64"/>
      <c r="NGR19" s="64"/>
      <c r="NGS19" s="64"/>
      <c r="NGT19" s="64"/>
      <c r="NGU19" s="64"/>
      <c r="NGV19" s="64"/>
      <c r="NGW19" s="64"/>
      <c r="NGX19" s="64"/>
      <c r="NGY19" s="64"/>
      <c r="NGZ19" s="64"/>
      <c r="NHA19" s="64"/>
      <c r="NHB19" s="64"/>
      <c r="NHC19" s="64"/>
      <c r="NHD19" s="64"/>
      <c r="NHE19" s="64"/>
      <c r="NHF19" s="64"/>
      <c r="NHG19" s="64"/>
      <c r="NHH19" s="64"/>
      <c r="NHI19" s="64"/>
      <c r="NHJ19" s="64"/>
      <c r="NHK19" s="64"/>
      <c r="NHL19" s="64"/>
      <c r="NHM19" s="64"/>
      <c r="NHN19" s="64"/>
      <c r="NHO19" s="64"/>
      <c r="NHP19" s="64"/>
      <c r="NHQ19" s="64"/>
      <c r="NHR19" s="64"/>
      <c r="NHS19" s="64"/>
      <c r="NHT19" s="64"/>
      <c r="NHU19" s="64"/>
      <c r="NHV19" s="64"/>
      <c r="NHW19" s="64"/>
      <c r="NHX19" s="64"/>
      <c r="NHY19" s="64"/>
      <c r="NHZ19" s="64"/>
      <c r="NIA19" s="64"/>
      <c r="NIB19" s="64"/>
      <c r="NIC19" s="64"/>
      <c r="NID19" s="64"/>
      <c r="NIE19" s="64"/>
      <c r="NIF19" s="64"/>
      <c r="NIG19" s="64"/>
      <c r="NIH19" s="64"/>
      <c r="NII19" s="64"/>
      <c r="NIJ19" s="64"/>
      <c r="NIK19" s="64"/>
      <c r="NIL19" s="64"/>
      <c r="NIM19" s="64"/>
      <c r="NIN19" s="64"/>
      <c r="NIO19" s="64"/>
      <c r="NIP19" s="64"/>
      <c r="NIQ19" s="64"/>
      <c r="NIR19" s="64"/>
      <c r="NIS19" s="64"/>
      <c r="NIT19" s="64"/>
      <c r="NIU19" s="64"/>
      <c r="NIV19" s="64"/>
      <c r="NIW19" s="64"/>
      <c r="NIX19" s="64"/>
      <c r="NIY19" s="64"/>
      <c r="NIZ19" s="64"/>
      <c r="NJA19" s="64"/>
      <c r="NJB19" s="64"/>
      <c r="NJC19" s="64"/>
      <c r="NJD19" s="64"/>
      <c r="NJE19" s="64"/>
      <c r="NJF19" s="64"/>
      <c r="NJG19" s="64"/>
      <c r="NJH19" s="64"/>
      <c r="NJI19" s="64"/>
      <c r="NJJ19" s="64"/>
      <c r="NJK19" s="64"/>
      <c r="NJL19" s="64"/>
      <c r="NJM19" s="64"/>
      <c r="NJN19" s="64"/>
      <c r="NJO19" s="64"/>
      <c r="NJP19" s="64"/>
      <c r="NJQ19" s="64"/>
      <c r="NJR19" s="64"/>
      <c r="NJS19" s="64"/>
      <c r="NJT19" s="64"/>
      <c r="NJU19" s="64"/>
      <c r="NJV19" s="64"/>
      <c r="NJW19" s="64"/>
      <c r="NJX19" s="64"/>
      <c r="NJY19" s="64"/>
      <c r="NJZ19" s="64"/>
      <c r="NKA19" s="64"/>
      <c r="NKB19" s="64"/>
      <c r="NKC19" s="64"/>
      <c r="NKD19" s="64"/>
      <c r="NKE19" s="64"/>
      <c r="NKF19" s="64"/>
      <c r="NKG19" s="64"/>
      <c r="NKH19" s="64"/>
      <c r="NKI19" s="64"/>
      <c r="NKJ19" s="64"/>
      <c r="NKK19" s="64"/>
      <c r="NKL19" s="64"/>
      <c r="NKM19" s="64"/>
      <c r="NKN19" s="64"/>
      <c r="NKO19" s="64"/>
      <c r="NKP19" s="64"/>
      <c r="NKQ19" s="64"/>
      <c r="NKR19" s="64"/>
      <c r="NKS19" s="64"/>
      <c r="NKT19" s="64"/>
      <c r="NKU19" s="64"/>
      <c r="NKV19" s="64"/>
      <c r="NKW19" s="64"/>
      <c r="NKX19" s="64"/>
      <c r="NKY19" s="64"/>
      <c r="NKZ19" s="64"/>
      <c r="NLA19" s="64"/>
      <c r="NLB19" s="64"/>
      <c r="NLC19" s="64"/>
      <c r="NLD19" s="64"/>
      <c r="NLE19" s="64"/>
      <c r="NLF19" s="64"/>
      <c r="NLG19" s="64"/>
      <c r="NLH19" s="64"/>
      <c r="NLI19" s="64"/>
      <c r="NLJ19" s="64"/>
      <c r="NLK19" s="64"/>
      <c r="NLL19" s="64"/>
      <c r="NLM19" s="64"/>
      <c r="NLN19" s="64"/>
      <c r="NLO19" s="64"/>
      <c r="NLP19" s="64"/>
      <c r="NLQ19" s="64"/>
      <c r="NLR19" s="64"/>
      <c r="NLS19" s="64"/>
      <c r="NLT19" s="64"/>
      <c r="NLU19" s="64"/>
      <c r="NLV19" s="64"/>
      <c r="NLW19" s="64"/>
      <c r="NLX19" s="64"/>
      <c r="NLY19" s="64"/>
      <c r="NLZ19" s="64"/>
      <c r="NMA19" s="64"/>
      <c r="NMB19" s="64"/>
      <c r="NMC19" s="64"/>
      <c r="NMD19" s="64"/>
      <c r="NME19" s="64"/>
      <c r="NMF19" s="64"/>
      <c r="NMG19" s="64"/>
      <c r="NMH19" s="64"/>
      <c r="NMI19" s="64"/>
      <c r="NMJ19" s="64"/>
      <c r="NMK19" s="64"/>
      <c r="NML19" s="64"/>
      <c r="NMM19" s="64"/>
      <c r="NMN19" s="64"/>
      <c r="NMO19" s="64"/>
      <c r="NMP19" s="64"/>
      <c r="NMQ19" s="64"/>
      <c r="NMR19" s="64"/>
      <c r="NMS19" s="64"/>
      <c r="NMT19" s="64"/>
      <c r="NMU19" s="64"/>
      <c r="NMV19" s="64"/>
      <c r="NMW19" s="64"/>
      <c r="NMX19" s="64"/>
      <c r="NMY19" s="64"/>
      <c r="NMZ19" s="64"/>
      <c r="NNA19" s="64"/>
      <c r="NNB19" s="64"/>
      <c r="NNC19" s="64"/>
      <c r="NND19" s="64"/>
      <c r="NNE19" s="64"/>
      <c r="NNF19" s="64"/>
      <c r="NNG19" s="64"/>
      <c r="NNH19" s="64"/>
      <c r="NNI19" s="64"/>
      <c r="NNJ19" s="64"/>
      <c r="NNK19" s="64"/>
      <c r="NNL19" s="64"/>
      <c r="NNM19" s="64"/>
      <c r="NNN19" s="64"/>
      <c r="NNO19" s="64"/>
      <c r="NNP19" s="64"/>
      <c r="NNQ19" s="64"/>
      <c r="NNR19" s="64"/>
      <c r="NNS19" s="64"/>
      <c r="NNT19" s="64"/>
      <c r="NNU19" s="64"/>
      <c r="NNV19" s="64"/>
      <c r="NNW19" s="64"/>
      <c r="NNX19" s="64"/>
      <c r="NNY19" s="64"/>
      <c r="NNZ19" s="64"/>
      <c r="NOA19" s="64"/>
      <c r="NOB19" s="64"/>
      <c r="NOC19" s="64"/>
      <c r="NOD19" s="64"/>
      <c r="NOE19" s="64"/>
      <c r="NOF19" s="64"/>
      <c r="NOG19" s="64"/>
      <c r="NOH19" s="64"/>
      <c r="NOI19" s="64"/>
      <c r="NOJ19" s="64"/>
      <c r="NOK19" s="64"/>
      <c r="NOL19" s="64"/>
      <c r="NOM19" s="64"/>
      <c r="NON19" s="64"/>
      <c r="NOO19" s="64"/>
      <c r="NOP19" s="64"/>
      <c r="NOQ19" s="64"/>
      <c r="NOR19" s="64"/>
      <c r="NOS19" s="64"/>
      <c r="NOT19" s="64"/>
      <c r="NOU19" s="64"/>
      <c r="NOV19" s="64"/>
      <c r="NOW19" s="64"/>
      <c r="NOX19" s="64"/>
      <c r="NOY19" s="64"/>
      <c r="NOZ19" s="64"/>
      <c r="NPA19" s="64"/>
      <c r="NPB19" s="64"/>
      <c r="NPC19" s="64"/>
      <c r="NPD19" s="64"/>
      <c r="NPE19" s="64"/>
      <c r="NPF19" s="64"/>
      <c r="NPG19" s="64"/>
      <c r="NPH19" s="64"/>
      <c r="NPI19" s="64"/>
      <c r="NPJ19" s="64"/>
      <c r="NPK19" s="64"/>
      <c r="NPL19" s="64"/>
      <c r="NPM19" s="64"/>
      <c r="NPN19" s="64"/>
      <c r="NPO19" s="64"/>
      <c r="NPP19" s="64"/>
      <c r="NPQ19" s="64"/>
      <c r="NPR19" s="64"/>
      <c r="NPS19" s="64"/>
      <c r="NPT19" s="64"/>
      <c r="NPU19" s="64"/>
      <c r="NPV19" s="64"/>
      <c r="NPW19" s="64"/>
      <c r="NPX19" s="64"/>
      <c r="NPY19" s="64"/>
      <c r="NPZ19" s="64"/>
      <c r="NQA19" s="64"/>
      <c r="NQB19" s="64"/>
      <c r="NQC19" s="64"/>
      <c r="NQD19" s="64"/>
      <c r="NQE19" s="64"/>
      <c r="NQF19" s="64"/>
      <c r="NQG19" s="64"/>
      <c r="NQH19" s="64"/>
      <c r="NQI19" s="64"/>
      <c r="NQJ19" s="64"/>
      <c r="NQK19" s="64"/>
      <c r="NQL19" s="64"/>
      <c r="NQM19" s="64"/>
      <c r="NQN19" s="64"/>
      <c r="NQO19" s="64"/>
      <c r="NQP19" s="64"/>
      <c r="NQQ19" s="64"/>
      <c r="NQR19" s="64"/>
      <c r="NQS19" s="64"/>
      <c r="NQT19" s="64"/>
      <c r="NQU19" s="64"/>
      <c r="NQV19" s="64"/>
      <c r="NQW19" s="64"/>
      <c r="NQX19" s="64"/>
      <c r="NQY19" s="64"/>
      <c r="NQZ19" s="64"/>
      <c r="NRA19" s="64"/>
      <c r="NRB19" s="64"/>
      <c r="NRC19" s="64"/>
      <c r="NRD19" s="64"/>
      <c r="NRE19" s="64"/>
      <c r="NRF19" s="64"/>
      <c r="NRG19" s="64"/>
      <c r="NRH19" s="64"/>
      <c r="NRI19" s="64"/>
      <c r="NRJ19" s="64"/>
      <c r="NRK19" s="64"/>
      <c r="NRL19" s="64"/>
      <c r="NRM19" s="64"/>
      <c r="NRN19" s="64"/>
      <c r="NRO19" s="64"/>
      <c r="NRP19" s="64"/>
      <c r="NRQ19" s="64"/>
      <c r="NRR19" s="64"/>
      <c r="NRS19" s="64"/>
      <c r="NRT19" s="64"/>
      <c r="NRU19" s="64"/>
      <c r="NRV19" s="64"/>
      <c r="NRW19" s="64"/>
      <c r="NRX19" s="64"/>
      <c r="NRY19" s="64"/>
      <c r="NRZ19" s="64"/>
      <c r="NSA19" s="64"/>
      <c r="NSB19" s="64"/>
      <c r="NSC19" s="64"/>
      <c r="NSD19" s="64"/>
      <c r="NSE19" s="64"/>
      <c r="NSF19" s="64"/>
      <c r="NSG19" s="64"/>
      <c r="NSH19" s="64"/>
      <c r="NSI19" s="64"/>
      <c r="NSJ19" s="64"/>
      <c r="NSK19" s="64"/>
      <c r="NSL19" s="64"/>
      <c r="NSM19" s="64"/>
      <c r="NSN19" s="64"/>
      <c r="NSO19" s="64"/>
      <c r="NSP19" s="64"/>
      <c r="NSQ19" s="64"/>
      <c r="NSR19" s="64"/>
      <c r="NSS19" s="64"/>
      <c r="NST19" s="64"/>
      <c r="NSU19" s="64"/>
      <c r="NSV19" s="64"/>
      <c r="NSW19" s="64"/>
      <c r="NSX19" s="64"/>
      <c r="NSY19" s="64"/>
      <c r="NSZ19" s="64"/>
      <c r="NTA19" s="64"/>
      <c r="NTB19" s="64"/>
      <c r="NTC19" s="64"/>
      <c r="NTD19" s="64"/>
      <c r="NTE19" s="64"/>
      <c r="NTF19" s="64"/>
      <c r="NTG19" s="64"/>
      <c r="NTH19" s="64"/>
      <c r="NTI19" s="64"/>
      <c r="NTJ19" s="64"/>
      <c r="NTK19" s="64"/>
      <c r="NTL19" s="64"/>
      <c r="NTM19" s="64"/>
      <c r="NTN19" s="64"/>
      <c r="NTO19" s="64"/>
      <c r="NTP19" s="64"/>
      <c r="NTQ19" s="64"/>
      <c r="NTR19" s="64"/>
      <c r="NTS19" s="64"/>
      <c r="NTT19" s="64"/>
      <c r="NTU19" s="64"/>
      <c r="NTV19" s="64"/>
      <c r="NTW19" s="64"/>
      <c r="NTX19" s="64"/>
      <c r="NTY19" s="64"/>
      <c r="NTZ19" s="64"/>
      <c r="NUA19" s="64"/>
      <c r="NUB19" s="64"/>
      <c r="NUC19" s="64"/>
      <c r="NUD19" s="64"/>
      <c r="NUE19" s="64"/>
      <c r="NUF19" s="64"/>
      <c r="NUG19" s="64"/>
      <c r="NUH19" s="64"/>
      <c r="NUI19" s="64"/>
      <c r="NUJ19" s="64"/>
      <c r="NUK19" s="64"/>
      <c r="NUL19" s="64"/>
      <c r="NUM19" s="64"/>
      <c r="NUN19" s="64"/>
      <c r="NUO19" s="64"/>
      <c r="NUP19" s="64"/>
      <c r="NUQ19" s="64"/>
      <c r="NUR19" s="64"/>
      <c r="NUS19" s="64"/>
      <c r="NUT19" s="64"/>
      <c r="NUU19" s="64"/>
      <c r="NUV19" s="64"/>
      <c r="NUW19" s="64"/>
      <c r="NUX19" s="64"/>
      <c r="NUY19" s="64"/>
      <c r="NUZ19" s="64"/>
      <c r="NVA19" s="64"/>
      <c r="NVB19" s="64"/>
      <c r="NVC19" s="64"/>
      <c r="NVD19" s="64"/>
      <c r="NVE19" s="64"/>
      <c r="NVF19" s="64"/>
      <c r="NVG19" s="64"/>
      <c r="NVH19" s="64"/>
      <c r="NVI19" s="64"/>
      <c r="NVJ19" s="64"/>
      <c r="NVK19" s="64"/>
      <c r="NVL19" s="64"/>
      <c r="NVM19" s="64"/>
      <c r="NVN19" s="64"/>
      <c r="NVO19" s="64"/>
      <c r="NVP19" s="64"/>
      <c r="NVQ19" s="64"/>
      <c r="NVR19" s="64"/>
      <c r="NVS19" s="64"/>
      <c r="NVT19" s="64"/>
      <c r="NVU19" s="64"/>
      <c r="NVV19" s="64"/>
      <c r="NVW19" s="64"/>
      <c r="NVX19" s="64"/>
      <c r="NVY19" s="64"/>
      <c r="NVZ19" s="64"/>
      <c r="NWA19" s="64"/>
      <c r="NWB19" s="64"/>
      <c r="NWC19" s="64"/>
      <c r="NWD19" s="64"/>
      <c r="NWE19" s="64"/>
      <c r="NWF19" s="64"/>
      <c r="NWG19" s="64"/>
      <c r="NWH19" s="64"/>
      <c r="NWI19" s="64"/>
      <c r="NWJ19" s="64"/>
      <c r="NWK19" s="64"/>
      <c r="NWL19" s="64"/>
      <c r="NWM19" s="64"/>
      <c r="NWN19" s="64"/>
      <c r="NWO19" s="64"/>
      <c r="NWP19" s="64"/>
      <c r="NWQ19" s="64"/>
      <c r="NWR19" s="64"/>
      <c r="NWS19" s="64"/>
      <c r="NWT19" s="64"/>
      <c r="NWU19" s="64"/>
      <c r="NWV19" s="64"/>
      <c r="NWW19" s="64"/>
      <c r="NWX19" s="64"/>
      <c r="NWY19" s="64"/>
      <c r="NWZ19" s="64"/>
      <c r="NXA19" s="64"/>
      <c r="NXB19" s="64"/>
      <c r="NXC19" s="64"/>
      <c r="NXD19" s="64"/>
      <c r="NXE19" s="64"/>
      <c r="NXF19" s="64"/>
      <c r="NXG19" s="64"/>
      <c r="NXH19" s="64"/>
      <c r="NXI19" s="64"/>
      <c r="NXJ19" s="64"/>
      <c r="NXK19" s="64"/>
      <c r="NXL19" s="64"/>
      <c r="NXM19" s="64"/>
      <c r="NXN19" s="64"/>
      <c r="NXO19" s="64"/>
      <c r="NXP19" s="64"/>
      <c r="NXQ19" s="64"/>
      <c r="NXR19" s="64"/>
      <c r="NXS19" s="64"/>
      <c r="NXT19" s="64"/>
      <c r="NXU19" s="64"/>
      <c r="NXV19" s="64"/>
      <c r="NXW19" s="64"/>
      <c r="NXX19" s="64"/>
      <c r="NXY19" s="64"/>
      <c r="NXZ19" s="64"/>
      <c r="NYA19" s="64"/>
      <c r="NYB19" s="64"/>
      <c r="NYC19" s="64"/>
      <c r="NYD19" s="64"/>
      <c r="NYE19" s="64"/>
      <c r="NYF19" s="64"/>
      <c r="NYG19" s="64"/>
      <c r="NYH19" s="64"/>
      <c r="NYI19" s="64"/>
      <c r="NYJ19" s="64"/>
      <c r="NYK19" s="64"/>
      <c r="NYL19" s="64"/>
      <c r="NYM19" s="64"/>
      <c r="NYN19" s="64"/>
      <c r="NYO19" s="64"/>
      <c r="NYP19" s="64"/>
      <c r="NYQ19" s="64"/>
      <c r="NYR19" s="64"/>
      <c r="NYS19" s="64"/>
      <c r="NYT19" s="64"/>
      <c r="NYU19" s="64"/>
      <c r="NYV19" s="64"/>
      <c r="NYW19" s="64"/>
      <c r="NYX19" s="64"/>
      <c r="NYY19" s="64"/>
      <c r="NYZ19" s="64"/>
      <c r="NZA19" s="64"/>
      <c r="NZB19" s="64"/>
      <c r="NZC19" s="64"/>
      <c r="NZD19" s="64"/>
      <c r="NZE19" s="64"/>
      <c r="NZF19" s="64"/>
      <c r="NZG19" s="64"/>
      <c r="NZH19" s="64"/>
      <c r="NZI19" s="64"/>
      <c r="NZJ19" s="64"/>
      <c r="NZK19" s="64"/>
      <c r="NZL19" s="64"/>
      <c r="NZM19" s="64"/>
      <c r="NZN19" s="64"/>
      <c r="NZO19" s="64"/>
      <c r="NZP19" s="64"/>
      <c r="NZQ19" s="64"/>
      <c r="NZR19" s="64"/>
      <c r="NZS19" s="64"/>
      <c r="NZT19" s="64"/>
      <c r="NZU19" s="64"/>
      <c r="NZV19" s="64"/>
      <c r="NZW19" s="64"/>
      <c r="NZX19" s="64"/>
      <c r="NZY19" s="64"/>
      <c r="NZZ19" s="64"/>
      <c r="OAA19" s="64"/>
      <c r="OAB19" s="64"/>
      <c r="OAC19" s="64"/>
      <c r="OAD19" s="64"/>
      <c r="OAE19" s="64"/>
      <c r="OAF19" s="64"/>
      <c r="OAG19" s="64"/>
      <c r="OAH19" s="64"/>
      <c r="OAI19" s="64"/>
      <c r="OAJ19" s="64"/>
      <c r="OAK19" s="64"/>
      <c r="OAL19" s="64"/>
      <c r="OAM19" s="64"/>
      <c r="OAN19" s="64"/>
      <c r="OAO19" s="64"/>
      <c r="OAP19" s="64"/>
      <c r="OAQ19" s="64"/>
      <c r="OAR19" s="64"/>
      <c r="OAS19" s="64"/>
      <c r="OAT19" s="64"/>
      <c r="OAU19" s="64"/>
      <c r="OAV19" s="64"/>
      <c r="OAW19" s="64"/>
      <c r="OAX19" s="64"/>
      <c r="OAY19" s="64"/>
      <c r="OAZ19" s="64"/>
      <c r="OBA19" s="64"/>
      <c r="OBB19" s="64"/>
      <c r="OBC19" s="64"/>
      <c r="OBD19" s="64"/>
      <c r="OBE19" s="64"/>
      <c r="OBF19" s="64"/>
      <c r="OBG19" s="64"/>
      <c r="OBH19" s="64"/>
      <c r="OBI19" s="64"/>
      <c r="OBJ19" s="64"/>
      <c r="OBK19" s="64"/>
      <c r="OBL19" s="64"/>
      <c r="OBM19" s="64"/>
      <c r="OBN19" s="64"/>
      <c r="OBO19" s="64"/>
      <c r="OBP19" s="64"/>
      <c r="OBQ19" s="64"/>
      <c r="OBR19" s="64"/>
      <c r="OBS19" s="64"/>
      <c r="OBT19" s="64"/>
      <c r="OBU19" s="64"/>
      <c r="OBV19" s="64"/>
      <c r="OBW19" s="64"/>
      <c r="OBX19" s="64"/>
      <c r="OBY19" s="64"/>
      <c r="OBZ19" s="64"/>
      <c r="OCA19" s="64"/>
      <c r="OCB19" s="64"/>
      <c r="OCC19" s="64"/>
      <c r="OCD19" s="64"/>
      <c r="OCE19" s="64"/>
      <c r="OCF19" s="64"/>
      <c r="OCG19" s="64"/>
      <c r="OCH19" s="64"/>
      <c r="OCI19" s="64"/>
      <c r="OCJ19" s="64"/>
      <c r="OCK19" s="64"/>
      <c r="OCL19" s="64"/>
      <c r="OCM19" s="64"/>
      <c r="OCN19" s="64"/>
      <c r="OCO19" s="64"/>
      <c r="OCP19" s="64"/>
      <c r="OCQ19" s="64"/>
      <c r="OCR19" s="64"/>
      <c r="OCS19" s="64"/>
      <c r="OCT19" s="64"/>
      <c r="OCU19" s="64"/>
      <c r="OCV19" s="64"/>
      <c r="OCW19" s="64"/>
      <c r="OCX19" s="64"/>
      <c r="OCY19" s="64"/>
      <c r="OCZ19" s="64"/>
      <c r="ODA19" s="64"/>
      <c r="ODB19" s="64"/>
      <c r="ODC19" s="64"/>
      <c r="ODD19" s="64"/>
      <c r="ODE19" s="64"/>
      <c r="ODF19" s="64"/>
      <c r="ODG19" s="64"/>
      <c r="ODH19" s="64"/>
      <c r="ODI19" s="64"/>
      <c r="ODJ19" s="64"/>
      <c r="ODK19" s="64"/>
      <c r="ODL19" s="64"/>
      <c r="ODM19" s="64"/>
      <c r="ODN19" s="64"/>
      <c r="ODO19" s="64"/>
      <c r="ODP19" s="64"/>
      <c r="ODQ19" s="64"/>
      <c r="ODR19" s="64"/>
      <c r="ODS19" s="64"/>
      <c r="ODT19" s="64"/>
      <c r="ODU19" s="64"/>
      <c r="ODV19" s="64"/>
      <c r="ODW19" s="64"/>
      <c r="ODX19" s="64"/>
      <c r="ODY19" s="64"/>
      <c r="ODZ19" s="64"/>
      <c r="OEA19" s="64"/>
      <c r="OEB19" s="64"/>
      <c r="OEC19" s="64"/>
      <c r="OED19" s="64"/>
      <c r="OEE19" s="64"/>
      <c r="OEF19" s="64"/>
      <c r="OEG19" s="64"/>
      <c r="OEH19" s="64"/>
      <c r="OEI19" s="64"/>
      <c r="OEJ19" s="64"/>
      <c r="OEK19" s="64"/>
      <c r="OEL19" s="64"/>
      <c r="OEM19" s="64"/>
      <c r="OEN19" s="64"/>
      <c r="OEO19" s="64"/>
      <c r="OEP19" s="64"/>
      <c r="OEQ19" s="64"/>
      <c r="OER19" s="64"/>
      <c r="OES19" s="64"/>
      <c r="OET19" s="64"/>
      <c r="OEU19" s="64"/>
      <c r="OEV19" s="64"/>
      <c r="OEW19" s="64"/>
      <c r="OEX19" s="64"/>
      <c r="OEY19" s="64"/>
      <c r="OEZ19" s="64"/>
      <c r="OFA19" s="64"/>
      <c r="OFB19" s="64"/>
      <c r="OFC19" s="64"/>
      <c r="OFD19" s="64"/>
      <c r="OFE19" s="64"/>
      <c r="OFF19" s="64"/>
      <c r="OFG19" s="64"/>
      <c r="OFH19" s="64"/>
      <c r="OFI19" s="64"/>
      <c r="OFJ19" s="64"/>
      <c r="OFK19" s="64"/>
      <c r="OFL19" s="64"/>
      <c r="OFM19" s="64"/>
      <c r="OFN19" s="64"/>
      <c r="OFO19" s="64"/>
      <c r="OFP19" s="64"/>
      <c r="OFQ19" s="64"/>
      <c r="OFR19" s="64"/>
      <c r="OFS19" s="64"/>
      <c r="OFT19" s="64"/>
      <c r="OFU19" s="64"/>
      <c r="OFV19" s="64"/>
      <c r="OFW19" s="64"/>
      <c r="OFX19" s="64"/>
      <c r="OFY19" s="64"/>
      <c r="OFZ19" s="64"/>
      <c r="OGA19" s="64"/>
      <c r="OGB19" s="64"/>
      <c r="OGC19" s="64"/>
      <c r="OGD19" s="64"/>
      <c r="OGE19" s="64"/>
      <c r="OGF19" s="64"/>
      <c r="OGG19" s="64"/>
      <c r="OGH19" s="64"/>
      <c r="OGI19" s="64"/>
      <c r="OGJ19" s="64"/>
      <c r="OGK19" s="64"/>
      <c r="OGL19" s="64"/>
      <c r="OGM19" s="64"/>
      <c r="OGN19" s="64"/>
      <c r="OGO19" s="64"/>
      <c r="OGP19" s="64"/>
      <c r="OGQ19" s="64"/>
      <c r="OGR19" s="64"/>
      <c r="OGS19" s="64"/>
      <c r="OGT19" s="64"/>
      <c r="OGU19" s="64"/>
      <c r="OGV19" s="64"/>
      <c r="OGW19" s="64"/>
      <c r="OGX19" s="64"/>
      <c r="OGY19" s="64"/>
      <c r="OGZ19" s="64"/>
      <c r="OHA19" s="64"/>
      <c r="OHB19" s="64"/>
      <c r="OHC19" s="64"/>
      <c r="OHD19" s="64"/>
      <c r="OHE19" s="64"/>
      <c r="OHF19" s="64"/>
      <c r="OHG19" s="64"/>
      <c r="OHH19" s="64"/>
      <c r="OHI19" s="64"/>
      <c r="OHJ19" s="64"/>
      <c r="OHK19" s="64"/>
      <c r="OHL19" s="64"/>
      <c r="OHM19" s="64"/>
      <c r="OHN19" s="64"/>
      <c r="OHO19" s="64"/>
      <c r="OHP19" s="64"/>
      <c r="OHQ19" s="64"/>
      <c r="OHR19" s="64"/>
      <c r="OHS19" s="64"/>
      <c r="OHT19" s="64"/>
      <c r="OHU19" s="64"/>
      <c r="OHV19" s="64"/>
      <c r="OHW19" s="64"/>
      <c r="OHX19" s="64"/>
      <c r="OHY19" s="64"/>
      <c r="OHZ19" s="64"/>
      <c r="OIA19" s="64"/>
      <c r="OIB19" s="64"/>
      <c r="OIC19" s="64"/>
      <c r="OID19" s="64"/>
      <c r="OIE19" s="64"/>
      <c r="OIF19" s="64"/>
      <c r="OIG19" s="64"/>
      <c r="OIH19" s="64"/>
      <c r="OII19" s="64"/>
      <c r="OIJ19" s="64"/>
      <c r="OIK19" s="64"/>
      <c r="OIL19" s="64"/>
      <c r="OIM19" s="64"/>
      <c r="OIN19" s="64"/>
      <c r="OIO19" s="64"/>
      <c r="OIP19" s="64"/>
      <c r="OIQ19" s="64"/>
      <c r="OIR19" s="64"/>
      <c r="OIS19" s="64"/>
      <c r="OIT19" s="64"/>
      <c r="OIU19" s="64"/>
      <c r="OIV19" s="64"/>
      <c r="OIW19" s="64"/>
      <c r="OIX19" s="64"/>
      <c r="OIY19" s="64"/>
      <c r="OIZ19" s="64"/>
      <c r="OJA19" s="64"/>
      <c r="OJB19" s="64"/>
      <c r="OJC19" s="64"/>
      <c r="OJD19" s="64"/>
      <c r="OJE19" s="64"/>
      <c r="OJF19" s="64"/>
      <c r="OJG19" s="64"/>
      <c r="OJH19" s="64"/>
      <c r="OJI19" s="64"/>
      <c r="OJJ19" s="64"/>
      <c r="OJK19" s="64"/>
      <c r="OJL19" s="64"/>
      <c r="OJM19" s="64"/>
      <c r="OJN19" s="64"/>
      <c r="OJO19" s="64"/>
      <c r="OJP19" s="64"/>
      <c r="OJQ19" s="64"/>
      <c r="OJR19" s="64"/>
      <c r="OJS19" s="64"/>
      <c r="OJT19" s="64"/>
      <c r="OJU19" s="64"/>
      <c r="OJV19" s="64"/>
      <c r="OJW19" s="64"/>
      <c r="OJX19" s="64"/>
      <c r="OJY19" s="64"/>
      <c r="OJZ19" s="64"/>
      <c r="OKA19" s="64"/>
      <c r="OKB19" s="64"/>
      <c r="OKC19" s="64"/>
      <c r="OKD19" s="64"/>
      <c r="OKE19" s="64"/>
      <c r="OKF19" s="64"/>
      <c r="OKG19" s="64"/>
      <c r="OKH19" s="64"/>
      <c r="OKI19" s="64"/>
      <c r="OKJ19" s="64"/>
      <c r="OKK19" s="64"/>
      <c r="OKL19" s="64"/>
      <c r="OKM19" s="64"/>
      <c r="OKN19" s="64"/>
      <c r="OKO19" s="64"/>
      <c r="OKP19" s="64"/>
      <c r="OKQ19" s="64"/>
      <c r="OKR19" s="64"/>
      <c r="OKS19" s="64"/>
      <c r="OKT19" s="64"/>
      <c r="OKU19" s="64"/>
      <c r="OKV19" s="64"/>
      <c r="OKW19" s="64"/>
      <c r="OKX19" s="64"/>
      <c r="OKY19" s="64"/>
      <c r="OKZ19" s="64"/>
      <c r="OLA19" s="64"/>
      <c r="OLB19" s="64"/>
      <c r="OLC19" s="64"/>
      <c r="OLD19" s="64"/>
      <c r="OLE19" s="64"/>
      <c r="OLF19" s="64"/>
      <c r="OLG19" s="64"/>
      <c r="OLH19" s="64"/>
      <c r="OLI19" s="64"/>
      <c r="OLJ19" s="64"/>
      <c r="OLK19" s="64"/>
      <c r="OLL19" s="64"/>
      <c r="OLM19" s="64"/>
      <c r="OLN19" s="64"/>
      <c r="OLO19" s="64"/>
      <c r="OLP19" s="64"/>
      <c r="OLQ19" s="64"/>
      <c r="OLR19" s="64"/>
      <c r="OLS19" s="64"/>
      <c r="OLT19" s="64"/>
      <c r="OLU19" s="64"/>
      <c r="OLV19" s="64"/>
      <c r="OLW19" s="64"/>
      <c r="OLX19" s="64"/>
      <c r="OLY19" s="64"/>
      <c r="OLZ19" s="64"/>
      <c r="OMA19" s="64"/>
      <c r="OMB19" s="64"/>
      <c r="OMC19" s="64"/>
      <c r="OMD19" s="64"/>
      <c r="OME19" s="64"/>
      <c r="OMF19" s="64"/>
      <c r="OMG19" s="64"/>
      <c r="OMH19" s="64"/>
      <c r="OMI19" s="64"/>
      <c r="OMJ19" s="64"/>
      <c r="OMK19" s="64"/>
      <c r="OML19" s="64"/>
      <c r="OMM19" s="64"/>
      <c r="OMN19" s="64"/>
      <c r="OMO19" s="64"/>
      <c r="OMP19" s="64"/>
      <c r="OMQ19" s="64"/>
      <c r="OMR19" s="64"/>
      <c r="OMS19" s="64"/>
      <c r="OMT19" s="64"/>
      <c r="OMU19" s="64"/>
      <c r="OMV19" s="64"/>
      <c r="OMW19" s="64"/>
      <c r="OMX19" s="64"/>
      <c r="OMY19" s="64"/>
      <c r="OMZ19" s="64"/>
      <c r="ONA19" s="64"/>
      <c r="ONB19" s="64"/>
      <c r="ONC19" s="64"/>
      <c r="OND19" s="64"/>
      <c r="ONE19" s="64"/>
      <c r="ONF19" s="64"/>
      <c r="ONG19" s="64"/>
      <c r="ONH19" s="64"/>
      <c r="ONI19" s="64"/>
      <c r="ONJ19" s="64"/>
      <c r="ONK19" s="64"/>
      <c r="ONL19" s="64"/>
      <c r="ONM19" s="64"/>
      <c r="ONN19" s="64"/>
      <c r="ONO19" s="64"/>
      <c r="ONP19" s="64"/>
      <c r="ONQ19" s="64"/>
      <c r="ONR19" s="64"/>
      <c r="ONS19" s="64"/>
      <c r="ONT19" s="64"/>
      <c r="ONU19" s="64"/>
      <c r="ONV19" s="64"/>
      <c r="ONW19" s="64"/>
      <c r="ONX19" s="64"/>
      <c r="ONY19" s="64"/>
      <c r="ONZ19" s="64"/>
      <c r="OOA19" s="64"/>
      <c r="OOB19" s="64"/>
      <c r="OOC19" s="64"/>
      <c r="OOD19" s="64"/>
      <c r="OOE19" s="64"/>
      <c r="OOF19" s="64"/>
      <c r="OOG19" s="64"/>
      <c r="OOH19" s="64"/>
      <c r="OOI19" s="64"/>
      <c r="OOJ19" s="64"/>
      <c r="OOK19" s="64"/>
      <c r="OOL19" s="64"/>
      <c r="OOM19" s="64"/>
      <c r="OON19" s="64"/>
      <c r="OOO19" s="64"/>
      <c r="OOP19" s="64"/>
      <c r="OOQ19" s="64"/>
      <c r="OOR19" s="64"/>
      <c r="OOS19" s="64"/>
      <c r="OOT19" s="64"/>
      <c r="OOU19" s="64"/>
      <c r="OOV19" s="64"/>
      <c r="OOW19" s="64"/>
      <c r="OOX19" s="64"/>
      <c r="OOY19" s="64"/>
      <c r="OOZ19" s="64"/>
      <c r="OPA19" s="64"/>
      <c r="OPB19" s="64"/>
      <c r="OPC19" s="64"/>
      <c r="OPD19" s="64"/>
      <c r="OPE19" s="64"/>
      <c r="OPF19" s="64"/>
      <c r="OPG19" s="64"/>
      <c r="OPH19" s="64"/>
      <c r="OPI19" s="64"/>
      <c r="OPJ19" s="64"/>
      <c r="OPK19" s="64"/>
      <c r="OPL19" s="64"/>
      <c r="OPM19" s="64"/>
      <c r="OPN19" s="64"/>
      <c r="OPO19" s="64"/>
      <c r="OPP19" s="64"/>
      <c r="OPQ19" s="64"/>
      <c r="OPR19" s="64"/>
      <c r="OPS19" s="64"/>
      <c r="OPT19" s="64"/>
      <c r="OPU19" s="64"/>
      <c r="OPV19" s="64"/>
      <c r="OPW19" s="64"/>
      <c r="OPX19" s="64"/>
      <c r="OPY19" s="64"/>
      <c r="OPZ19" s="64"/>
      <c r="OQA19" s="64"/>
      <c r="OQB19" s="64"/>
      <c r="OQC19" s="64"/>
      <c r="OQD19" s="64"/>
      <c r="OQE19" s="64"/>
      <c r="OQF19" s="64"/>
      <c r="OQG19" s="64"/>
      <c r="OQH19" s="64"/>
      <c r="OQI19" s="64"/>
      <c r="OQJ19" s="64"/>
      <c r="OQK19" s="64"/>
      <c r="OQL19" s="64"/>
      <c r="OQM19" s="64"/>
      <c r="OQN19" s="64"/>
      <c r="OQO19" s="64"/>
      <c r="OQP19" s="64"/>
      <c r="OQQ19" s="64"/>
      <c r="OQR19" s="64"/>
      <c r="OQS19" s="64"/>
      <c r="OQT19" s="64"/>
      <c r="OQU19" s="64"/>
      <c r="OQV19" s="64"/>
      <c r="OQW19" s="64"/>
      <c r="OQX19" s="64"/>
      <c r="OQY19" s="64"/>
      <c r="OQZ19" s="64"/>
      <c r="ORA19" s="64"/>
      <c r="ORB19" s="64"/>
      <c r="ORC19" s="64"/>
      <c r="ORD19" s="64"/>
      <c r="ORE19" s="64"/>
      <c r="ORF19" s="64"/>
      <c r="ORG19" s="64"/>
      <c r="ORH19" s="64"/>
      <c r="ORI19" s="64"/>
      <c r="ORJ19" s="64"/>
      <c r="ORK19" s="64"/>
      <c r="ORL19" s="64"/>
      <c r="ORM19" s="64"/>
      <c r="ORN19" s="64"/>
      <c r="ORO19" s="64"/>
      <c r="ORP19" s="64"/>
      <c r="ORQ19" s="64"/>
      <c r="ORR19" s="64"/>
      <c r="ORS19" s="64"/>
      <c r="ORT19" s="64"/>
      <c r="ORU19" s="64"/>
      <c r="ORV19" s="64"/>
      <c r="ORW19" s="64"/>
      <c r="ORX19" s="64"/>
      <c r="ORY19" s="64"/>
      <c r="ORZ19" s="64"/>
      <c r="OSA19" s="64"/>
      <c r="OSB19" s="64"/>
      <c r="OSC19" s="64"/>
      <c r="OSD19" s="64"/>
      <c r="OSE19" s="64"/>
      <c r="OSF19" s="64"/>
      <c r="OSG19" s="64"/>
      <c r="OSH19" s="64"/>
      <c r="OSI19" s="64"/>
      <c r="OSJ19" s="64"/>
      <c r="OSK19" s="64"/>
      <c r="OSL19" s="64"/>
      <c r="OSM19" s="64"/>
      <c r="OSN19" s="64"/>
      <c r="OSO19" s="64"/>
      <c r="OSP19" s="64"/>
      <c r="OSQ19" s="64"/>
      <c r="OSR19" s="64"/>
      <c r="OSS19" s="64"/>
      <c r="OST19" s="64"/>
      <c r="OSU19" s="64"/>
      <c r="OSV19" s="64"/>
      <c r="OSW19" s="64"/>
      <c r="OSX19" s="64"/>
      <c r="OSY19" s="64"/>
      <c r="OSZ19" s="64"/>
      <c r="OTA19" s="64"/>
      <c r="OTB19" s="64"/>
      <c r="OTC19" s="64"/>
      <c r="OTD19" s="64"/>
      <c r="OTE19" s="64"/>
      <c r="OTF19" s="64"/>
      <c r="OTG19" s="64"/>
      <c r="OTH19" s="64"/>
      <c r="OTI19" s="64"/>
      <c r="OTJ19" s="64"/>
      <c r="OTK19" s="64"/>
      <c r="OTL19" s="64"/>
      <c r="OTM19" s="64"/>
      <c r="OTN19" s="64"/>
      <c r="OTO19" s="64"/>
      <c r="OTP19" s="64"/>
      <c r="OTQ19" s="64"/>
      <c r="OTR19" s="64"/>
      <c r="OTS19" s="64"/>
      <c r="OTT19" s="64"/>
      <c r="OTU19" s="64"/>
      <c r="OTV19" s="64"/>
      <c r="OTW19" s="64"/>
      <c r="OTX19" s="64"/>
      <c r="OTY19" s="64"/>
      <c r="OTZ19" s="64"/>
      <c r="OUA19" s="64"/>
      <c r="OUB19" s="64"/>
      <c r="OUC19" s="64"/>
      <c r="OUD19" s="64"/>
      <c r="OUE19" s="64"/>
      <c r="OUF19" s="64"/>
      <c r="OUG19" s="64"/>
      <c r="OUH19" s="64"/>
      <c r="OUI19" s="64"/>
      <c r="OUJ19" s="64"/>
      <c r="OUK19" s="64"/>
      <c r="OUL19" s="64"/>
      <c r="OUM19" s="64"/>
      <c r="OUN19" s="64"/>
      <c r="OUO19" s="64"/>
      <c r="OUP19" s="64"/>
      <c r="OUQ19" s="64"/>
      <c r="OUR19" s="64"/>
      <c r="OUS19" s="64"/>
      <c r="OUT19" s="64"/>
      <c r="OUU19" s="64"/>
      <c r="OUV19" s="64"/>
      <c r="OUW19" s="64"/>
      <c r="OUX19" s="64"/>
      <c r="OUY19" s="64"/>
      <c r="OUZ19" s="64"/>
      <c r="OVA19" s="64"/>
      <c r="OVB19" s="64"/>
      <c r="OVC19" s="64"/>
      <c r="OVD19" s="64"/>
      <c r="OVE19" s="64"/>
      <c r="OVF19" s="64"/>
      <c r="OVG19" s="64"/>
      <c r="OVH19" s="64"/>
      <c r="OVI19" s="64"/>
      <c r="OVJ19" s="64"/>
      <c r="OVK19" s="64"/>
      <c r="OVL19" s="64"/>
      <c r="OVM19" s="64"/>
      <c r="OVN19" s="64"/>
      <c r="OVO19" s="64"/>
      <c r="OVP19" s="64"/>
      <c r="OVQ19" s="64"/>
      <c r="OVR19" s="64"/>
      <c r="OVS19" s="64"/>
      <c r="OVT19" s="64"/>
      <c r="OVU19" s="64"/>
      <c r="OVV19" s="64"/>
      <c r="OVW19" s="64"/>
      <c r="OVX19" s="64"/>
      <c r="OVY19" s="64"/>
      <c r="OVZ19" s="64"/>
      <c r="OWA19" s="64"/>
      <c r="OWB19" s="64"/>
      <c r="OWC19" s="64"/>
      <c r="OWD19" s="64"/>
      <c r="OWE19" s="64"/>
      <c r="OWF19" s="64"/>
      <c r="OWG19" s="64"/>
      <c r="OWH19" s="64"/>
      <c r="OWI19" s="64"/>
      <c r="OWJ19" s="64"/>
      <c r="OWK19" s="64"/>
      <c r="OWL19" s="64"/>
      <c r="OWM19" s="64"/>
      <c r="OWN19" s="64"/>
      <c r="OWO19" s="64"/>
      <c r="OWP19" s="64"/>
      <c r="OWQ19" s="64"/>
      <c r="OWR19" s="64"/>
      <c r="OWS19" s="64"/>
      <c r="OWT19" s="64"/>
      <c r="OWU19" s="64"/>
      <c r="OWV19" s="64"/>
      <c r="OWW19" s="64"/>
      <c r="OWX19" s="64"/>
      <c r="OWY19" s="64"/>
      <c r="OWZ19" s="64"/>
      <c r="OXA19" s="64"/>
      <c r="OXB19" s="64"/>
      <c r="OXC19" s="64"/>
      <c r="OXD19" s="64"/>
      <c r="OXE19" s="64"/>
      <c r="OXF19" s="64"/>
      <c r="OXG19" s="64"/>
      <c r="OXH19" s="64"/>
      <c r="OXI19" s="64"/>
      <c r="OXJ19" s="64"/>
      <c r="OXK19" s="64"/>
      <c r="OXL19" s="64"/>
      <c r="OXM19" s="64"/>
      <c r="OXN19" s="64"/>
      <c r="OXO19" s="64"/>
      <c r="OXP19" s="64"/>
      <c r="OXQ19" s="64"/>
      <c r="OXR19" s="64"/>
      <c r="OXS19" s="64"/>
      <c r="OXT19" s="64"/>
      <c r="OXU19" s="64"/>
      <c r="OXV19" s="64"/>
      <c r="OXW19" s="64"/>
      <c r="OXX19" s="64"/>
      <c r="OXY19" s="64"/>
      <c r="OXZ19" s="64"/>
      <c r="OYA19" s="64"/>
      <c r="OYB19" s="64"/>
      <c r="OYC19" s="64"/>
      <c r="OYD19" s="64"/>
      <c r="OYE19" s="64"/>
      <c r="OYF19" s="64"/>
      <c r="OYG19" s="64"/>
      <c r="OYH19" s="64"/>
      <c r="OYI19" s="64"/>
      <c r="OYJ19" s="64"/>
      <c r="OYK19" s="64"/>
      <c r="OYL19" s="64"/>
      <c r="OYM19" s="64"/>
      <c r="OYN19" s="64"/>
      <c r="OYO19" s="64"/>
      <c r="OYP19" s="64"/>
      <c r="OYQ19" s="64"/>
      <c r="OYR19" s="64"/>
      <c r="OYS19" s="64"/>
      <c r="OYT19" s="64"/>
      <c r="OYU19" s="64"/>
      <c r="OYV19" s="64"/>
      <c r="OYW19" s="64"/>
      <c r="OYX19" s="64"/>
      <c r="OYY19" s="64"/>
      <c r="OYZ19" s="64"/>
      <c r="OZA19" s="64"/>
      <c r="OZB19" s="64"/>
      <c r="OZC19" s="64"/>
      <c r="OZD19" s="64"/>
      <c r="OZE19" s="64"/>
      <c r="OZF19" s="64"/>
      <c r="OZG19" s="64"/>
      <c r="OZH19" s="64"/>
      <c r="OZI19" s="64"/>
      <c r="OZJ19" s="64"/>
      <c r="OZK19" s="64"/>
      <c r="OZL19" s="64"/>
      <c r="OZM19" s="64"/>
      <c r="OZN19" s="64"/>
      <c r="OZO19" s="64"/>
      <c r="OZP19" s="64"/>
      <c r="OZQ19" s="64"/>
      <c r="OZR19" s="64"/>
      <c r="OZS19" s="64"/>
      <c r="OZT19" s="64"/>
      <c r="OZU19" s="64"/>
      <c r="OZV19" s="64"/>
      <c r="OZW19" s="64"/>
      <c r="OZX19" s="64"/>
      <c r="OZY19" s="64"/>
      <c r="OZZ19" s="64"/>
      <c r="PAA19" s="64"/>
      <c r="PAB19" s="64"/>
      <c r="PAC19" s="64"/>
      <c r="PAD19" s="64"/>
      <c r="PAE19" s="64"/>
      <c r="PAF19" s="64"/>
      <c r="PAG19" s="64"/>
      <c r="PAH19" s="64"/>
      <c r="PAI19" s="64"/>
      <c r="PAJ19" s="64"/>
      <c r="PAK19" s="64"/>
      <c r="PAL19" s="64"/>
      <c r="PAM19" s="64"/>
      <c r="PAN19" s="64"/>
      <c r="PAO19" s="64"/>
      <c r="PAP19" s="64"/>
      <c r="PAQ19" s="64"/>
      <c r="PAR19" s="64"/>
      <c r="PAS19" s="64"/>
      <c r="PAT19" s="64"/>
      <c r="PAU19" s="64"/>
      <c r="PAV19" s="64"/>
      <c r="PAW19" s="64"/>
      <c r="PAX19" s="64"/>
      <c r="PAY19" s="64"/>
      <c r="PAZ19" s="64"/>
      <c r="PBA19" s="64"/>
      <c r="PBB19" s="64"/>
      <c r="PBC19" s="64"/>
      <c r="PBD19" s="64"/>
      <c r="PBE19" s="64"/>
      <c r="PBF19" s="64"/>
      <c r="PBG19" s="64"/>
      <c r="PBH19" s="64"/>
      <c r="PBI19" s="64"/>
      <c r="PBJ19" s="64"/>
      <c r="PBK19" s="64"/>
      <c r="PBL19" s="64"/>
      <c r="PBM19" s="64"/>
      <c r="PBN19" s="64"/>
      <c r="PBO19" s="64"/>
      <c r="PBP19" s="64"/>
      <c r="PBQ19" s="64"/>
      <c r="PBR19" s="64"/>
      <c r="PBS19" s="64"/>
      <c r="PBT19" s="64"/>
      <c r="PBU19" s="64"/>
      <c r="PBV19" s="64"/>
      <c r="PBW19" s="64"/>
      <c r="PBX19" s="64"/>
      <c r="PBY19" s="64"/>
      <c r="PBZ19" s="64"/>
      <c r="PCA19" s="64"/>
      <c r="PCB19" s="64"/>
      <c r="PCC19" s="64"/>
      <c r="PCD19" s="64"/>
      <c r="PCE19" s="64"/>
      <c r="PCF19" s="64"/>
      <c r="PCG19" s="64"/>
      <c r="PCH19" s="64"/>
      <c r="PCI19" s="64"/>
      <c r="PCJ19" s="64"/>
      <c r="PCK19" s="64"/>
      <c r="PCL19" s="64"/>
      <c r="PCM19" s="64"/>
      <c r="PCN19" s="64"/>
      <c r="PCO19" s="64"/>
      <c r="PCP19" s="64"/>
      <c r="PCQ19" s="64"/>
      <c r="PCR19" s="64"/>
      <c r="PCS19" s="64"/>
      <c r="PCT19" s="64"/>
      <c r="PCU19" s="64"/>
      <c r="PCV19" s="64"/>
      <c r="PCW19" s="64"/>
      <c r="PCX19" s="64"/>
      <c r="PCY19" s="64"/>
      <c r="PCZ19" s="64"/>
      <c r="PDA19" s="64"/>
      <c r="PDB19" s="64"/>
      <c r="PDC19" s="64"/>
      <c r="PDD19" s="64"/>
      <c r="PDE19" s="64"/>
      <c r="PDF19" s="64"/>
      <c r="PDG19" s="64"/>
      <c r="PDH19" s="64"/>
      <c r="PDI19" s="64"/>
      <c r="PDJ19" s="64"/>
      <c r="PDK19" s="64"/>
      <c r="PDL19" s="64"/>
      <c r="PDM19" s="64"/>
      <c r="PDN19" s="64"/>
      <c r="PDO19" s="64"/>
      <c r="PDP19" s="64"/>
      <c r="PDQ19" s="64"/>
      <c r="PDR19" s="64"/>
      <c r="PDS19" s="64"/>
      <c r="PDT19" s="64"/>
      <c r="PDU19" s="64"/>
      <c r="PDV19" s="64"/>
      <c r="PDW19" s="64"/>
      <c r="PDX19" s="64"/>
      <c r="PDY19" s="64"/>
      <c r="PDZ19" s="64"/>
      <c r="PEA19" s="64"/>
      <c r="PEB19" s="64"/>
      <c r="PEC19" s="64"/>
      <c r="PED19" s="64"/>
      <c r="PEE19" s="64"/>
      <c r="PEF19" s="64"/>
      <c r="PEG19" s="64"/>
      <c r="PEH19" s="64"/>
      <c r="PEI19" s="64"/>
      <c r="PEJ19" s="64"/>
      <c r="PEK19" s="64"/>
      <c r="PEL19" s="64"/>
      <c r="PEM19" s="64"/>
      <c r="PEN19" s="64"/>
      <c r="PEO19" s="64"/>
      <c r="PEP19" s="64"/>
      <c r="PEQ19" s="64"/>
      <c r="PER19" s="64"/>
      <c r="PES19" s="64"/>
      <c r="PET19" s="64"/>
      <c r="PEU19" s="64"/>
      <c r="PEV19" s="64"/>
      <c r="PEW19" s="64"/>
      <c r="PEX19" s="64"/>
      <c r="PEY19" s="64"/>
      <c r="PEZ19" s="64"/>
      <c r="PFA19" s="64"/>
      <c r="PFB19" s="64"/>
      <c r="PFC19" s="64"/>
      <c r="PFD19" s="64"/>
      <c r="PFE19" s="64"/>
      <c r="PFF19" s="64"/>
      <c r="PFG19" s="64"/>
      <c r="PFH19" s="64"/>
      <c r="PFI19" s="64"/>
      <c r="PFJ19" s="64"/>
      <c r="PFK19" s="64"/>
      <c r="PFL19" s="64"/>
      <c r="PFM19" s="64"/>
      <c r="PFN19" s="64"/>
      <c r="PFO19" s="64"/>
      <c r="PFP19" s="64"/>
      <c r="PFQ19" s="64"/>
      <c r="PFR19" s="64"/>
      <c r="PFS19" s="64"/>
      <c r="PFT19" s="64"/>
      <c r="PFU19" s="64"/>
      <c r="PFV19" s="64"/>
      <c r="PFW19" s="64"/>
      <c r="PFX19" s="64"/>
      <c r="PFY19" s="64"/>
      <c r="PFZ19" s="64"/>
      <c r="PGA19" s="64"/>
      <c r="PGB19" s="64"/>
      <c r="PGC19" s="64"/>
      <c r="PGD19" s="64"/>
      <c r="PGE19" s="64"/>
      <c r="PGF19" s="64"/>
      <c r="PGG19" s="64"/>
      <c r="PGH19" s="64"/>
      <c r="PGI19" s="64"/>
      <c r="PGJ19" s="64"/>
      <c r="PGK19" s="64"/>
      <c r="PGL19" s="64"/>
      <c r="PGM19" s="64"/>
      <c r="PGN19" s="64"/>
      <c r="PGO19" s="64"/>
      <c r="PGP19" s="64"/>
      <c r="PGQ19" s="64"/>
      <c r="PGR19" s="64"/>
      <c r="PGS19" s="64"/>
      <c r="PGT19" s="64"/>
      <c r="PGU19" s="64"/>
      <c r="PGV19" s="64"/>
      <c r="PGW19" s="64"/>
      <c r="PGX19" s="64"/>
      <c r="PGY19" s="64"/>
      <c r="PGZ19" s="64"/>
      <c r="PHA19" s="64"/>
      <c r="PHB19" s="64"/>
      <c r="PHC19" s="64"/>
      <c r="PHD19" s="64"/>
      <c r="PHE19" s="64"/>
      <c r="PHF19" s="64"/>
      <c r="PHG19" s="64"/>
      <c r="PHH19" s="64"/>
      <c r="PHI19" s="64"/>
      <c r="PHJ19" s="64"/>
      <c r="PHK19" s="64"/>
      <c r="PHL19" s="64"/>
      <c r="PHM19" s="64"/>
      <c r="PHN19" s="64"/>
      <c r="PHO19" s="64"/>
      <c r="PHP19" s="64"/>
      <c r="PHQ19" s="64"/>
      <c r="PHR19" s="64"/>
      <c r="PHS19" s="64"/>
      <c r="PHT19" s="64"/>
      <c r="PHU19" s="64"/>
      <c r="PHV19" s="64"/>
      <c r="PHW19" s="64"/>
      <c r="PHX19" s="64"/>
      <c r="PHY19" s="64"/>
      <c r="PHZ19" s="64"/>
      <c r="PIA19" s="64"/>
      <c r="PIB19" s="64"/>
      <c r="PIC19" s="64"/>
      <c r="PID19" s="64"/>
      <c r="PIE19" s="64"/>
      <c r="PIF19" s="64"/>
      <c r="PIG19" s="64"/>
      <c r="PIH19" s="64"/>
      <c r="PII19" s="64"/>
      <c r="PIJ19" s="64"/>
      <c r="PIK19" s="64"/>
      <c r="PIL19" s="64"/>
      <c r="PIM19" s="64"/>
      <c r="PIN19" s="64"/>
      <c r="PIO19" s="64"/>
      <c r="PIP19" s="64"/>
      <c r="PIQ19" s="64"/>
      <c r="PIR19" s="64"/>
      <c r="PIS19" s="64"/>
      <c r="PIT19" s="64"/>
      <c r="PIU19" s="64"/>
      <c r="PIV19" s="64"/>
      <c r="PIW19" s="64"/>
      <c r="PIX19" s="64"/>
      <c r="PIY19" s="64"/>
      <c r="PIZ19" s="64"/>
      <c r="PJA19" s="64"/>
      <c r="PJB19" s="64"/>
      <c r="PJC19" s="64"/>
      <c r="PJD19" s="64"/>
      <c r="PJE19" s="64"/>
      <c r="PJF19" s="64"/>
      <c r="PJG19" s="64"/>
      <c r="PJH19" s="64"/>
      <c r="PJI19" s="64"/>
      <c r="PJJ19" s="64"/>
      <c r="PJK19" s="64"/>
      <c r="PJL19" s="64"/>
      <c r="PJM19" s="64"/>
      <c r="PJN19" s="64"/>
      <c r="PJO19" s="64"/>
      <c r="PJP19" s="64"/>
      <c r="PJQ19" s="64"/>
      <c r="PJR19" s="64"/>
      <c r="PJS19" s="64"/>
      <c r="PJT19" s="64"/>
      <c r="PJU19" s="64"/>
      <c r="PJV19" s="64"/>
      <c r="PJW19" s="64"/>
      <c r="PJX19" s="64"/>
      <c r="PJY19" s="64"/>
      <c r="PJZ19" s="64"/>
      <c r="PKA19" s="64"/>
      <c r="PKB19" s="64"/>
      <c r="PKC19" s="64"/>
      <c r="PKD19" s="64"/>
      <c r="PKE19" s="64"/>
      <c r="PKF19" s="64"/>
      <c r="PKG19" s="64"/>
      <c r="PKH19" s="64"/>
      <c r="PKI19" s="64"/>
      <c r="PKJ19" s="64"/>
      <c r="PKK19" s="64"/>
      <c r="PKL19" s="64"/>
      <c r="PKM19" s="64"/>
      <c r="PKN19" s="64"/>
      <c r="PKO19" s="64"/>
      <c r="PKP19" s="64"/>
      <c r="PKQ19" s="64"/>
      <c r="PKR19" s="64"/>
      <c r="PKS19" s="64"/>
      <c r="PKT19" s="64"/>
      <c r="PKU19" s="64"/>
      <c r="PKV19" s="64"/>
      <c r="PKW19" s="64"/>
      <c r="PKX19" s="64"/>
      <c r="PKY19" s="64"/>
      <c r="PKZ19" s="64"/>
      <c r="PLA19" s="64"/>
      <c r="PLB19" s="64"/>
      <c r="PLC19" s="64"/>
      <c r="PLD19" s="64"/>
      <c r="PLE19" s="64"/>
      <c r="PLF19" s="64"/>
      <c r="PLG19" s="64"/>
      <c r="PLH19" s="64"/>
      <c r="PLI19" s="64"/>
      <c r="PLJ19" s="64"/>
      <c r="PLK19" s="64"/>
      <c r="PLL19" s="64"/>
      <c r="PLM19" s="64"/>
      <c r="PLN19" s="64"/>
      <c r="PLO19" s="64"/>
      <c r="PLP19" s="64"/>
      <c r="PLQ19" s="64"/>
      <c r="PLR19" s="64"/>
      <c r="PLS19" s="64"/>
      <c r="PLT19" s="64"/>
      <c r="PLU19" s="64"/>
      <c r="PLV19" s="64"/>
      <c r="PLW19" s="64"/>
      <c r="PLX19" s="64"/>
      <c r="PLY19" s="64"/>
      <c r="PLZ19" s="64"/>
      <c r="PMA19" s="64"/>
      <c r="PMB19" s="64"/>
      <c r="PMC19" s="64"/>
      <c r="PMD19" s="64"/>
      <c r="PME19" s="64"/>
      <c r="PMF19" s="64"/>
      <c r="PMG19" s="64"/>
      <c r="PMH19" s="64"/>
      <c r="PMI19" s="64"/>
      <c r="PMJ19" s="64"/>
      <c r="PMK19" s="64"/>
      <c r="PML19" s="64"/>
      <c r="PMM19" s="64"/>
      <c r="PMN19" s="64"/>
      <c r="PMO19" s="64"/>
      <c r="PMP19" s="64"/>
      <c r="PMQ19" s="64"/>
      <c r="PMR19" s="64"/>
      <c r="PMS19" s="64"/>
      <c r="PMT19" s="64"/>
      <c r="PMU19" s="64"/>
      <c r="PMV19" s="64"/>
      <c r="PMW19" s="64"/>
      <c r="PMX19" s="64"/>
      <c r="PMY19" s="64"/>
      <c r="PMZ19" s="64"/>
      <c r="PNA19" s="64"/>
      <c r="PNB19" s="64"/>
      <c r="PNC19" s="64"/>
      <c r="PND19" s="64"/>
      <c r="PNE19" s="64"/>
      <c r="PNF19" s="64"/>
      <c r="PNG19" s="64"/>
      <c r="PNH19" s="64"/>
      <c r="PNI19" s="64"/>
      <c r="PNJ19" s="64"/>
      <c r="PNK19" s="64"/>
      <c r="PNL19" s="64"/>
      <c r="PNM19" s="64"/>
      <c r="PNN19" s="64"/>
      <c r="PNO19" s="64"/>
      <c r="PNP19" s="64"/>
      <c r="PNQ19" s="64"/>
      <c r="PNR19" s="64"/>
      <c r="PNS19" s="64"/>
      <c r="PNT19" s="64"/>
      <c r="PNU19" s="64"/>
      <c r="PNV19" s="64"/>
      <c r="PNW19" s="64"/>
      <c r="PNX19" s="64"/>
      <c r="PNY19" s="64"/>
      <c r="PNZ19" s="64"/>
      <c r="POA19" s="64"/>
      <c r="POB19" s="64"/>
      <c r="POC19" s="64"/>
      <c r="POD19" s="64"/>
      <c r="POE19" s="64"/>
      <c r="POF19" s="64"/>
      <c r="POG19" s="64"/>
      <c r="POH19" s="64"/>
      <c r="POI19" s="64"/>
      <c r="POJ19" s="64"/>
      <c r="POK19" s="64"/>
      <c r="POL19" s="64"/>
      <c r="POM19" s="64"/>
      <c r="PON19" s="64"/>
      <c r="POO19" s="64"/>
      <c r="POP19" s="64"/>
      <c r="POQ19" s="64"/>
      <c r="POR19" s="64"/>
      <c r="POS19" s="64"/>
      <c r="POT19" s="64"/>
      <c r="POU19" s="64"/>
      <c r="POV19" s="64"/>
      <c r="POW19" s="64"/>
      <c r="POX19" s="64"/>
      <c r="POY19" s="64"/>
      <c r="POZ19" s="64"/>
      <c r="PPA19" s="64"/>
      <c r="PPB19" s="64"/>
      <c r="PPC19" s="64"/>
      <c r="PPD19" s="64"/>
      <c r="PPE19" s="64"/>
      <c r="PPF19" s="64"/>
      <c r="PPG19" s="64"/>
      <c r="PPH19" s="64"/>
      <c r="PPI19" s="64"/>
      <c r="PPJ19" s="64"/>
      <c r="PPK19" s="64"/>
      <c r="PPL19" s="64"/>
      <c r="PPM19" s="64"/>
      <c r="PPN19" s="64"/>
      <c r="PPO19" s="64"/>
      <c r="PPP19" s="64"/>
      <c r="PPQ19" s="64"/>
      <c r="PPR19" s="64"/>
      <c r="PPS19" s="64"/>
      <c r="PPT19" s="64"/>
      <c r="PPU19" s="64"/>
      <c r="PPV19" s="64"/>
      <c r="PPW19" s="64"/>
      <c r="PPX19" s="64"/>
      <c r="PPY19" s="64"/>
      <c r="PPZ19" s="64"/>
      <c r="PQA19" s="64"/>
      <c r="PQB19" s="64"/>
      <c r="PQC19" s="64"/>
      <c r="PQD19" s="64"/>
      <c r="PQE19" s="64"/>
      <c r="PQF19" s="64"/>
      <c r="PQG19" s="64"/>
      <c r="PQH19" s="64"/>
      <c r="PQI19" s="64"/>
      <c r="PQJ19" s="64"/>
      <c r="PQK19" s="64"/>
      <c r="PQL19" s="64"/>
      <c r="PQM19" s="64"/>
      <c r="PQN19" s="64"/>
      <c r="PQO19" s="64"/>
      <c r="PQP19" s="64"/>
      <c r="PQQ19" s="64"/>
      <c r="PQR19" s="64"/>
      <c r="PQS19" s="64"/>
      <c r="PQT19" s="64"/>
      <c r="PQU19" s="64"/>
      <c r="PQV19" s="64"/>
      <c r="PQW19" s="64"/>
      <c r="PQX19" s="64"/>
      <c r="PQY19" s="64"/>
      <c r="PQZ19" s="64"/>
      <c r="PRA19" s="64"/>
      <c r="PRB19" s="64"/>
      <c r="PRC19" s="64"/>
      <c r="PRD19" s="64"/>
      <c r="PRE19" s="64"/>
      <c r="PRF19" s="64"/>
      <c r="PRG19" s="64"/>
      <c r="PRH19" s="64"/>
      <c r="PRI19" s="64"/>
      <c r="PRJ19" s="64"/>
      <c r="PRK19" s="64"/>
      <c r="PRL19" s="64"/>
      <c r="PRM19" s="64"/>
      <c r="PRN19" s="64"/>
      <c r="PRO19" s="64"/>
      <c r="PRP19" s="64"/>
      <c r="PRQ19" s="64"/>
      <c r="PRR19" s="64"/>
      <c r="PRS19" s="64"/>
      <c r="PRT19" s="64"/>
      <c r="PRU19" s="64"/>
      <c r="PRV19" s="64"/>
      <c r="PRW19" s="64"/>
      <c r="PRX19" s="64"/>
      <c r="PRY19" s="64"/>
      <c r="PRZ19" s="64"/>
      <c r="PSA19" s="64"/>
      <c r="PSB19" s="64"/>
      <c r="PSC19" s="64"/>
      <c r="PSD19" s="64"/>
      <c r="PSE19" s="64"/>
      <c r="PSF19" s="64"/>
      <c r="PSG19" s="64"/>
      <c r="PSH19" s="64"/>
      <c r="PSI19" s="64"/>
      <c r="PSJ19" s="64"/>
      <c r="PSK19" s="64"/>
      <c r="PSL19" s="64"/>
      <c r="PSM19" s="64"/>
      <c r="PSN19" s="64"/>
      <c r="PSO19" s="64"/>
      <c r="PSP19" s="64"/>
      <c r="PSQ19" s="64"/>
      <c r="PSR19" s="64"/>
      <c r="PSS19" s="64"/>
      <c r="PST19" s="64"/>
      <c r="PSU19" s="64"/>
      <c r="PSV19" s="64"/>
      <c r="PSW19" s="64"/>
      <c r="PSX19" s="64"/>
      <c r="PSY19" s="64"/>
      <c r="PSZ19" s="64"/>
      <c r="PTA19" s="64"/>
      <c r="PTB19" s="64"/>
      <c r="PTC19" s="64"/>
      <c r="PTD19" s="64"/>
      <c r="PTE19" s="64"/>
      <c r="PTF19" s="64"/>
      <c r="PTG19" s="64"/>
      <c r="PTH19" s="64"/>
      <c r="PTI19" s="64"/>
      <c r="PTJ19" s="64"/>
      <c r="PTK19" s="64"/>
      <c r="PTL19" s="64"/>
      <c r="PTM19" s="64"/>
      <c r="PTN19" s="64"/>
      <c r="PTO19" s="64"/>
      <c r="PTP19" s="64"/>
      <c r="PTQ19" s="64"/>
      <c r="PTR19" s="64"/>
      <c r="PTS19" s="64"/>
      <c r="PTT19" s="64"/>
      <c r="PTU19" s="64"/>
      <c r="PTV19" s="64"/>
      <c r="PTW19" s="64"/>
      <c r="PTX19" s="64"/>
      <c r="PTY19" s="64"/>
      <c r="PTZ19" s="64"/>
      <c r="PUA19" s="64"/>
      <c r="PUB19" s="64"/>
      <c r="PUC19" s="64"/>
      <c r="PUD19" s="64"/>
      <c r="PUE19" s="64"/>
      <c r="PUF19" s="64"/>
      <c r="PUG19" s="64"/>
      <c r="PUH19" s="64"/>
      <c r="PUI19" s="64"/>
      <c r="PUJ19" s="64"/>
      <c r="PUK19" s="64"/>
      <c r="PUL19" s="64"/>
      <c r="PUM19" s="64"/>
      <c r="PUN19" s="64"/>
      <c r="PUO19" s="64"/>
      <c r="PUP19" s="64"/>
      <c r="PUQ19" s="64"/>
      <c r="PUR19" s="64"/>
      <c r="PUS19" s="64"/>
      <c r="PUT19" s="64"/>
      <c r="PUU19" s="64"/>
      <c r="PUV19" s="64"/>
      <c r="PUW19" s="64"/>
      <c r="PUX19" s="64"/>
      <c r="PUY19" s="64"/>
      <c r="PUZ19" s="64"/>
      <c r="PVA19" s="64"/>
      <c r="PVB19" s="64"/>
      <c r="PVC19" s="64"/>
      <c r="PVD19" s="64"/>
      <c r="PVE19" s="64"/>
      <c r="PVF19" s="64"/>
      <c r="PVG19" s="64"/>
      <c r="PVH19" s="64"/>
      <c r="PVI19" s="64"/>
      <c r="PVJ19" s="64"/>
      <c r="PVK19" s="64"/>
      <c r="PVL19" s="64"/>
      <c r="PVM19" s="64"/>
      <c r="PVN19" s="64"/>
      <c r="PVO19" s="64"/>
      <c r="PVP19" s="64"/>
      <c r="PVQ19" s="64"/>
      <c r="PVR19" s="64"/>
      <c r="PVS19" s="64"/>
      <c r="PVT19" s="64"/>
      <c r="PVU19" s="64"/>
      <c r="PVV19" s="64"/>
      <c r="PVW19" s="64"/>
      <c r="PVX19" s="64"/>
      <c r="PVY19" s="64"/>
      <c r="PVZ19" s="64"/>
      <c r="PWA19" s="64"/>
      <c r="PWB19" s="64"/>
      <c r="PWC19" s="64"/>
      <c r="PWD19" s="64"/>
      <c r="PWE19" s="64"/>
      <c r="PWF19" s="64"/>
      <c r="PWG19" s="64"/>
      <c r="PWH19" s="64"/>
      <c r="PWI19" s="64"/>
      <c r="PWJ19" s="64"/>
      <c r="PWK19" s="64"/>
      <c r="PWL19" s="64"/>
      <c r="PWM19" s="64"/>
      <c r="PWN19" s="64"/>
      <c r="PWO19" s="64"/>
      <c r="PWP19" s="64"/>
      <c r="PWQ19" s="64"/>
      <c r="PWR19" s="64"/>
      <c r="PWS19" s="64"/>
      <c r="PWT19" s="64"/>
      <c r="PWU19" s="64"/>
      <c r="PWV19" s="64"/>
      <c r="PWW19" s="64"/>
      <c r="PWX19" s="64"/>
      <c r="PWY19" s="64"/>
      <c r="PWZ19" s="64"/>
      <c r="PXA19" s="64"/>
      <c r="PXB19" s="64"/>
      <c r="PXC19" s="64"/>
      <c r="PXD19" s="64"/>
      <c r="PXE19" s="64"/>
      <c r="PXF19" s="64"/>
      <c r="PXG19" s="64"/>
      <c r="PXH19" s="64"/>
      <c r="PXI19" s="64"/>
      <c r="PXJ19" s="64"/>
      <c r="PXK19" s="64"/>
      <c r="PXL19" s="64"/>
      <c r="PXM19" s="64"/>
      <c r="PXN19" s="64"/>
      <c r="PXO19" s="64"/>
      <c r="PXP19" s="64"/>
      <c r="PXQ19" s="64"/>
      <c r="PXR19" s="64"/>
      <c r="PXS19" s="64"/>
      <c r="PXT19" s="64"/>
      <c r="PXU19" s="64"/>
      <c r="PXV19" s="64"/>
      <c r="PXW19" s="64"/>
      <c r="PXX19" s="64"/>
      <c r="PXY19" s="64"/>
      <c r="PXZ19" s="64"/>
      <c r="PYA19" s="64"/>
      <c r="PYB19" s="64"/>
      <c r="PYC19" s="64"/>
      <c r="PYD19" s="64"/>
      <c r="PYE19" s="64"/>
      <c r="PYF19" s="64"/>
      <c r="PYG19" s="64"/>
      <c r="PYH19" s="64"/>
      <c r="PYI19" s="64"/>
      <c r="PYJ19" s="64"/>
      <c r="PYK19" s="64"/>
      <c r="PYL19" s="64"/>
      <c r="PYM19" s="64"/>
      <c r="PYN19" s="64"/>
      <c r="PYO19" s="64"/>
      <c r="PYP19" s="64"/>
      <c r="PYQ19" s="64"/>
      <c r="PYR19" s="64"/>
      <c r="PYS19" s="64"/>
      <c r="PYT19" s="64"/>
      <c r="PYU19" s="64"/>
      <c r="PYV19" s="64"/>
      <c r="PYW19" s="64"/>
      <c r="PYX19" s="64"/>
      <c r="PYY19" s="64"/>
      <c r="PYZ19" s="64"/>
      <c r="PZA19" s="64"/>
      <c r="PZB19" s="64"/>
      <c r="PZC19" s="64"/>
      <c r="PZD19" s="64"/>
      <c r="PZE19" s="64"/>
      <c r="PZF19" s="64"/>
      <c r="PZG19" s="64"/>
      <c r="PZH19" s="64"/>
      <c r="PZI19" s="64"/>
      <c r="PZJ19" s="64"/>
      <c r="PZK19" s="64"/>
      <c r="PZL19" s="64"/>
      <c r="PZM19" s="64"/>
      <c r="PZN19" s="64"/>
      <c r="PZO19" s="64"/>
      <c r="PZP19" s="64"/>
      <c r="PZQ19" s="64"/>
      <c r="PZR19" s="64"/>
      <c r="PZS19" s="64"/>
      <c r="PZT19" s="64"/>
      <c r="PZU19" s="64"/>
      <c r="PZV19" s="64"/>
      <c r="PZW19" s="64"/>
      <c r="PZX19" s="64"/>
      <c r="PZY19" s="64"/>
      <c r="PZZ19" s="64"/>
      <c r="QAA19" s="64"/>
      <c r="QAB19" s="64"/>
      <c r="QAC19" s="64"/>
      <c r="QAD19" s="64"/>
      <c r="QAE19" s="64"/>
      <c r="QAF19" s="64"/>
      <c r="QAG19" s="64"/>
      <c r="QAH19" s="64"/>
      <c r="QAI19" s="64"/>
      <c r="QAJ19" s="64"/>
      <c r="QAK19" s="64"/>
      <c r="QAL19" s="64"/>
      <c r="QAM19" s="64"/>
      <c r="QAN19" s="64"/>
      <c r="QAO19" s="64"/>
      <c r="QAP19" s="64"/>
      <c r="QAQ19" s="64"/>
      <c r="QAR19" s="64"/>
      <c r="QAS19" s="64"/>
      <c r="QAT19" s="64"/>
      <c r="QAU19" s="64"/>
      <c r="QAV19" s="64"/>
      <c r="QAW19" s="64"/>
      <c r="QAX19" s="64"/>
      <c r="QAY19" s="64"/>
      <c r="QAZ19" s="64"/>
      <c r="QBA19" s="64"/>
      <c r="QBB19" s="64"/>
      <c r="QBC19" s="64"/>
      <c r="QBD19" s="64"/>
      <c r="QBE19" s="64"/>
      <c r="QBF19" s="64"/>
      <c r="QBG19" s="64"/>
      <c r="QBH19" s="64"/>
      <c r="QBI19" s="64"/>
      <c r="QBJ19" s="64"/>
      <c r="QBK19" s="64"/>
      <c r="QBL19" s="64"/>
      <c r="QBM19" s="64"/>
      <c r="QBN19" s="64"/>
      <c r="QBO19" s="64"/>
      <c r="QBP19" s="64"/>
      <c r="QBQ19" s="64"/>
      <c r="QBR19" s="64"/>
      <c r="QBS19" s="64"/>
      <c r="QBT19" s="64"/>
      <c r="QBU19" s="64"/>
      <c r="QBV19" s="64"/>
      <c r="QBW19" s="64"/>
      <c r="QBX19" s="64"/>
      <c r="QBY19" s="64"/>
      <c r="QBZ19" s="64"/>
      <c r="QCA19" s="64"/>
      <c r="QCB19" s="64"/>
      <c r="QCC19" s="64"/>
      <c r="QCD19" s="64"/>
      <c r="QCE19" s="64"/>
      <c r="QCF19" s="64"/>
      <c r="QCG19" s="64"/>
      <c r="QCH19" s="64"/>
      <c r="QCI19" s="64"/>
      <c r="QCJ19" s="64"/>
      <c r="QCK19" s="64"/>
      <c r="QCL19" s="64"/>
      <c r="QCM19" s="64"/>
      <c r="QCN19" s="64"/>
      <c r="QCO19" s="64"/>
      <c r="QCP19" s="64"/>
      <c r="QCQ19" s="64"/>
      <c r="QCR19" s="64"/>
      <c r="QCS19" s="64"/>
      <c r="QCT19" s="64"/>
      <c r="QCU19" s="64"/>
      <c r="QCV19" s="64"/>
      <c r="QCW19" s="64"/>
      <c r="QCX19" s="64"/>
      <c r="QCY19" s="64"/>
      <c r="QCZ19" s="64"/>
      <c r="QDA19" s="64"/>
      <c r="QDB19" s="64"/>
      <c r="QDC19" s="64"/>
      <c r="QDD19" s="64"/>
      <c r="QDE19" s="64"/>
      <c r="QDF19" s="64"/>
      <c r="QDG19" s="64"/>
      <c r="QDH19" s="64"/>
      <c r="QDI19" s="64"/>
      <c r="QDJ19" s="64"/>
      <c r="QDK19" s="64"/>
      <c r="QDL19" s="64"/>
      <c r="QDM19" s="64"/>
      <c r="QDN19" s="64"/>
      <c r="QDO19" s="64"/>
      <c r="QDP19" s="64"/>
      <c r="QDQ19" s="64"/>
      <c r="QDR19" s="64"/>
      <c r="QDS19" s="64"/>
      <c r="QDT19" s="64"/>
      <c r="QDU19" s="64"/>
      <c r="QDV19" s="64"/>
      <c r="QDW19" s="64"/>
      <c r="QDX19" s="64"/>
      <c r="QDY19" s="64"/>
      <c r="QDZ19" s="64"/>
      <c r="QEA19" s="64"/>
      <c r="QEB19" s="64"/>
      <c r="QEC19" s="64"/>
      <c r="QED19" s="64"/>
      <c r="QEE19" s="64"/>
      <c r="QEF19" s="64"/>
      <c r="QEG19" s="64"/>
      <c r="QEH19" s="64"/>
      <c r="QEI19" s="64"/>
      <c r="QEJ19" s="64"/>
      <c r="QEK19" s="64"/>
      <c r="QEL19" s="64"/>
      <c r="QEM19" s="64"/>
      <c r="QEN19" s="64"/>
      <c r="QEO19" s="64"/>
      <c r="QEP19" s="64"/>
      <c r="QEQ19" s="64"/>
      <c r="QER19" s="64"/>
      <c r="QES19" s="64"/>
      <c r="QET19" s="64"/>
      <c r="QEU19" s="64"/>
      <c r="QEV19" s="64"/>
      <c r="QEW19" s="64"/>
      <c r="QEX19" s="64"/>
      <c r="QEY19" s="64"/>
      <c r="QEZ19" s="64"/>
      <c r="QFA19" s="64"/>
      <c r="QFB19" s="64"/>
      <c r="QFC19" s="64"/>
      <c r="QFD19" s="64"/>
      <c r="QFE19" s="64"/>
      <c r="QFF19" s="64"/>
      <c r="QFG19" s="64"/>
      <c r="QFH19" s="64"/>
      <c r="QFI19" s="64"/>
      <c r="QFJ19" s="64"/>
      <c r="QFK19" s="64"/>
      <c r="QFL19" s="64"/>
      <c r="QFM19" s="64"/>
      <c r="QFN19" s="64"/>
      <c r="QFO19" s="64"/>
      <c r="QFP19" s="64"/>
      <c r="QFQ19" s="64"/>
      <c r="QFR19" s="64"/>
      <c r="QFS19" s="64"/>
      <c r="QFT19" s="64"/>
      <c r="QFU19" s="64"/>
      <c r="QFV19" s="64"/>
      <c r="QFW19" s="64"/>
      <c r="QFX19" s="64"/>
      <c r="QFY19" s="64"/>
      <c r="QFZ19" s="64"/>
      <c r="QGA19" s="64"/>
      <c r="QGB19" s="64"/>
      <c r="QGC19" s="64"/>
      <c r="QGD19" s="64"/>
      <c r="QGE19" s="64"/>
      <c r="QGF19" s="64"/>
      <c r="QGG19" s="64"/>
      <c r="QGH19" s="64"/>
      <c r="QGI19" s="64"/>
      <c r="QGJ19" s="64"/>
      <c r="QGK19" s="64"/>
      <c r="QGL19" s="64"/>
      <c r="QGM19" s="64"/>
      <c r="QGN19" s="64"/>
      <c r="QGO19" s="64"/>
      <c r="QGP19" s="64"/>
      <c r="QGQ19" s="64"/>
      <c r="QGR19" s="64"/>
      <c r="QGS19" s="64"/>
      <c r="QGT19" s="64"/>
      <c r="QGU19" s="64"/>
      <c r="QGV19" s="64"/>
      <c r="QGW19" s="64"/>
      <c r="QGX19" s="64"/>
      <c r="QGY19" s="64"/>
      <c r="QGZ19" s="64"/>
      <c r="QHA19" s="64"/>
      <c r="QHB19" s="64"/>
      <c r="QHC19" s="64"/>
      <c r="QHD19" s="64"/>
      <c r="QHE19" s="64"/>
      <c r="QHF19" s="64"/>
      <c r="QHG19" s="64"/>
      <c r="QHH19" s="64"/>
      <c r="QHI19" s="64"/>
      <c r="QHJ19" s="64"/>
      <c r="QHK19" s="64"/>
      <c r="QHL19" s="64"/>
      <c r="QHM19" s="64"/>
      <c r="QHN19" s="64"/>
      <c r="QHO19" s="64"/>
      <c r="QHP19" s="64"/>
      <c r="QHQ19" s="64"/>
      <c r="QHR19" s="64"/>
      <c r="QHS19" s="64"/>
      <c r="QHT19" s="64"/>
      <c r="QHU19" s="64"/>
      <c r="QHV19" s="64"/>
      <c r="QHW19" s="64"/>
      <c r="QHX19" s="64"/>
      <c r="QHY19" s="64"/>
      <c r="QHZ19" s="64"/>
      <c r="QIA19" s="64"/>
      <c r="QIB19" s="64"/>
      <c r="QIC19" s="64"/>
      <c r="QID19" s="64"/>
      <c r="QIE19" s="64"/>
      <c r="QIF19" s="64"/>
      <c r="QIG19" s="64"/>
      <c r="QIH19" s="64"/>
      <c r="QII19" s="64"/>
      <c r="QIJ19" s="64"/>
      <c r="QIK19" s="64"/>
      <c r="QIL19" s="64"/>
      <c r="QIM19" s="64"/>
      <c r="QIN19" s="64"/>
      <c r="QIO19" s="64"/>
      <c r="QIP19" s="64"/>
      <c r="QIQ19" s="64"/>
      <c r="QIR19" s="64"/>
      <c r="QIS19" s="64"/>
      <c r="QIT19" s="64"/>
      <c r="QIU19" s="64"/>
      <c r="QIV19" s="64"/>
      <c r="QIW19" s="64"/>
      <c r="QIX19" s="64"/>
      <c r="QIY19" s="64"/>
      <c r="QIZ19" s="64"/>
      <c r="QJA19" s="64"/>
      <c r="QJB19" s="64"/>
      <c r="QJC19" s="64"/>
      <c r="QJD19" s="64"/>
      <c r="QJE19" s="64"/>
      <c r="QJF19" s="64"/>
      <c r="QJG19" s="64"/>
      <c r="QJH19" s="64"/>
      <c r="QJI19" s="64"/>
      <c r="QJJ19" s="64"/>
      <c r="QJK19" s="64"/>
      <c r="QJL19" s="64"/>
      <c r="QJM19" s="64"/>
      <c r="QJN19" s="64"/>
      <c r="QJO19" s="64"/>
      <c r="QJP19" s="64"/>
      <c r="QJQ19" s="64"/>
      <c r="QJR19" s="64"/>
      <c r="QJS19" s="64"/>
      <c r="QJT19" s="64"/>
      <c r="QJU19" s="64"/>
      <c r="QJV19" s="64"/>
      <c r="QJW19" s="64"/>
      <c r="QJX19" s="64"/>
      <c r="QJY19" s="64"/>
      <c r="QJZ19" s="64"/>
      <c r="QKA19" s="64"/>
      <c r="QKB19" s="64"/>
      <c r="QKC19" s="64"/>
      <c r="QKD19" s="64"/>
      <c r="QKE19" s="64"/>
      <c r="QKF19" s="64"/>
      <c r="QKG19" s="64"/>
      <c r="QKH19" s="64"/>
      <c r="QKI19" s="64"/>
      <c r="QKJ19" s="64"/>
      <c r="QKK19" s="64"/>
      <c r="QKL19" s="64"/>
      <c r="QKM19" s="64"/>
      <c r="QKN19" s="64"/>
      <c r="QKO19" s="64"/>
      <c r="QKP19" s="64"/>
      <c r="QKQ19" s="64"/>
      <c r="QKR19" s="64"/>
      <c r="QKS19" s="64"/>
      <c r="QKT19" s="64"/>
      <c r="QKU19" s="64"/>
      <c r="QKV19" s="64"/>
      <c r="QKW19" s="64"/>
      <c r="QKX19" s="64"/>
      <c r="QKY19" s="64"/>
      <c r="QKZ19" s="64"/>
      <c r="QLA19" s="64"/>
      <c r="QLB19" s="64"/>
      <c r="QLC19" s="64"/>
      <c r="QLD19" s="64"/>
      <c r="QLE19" s="64"/>
      <c r="QLF19" s="64"/>
      <c r="QLG19" s="64"/>
      <c r="QLH19" s="64"/>
      <c r="QLI19" s="64"/>
      <c r="QLJ19" s="64"/>
      <c r="QLK19" s="64"/>
      <c r="QLL19" s="64"/>
      <c r="QLM19" s="64"/>
      <c r="QLN19" s="64"/>
      <c r="QLO19" s="64"/>
      <c r="QLP19" s="64"/>
      <c r="QLQ19" s="64"/>
      <c r="QLR19" s="64"/>
      <c r="QLS19" s="64"/>
      <c r="QLT19" s="64"/>
      <c r="QLU19" s="64"/>
      <c r="QLV19" s="64"/>
      <c r="QLW19" s="64"/>
      <c r="QLX19" s="64"/>
      <c r="QLY19" s="64"/>
      <c r="QLZ19" s="64"/>
      <c r="QMA19" s="64"/>
      <c r="QMB19" s="64"/>
      <c r="QMC19" s="64"/>
      <c r="QMD19" s="64"/>
      <c r="QME19" s="64"/>
      <c r="QMF19" s="64"/>
      <c r="QMG19" s="64"/>
      <c r="QMH19" s="64"/>
      <c r="QMI19" s="64"/>
      <c r="QMJ19" s="64"/>
      <c r="QMK19" s="64"/>
      <c r="QML19" s="64"/>
      <c r="QMM19" s="64"/>
      <c r="QMN19" s="64"/>
      <c r="QMO19" s="64"/>
      <c r="QMP19" s="64"/>
      <c r="QMQ19" s="64"/>
      <c r="QMR19" s="64"/>
      <c r="QMS19" s="64"/>
      <c r="QMT19" s="64"/>
      <c r="QMU19" s="64"/>
      <c r="QMV19" s="64"/>
      <c r="QMW19" s="64"/>
      <c r="QMX19" s="64"/>
      <c r="QMY19" s="64"/>
      <c r="QMZ19" s="64"/>
      <c r="QNA19" s="64"/>
      <c r="QNB19" s="64"/>
      <c r="QNC19" s="64"/>
      <c r="QND19" s="64"/>
      <c r="QNE19" s="64"/>
      <c r="QNF19" s="64"/>
      <c r="QNG19" s="64"/>
      <c r="QNH19" s="64"/>
      <c r="QNI19" s="64"/>
      <c r="QNJ19" s="64"/>
      <c r="QNK19" s="64"/>
      <c r="QNL19" s="64"/>
      <c r="QNM19" s="64"/>
      <c r="QNN19" s="64"/>
      <c r="QNO19" s="64"/>
      <c r="QNP19" s="64"/>
      <c r="QNQ19" s="64"/>
      <c r="QNR19" s="64"/>
      <c r="QNS19" s="64"/>
      <c r="QNT19" s="64"/>
      <c r="QNU19" s="64"/>
      <c r="QNV19" s="64"/>
      <c r="QNW19" s="64"/>
      <c r="QNX19" s="64"/>
      <c r="QNY19" s="64"/>
      <c r="QNZ19" s="64"/>
      <c r="QOA19" s="64"/>
      <c r="QOB19" s="64"/>
      <c r="QOC19" s="64"/>
      <c r="QOD19" s="64"/>
      <c r="QOE19" s="64"/>
      <c r="QOF19" s="64"/>
      <c r="QOG19" s="64"/>
      <c r="QOH19" s="64"/>
      <c r="QOI19" s="64"/>
      <c r="QOJ19" s="64"/>
      <c r="QOK19" s="64"/>
      <c r="QOL19" s="64"/>
      <c r="QOM19" s="64"/>
      <c r="QON19" s="64"/>
      <c r="QOO19" s="64"/>
      <c r="QOP19" s="64"/>
      <c r="QOQ19" s="64"/>
      <c r="QOR19" s="64"/>
      <c r="QOS19" s="64"/>
      <c r="QOT19" s="64"/>
      <c r="QOU19" s="64"/>
      <c r="QOV19" s="64"/>
      <c r="QOW19" s="64"/>
      <c r="QOX19" s="64"/>
      <c r="QOY19" s="64"/>
      <c r="QOZ19" s="64"/>
      <c r="QPA19" s="64"/>
      <c r="QPB19" s="64"/>
      <c r="QPC19" s="64"/>
      <c r="QPD19" s="64"/>
      <c r="QPE19" s="64"/>
      <c r="QPF19" s="64"/>
      <c r="QPG19" s="64"/>
      <c r="QPH19" s="64"/>
      <c r="QPI19" s="64"/>
      <c r="QPJ19" s="64"/>
      <c r="QPK19" s="64"/>
      <c r="QPL19" s="64"/>
      <c r="QPM19" s="64"/>
      <c r="QPN19" s="64"/>
      <c r="QPO19" s="64"/>
      <c r="QPP19" s="64"/>
      <c r="QPQ19" s="64"/>
      <c r="QPR19" s="64"/>
      <c r="QPS19" s="64"/>
      <c r="QPT19" s="64"/>
      <c r="QPU19" s="64"/>
      <c r="QPV19" s="64"/>
      <c r="QPW19" s="64"/>
      <c r="QPX19" s="64"/>
      <c r="QPY19" s="64"/>
      <c r="QPZ19" s="64"/>
      <c r="QQA19" s="64"/>
      <c r="QQB19" s="64"/>
      <c r="QQC19" s="64"/>
      <c r="QQD19" s="64"/>
      <c r="QQE19" s="64"/>
      <c r="QQF19" s="64"/>
      <c r="QQG19" s="64"/>
      <c r="QQH19" s="64"/>
      <c r="QQI19" s="64"/>
      <c r="QQJ19" s="64"/>
      <c r="QQK19" s="64"/>
      <c r="QQL19" s="64"/>
      <c r="QQM19" s="64"/>
      <c r="QQN19" s="64"/>
      <c r="QQO19" s="64"/>
      <c r="QQP19" s="64"/>
      <c r="QQQ19" s="64"/>
      <c r="QQR19" s="64"/>
      <c r="QQS19" s="64"/>
      <c r="QQT19" s="64"/>
      <c r="QQU19" s="64"/>
      <c r="QQV19" s="64"/>
      <c r="QQW19" s="64"/>
      <c r="QQX19" s="64"/>
      <c r="QQY19" s="64"/>
      <c r="QQZ19" s="64"/>
      <c r="QRA19" s="64"/>
      <c r="QRB19" s="64"/>
      <c r="QRC19" s="64"/>
      <c r="QRD19" s="64"/>
      <c r="QRE19" s="64"/>
      <c r="QRF19" s="64"/>
      <c r="QRG19" s="64"/>
      <c r="QRH19" s="64"/>
      <c r="QRI19" s="64"/>
      <c r="QRJ19" s="64"/>
      <c r="QRK19" s="64"/>
      <c r="QRL19" s="64"/>
      <c r="QRM19" s="64"/>
      <c r="QRN19" s="64"/>
      <c r="QRO19" s="64"/>
      <c r="QRP19" s="64"/>
      <c r="QRQ19" s="64"/>
      <c r="QRR19" s="64"/>
      <c r="QRS19" s="64"/>
      <c r="QRT19" s="64"/>
      <c r="QRU19" s="64"/>
      <c r="QRV19" s="64"/>
      <c r="QRW19" s="64"/>
      <c r="QRX19" s="64"/>
      <c r="QRY19" s="64"/>
      <c r="QRZ19" s="64"/>
      <c r="QSA19" s="64"/>
      <c r="QSB19" s="64"/>
      <c r="QSC19" s="64"/>
      <c r="QSD19" s="64"/>
      <c r="QSE19" s="64"/>
      <c r="QSF19" s="64"/>
      <c r="QSG19" s="64"/>
      <c r="QSH19" s="64"/>
      <c r="QSI19" s="64"/>
      <c r="QSJ19" s="64"/>
      <c r="QSK19" s="64"/>
      <c r="QSL19" s="64"/>
      <c r="QSM19" s="64"/>
      <c r="QSN19" s="64"/>
      <c r="QSO19" s="64"/>
      <c r="QSP19" s="64"/>
      <c r="QSQ19" s="64"/>
      <c r="QSR19" s="64"/>
      <c r="QSS19" s="64"/>
      <c r="QST19" s="64"/>
      <c r="QSU19" s="64"/>
      <c r="QSV19" s="64"/>
      <c r="QSW19" s="64"/>
      <c r="QSX19" s="64"/>
      <c r="QSY19" s="64"/>
      <c r="QSZ19" s="64"/>
      <c r="QTA19" s="64"/>
      <c r="QTB19" s="64"/>
      <c r="QTC19" s="64"/>
      <c r="QTD19" s="64"/>
      <c r="QTE19" s="64"/>
      <c r="QTF19" s="64"/>
      <c r="QTG19" s="64"/>
      <c r="QTH19" s="64"/>
      <c r="QTI19" s="64"/>
      <c r="QTJ19" s="64"/>
      <c r="QTK19" s="64"/>
      <c r="QTL19" s="64"/>
      <c r="QTM19" s="64"/>
      <c r="QTN19" s="64"/>
      <c r="QTO19" s="64"/>
      <c r="QTP19" s="64"/>
      <c r="QTQ19" s="64"/>
      <c r="QTR19" s="64"/>
      <c r="QTS19" s="64"/>
      <c r="QTT19" s="64"/>
      <c r="QTU19" s="64"/>
      <c r="QTV19" s="64"/>
      <c r="QTW19" s="64"/>
      <c r="QTX19" s="64"/>
      <c r="QTY19" s="64"/>
      <c r="QTZ19" s="64"/>
      <c r="QUA19" s="64"/>
      <c r="QUB19" s="64"/>
      <c r="QUC19" s="64"/>
      <c r="QUD19" s="64"/>
      <c r="QUE19" s="64"/>
      <c r="QUF19" s="64"/>
      <c r="QUG19" s="64"/>
      <c r="QUH19" s="64"/>
      <c r="QUI19" s="64"/>
      <c r="QUJ19" s="64"/>
      <c r="QUK19" s="64"/>
      <c r="QUL19" s="64"/>
      <c r="QUM19" s="64"/>
      <c r="QUN19" s="64"/>
      <c r="QUO19" s="64"/>
      <c r="QUP19" s="64"/>
      <c r="QUQ19" s="64"/>
      <c r="QUR19" s="64"/>
      <c r="QUS19" s="64"/>
      <c r="QUT19" s="64"/>
      <c r="QUU19" s="64"/>
      <c r="QUV19" s="64"/>
      <c r="QUW19" s="64"/>
      <c r="QUX19" s="64"/>
      <c r="QUY19" s="64"/>
      <c r="QUZ19" s="64"/>
      <c r="QVA19" s="64"/>
      <c r="QVB19" s="64"/>
      <c r="QVC19" s="64"/>
      <c r="QVD19" s="64"/>
      <c r="QVE19" s="64"/>
      <c r="QVF19" s="64"/>
      <c r="QVG19" s="64"/>
      <c r="QVH19" s="64"/>
      <c r="QVI19" s="64"/>
      <c r="QVJ19" s="64"/>
      <c r="QVK19" s="64"/>
      <c r="QVL19" s="64"/>
      <c r="QVM19" s="64"/>
      <c r="QVN19" s="64"/>
      <c r="QVO19" s="64"/>
      <c r="QVP19" s="64"/>
      <c r="QVQ19" s="64"/>
      <c r="QVR19" s="64"/>
      <c r="QVS19" s="64"/>
      <c r="QVT19" s="64"/>
      <c r="QVU19" s="64"/>
      <c r="QVV19" s="64"/>
      <c r="QVW19" s="64"/>
      <c r="QVX19" s="64"/>
      <c r="QVY19" s="64"/>
      <c r="QVZ19" s="64"/>
      <c r="QWA19" s="64"/>
      <c r="QWB19" s="64"/>
      <c r="QWC19" s="64"/>
      <c r="QWD19" s="64"/>
      <c r="QWE19" s="64"/>
      <c r="QWF19" s="64"/>
      <c r="QWG19" s="64"/>
      <c r="QWH19" s="64"/>
      <c r="QWI19" s="64"/>
      <c r="QWJ19" s="64"/>
      <c r="QWK19" s="64"/>
      <c r="QWL19" s="64"/>
      <c r="QWM19" s="64"/>
      <c r="QWN19" s="64"/>
      <c r="QWO19" s="64"/>
      <c r="QWP19" s="64"/>
      <c r="QWQ19" s="64"/>
      <c r="QWR19" s="64"/>
      <c r="QWS19" s="64"/>
      <c r="QWT19" s="64"/>
      <c r="QWU19" s="64"/>
      <c r="QWV19" s="64"/>
      <c r="QWW19" s="64"/>
      <c r="QWX19" s="64"/>
      <c r="QWY19" s="64"/>
      <c r="QWZ19" s="64"/>
      <c r="QXA19" s="64"/>
      <c r="QXB19" s="64"/>
      <c r="QXC19" s="64"/>
      <c r="QXD19" s="64"/>
      <c r="QXE19" s="64"/>
      <c r="QXF19" s="64"/>
      <c r="QXG19" s="64"/>
      <c r="QXH19" s="64"/>
      <c r="QXI19" s="64"/>
      <c r="QXJ19" s="64"/>
      <c r="QXK19" s="64"/>
      <c r="QXL19" s="64"/>
      <c r="QXM19" s="64"/>
      <c r="QXN19" s="64"/>
      <c r="QXO19" s="64"/>
      <c r="QXP19" s="64"/>
      <c r="QXQ19" s="64"/>
      <c r="QXR19" s="64"/>
      <c r="QXS19" s="64"/>
      <c r="QXT19" s="64"/>
      <c r="QXU19" s="64"/>
      <c r="QXV19" s="64"/>
      <c r="QXW19" s="64"/>
      <c r="QXX19" s="64"/>
      <c r="QXY19" s="64"/>
      <c r="QXZ19" s="64"/>
      <c r="QYA19" s="64"/>
      <c r="QYB19" s="64"/>
      <c r="QYC19" s="64"/>
      <c r="QYD19" s="64"/>
      <c r="QYE19" s="64"/>
      <c r="QYF19" s="64"/>
      <c r="QYG19" s="64"/>
      <c r="QYH19" s="64"/>
      <c r="QYI19" s="64"/>
      <c r="QYJ19" s="64"/>
      <c r="QYK19" s="64"/>
      <c r="QYL19" s="64"/>
      <c r="QYM19" s="64"/>
      <c r="QYN19" s="64"/>
      <c r="QYO19" s="64"/>
      <c r="QYP19" s="64"/>
      <c r="QYQ19" s="64"/>
      <c r="QYR19" s="64"/>
      <c r="QYS19" s="64"/>
      <c r="QYT19" s="64"/>
      <c r="QYU19" s="64"/>
      <c r="QYV19" s="64"/>
      <c r="QYW19" s="64"/>
      <c r="QYX19" s="64"/>
      <c r="QYY19" s="64"/>
      <c r="QYZ19" s="64"/>
      <c r="QZA19" s="64"/>
      <c r="QZB19" s="64"/>
      <c r="QZC19" s="64"/>
      <c r="QZD19" s="64"/>
      <c r="QZE19" s="64"/>
      <c r="QZF19" s="64"/>
      <c r="QZG19" s="64"/>
      <c r="QZH19" s="64"/>
      <c r="QZI19" s="64"/>
      <c r="QZJ19" s="64"/>
      <c r="QZK19" s="64"/>
      <c r="QZL19" s="64"/>
      <c r="QZM19" s="64"/>
      <c r="QZN19" s="64"/>
      <c r="QZO19" s="64"/>
      <c r="QZP19" s="64"/>
      <c r="QZQ19" s="64"/>
      <c r="QZR19" s="64"/>
      <c r="QZS19" s="64"/>
      <c r="QZT19" s="64"/>
      <c r="QZU19" s="64"/>
      <c r="QZV19" s="64"/>
      <c r="QZW19" s="64"/>
      <c r="QZX19" s="64"/>
      <c r="QZY19" s="64"/>
      <c r="QZZ19" s="64"/>
      <c r="RAA19" s="64"/>
      <c r="RAB19" s="64"/>
      <c r="RAC19" s="64"/>
      <c r="RAD19" s="64"/>
      <c r="RAE19" s="64"/>
      <c r="RAF19" s="64"/>
      <c r="RAG19" s="64"/>
      <c r="RAH19" s="64"/>
      <c r="RAI19" s="64"/>
      <c r="RAJ19" s="64"/>
      <c r="RAK19" s="64"/>
      <c r="RAL19" s="64"/>
      <c r="RAM19" s="64"/>
      <c r="RAN19" s="64"/>
      <c r="RAO19" s="64"/>
      <c r="RAP19" s="64"/>
      <c r="RAQ19" s="64"/>
      <c r="RAR19" s="64"/>
      <c r="RAS19" s="64"/>
      <c r="RAT19" s="64"/>
      <c r="RAU19" s="64"/>
      <c r="RAV19" s="64"/>
      <c r="RAW19" s="64"/>
      <c r="RAX19" s="64"/>
      <c r="RAY19" s="64"/>
      <c r="RAZ19" s="64"/>
      <c r="RBA19" s="64"/>
      <c r="RBB19" s="64"/>
      <c r="RBC19" s="64"/>
      <c r="RBD19" s="64"/>
      <c r="RBE19" s="64"/>
      <c r="RBF19" s="64"/>
      <c r="RBG19" s="64"/>
      <c r="RBH19" s="64"/>
      <c r="RBI19" s="64"/>
      <c r="RBJ19" s="64"/>
      <c r="RBK19" s="64"/>
      <c r="RBL19" s="64"/>
      <c r="RBM19" s="64"/>
      <c r="RBN19" s="64"/>
      <c r="RBO19" s="64"/>
      <c r="RBP19" s="64"/>
      <c r="RBQ19" s="64"/>
      <c r="RBR19" s="64"/>
      <c r="RBS19" s="64"/>
      <c r="RBT19" s="64"/>
      <c r="RBU19" s="64"/>
      <c r="RBV19" s="64"/>
      <c r="RBW19" s="64"/>
      <c r="RBX19" s="64"/>
      <c r="RBY19" s="64"/>
      <c r="RBZ19" s="64"/>
      <c r="RCA19" s="64"/>
      <c r="RCB19" s="64"/>
      <c r="RCC19" s="64"/>
      <c r="RCD19" s="64"/>
      <c r="RCE19" s="64"/>
      <c r="RCF19" s="64"/>
      <c r="RCG19" s="64"/>
      <c r="RCH19" s="64"/>
      <c r="RCI19" s="64"/>
      <c r="RCJ19" s="64"/>
      <c r="RCK19" s="64"/>
      <c r="RCL19" s="64"/>
      <c r="RCM19" s="64"/>
      <c r="RCN19" s="64"/>
      <c r="RCO19" s="64"/>
      <c r="RCP19" s="64"/>
      <c r="RCQ19" s="64"/>
      <c r="RCR19" s="64"/>
      <c r="RCS19" s="64"/>
      <c r="RCT19" s="64"/>
      <c r="RCU19" s="64"/>
      <c r="RCV19" s="64"/>
      <c r="RCW19" s="64"/>
      <c r="RCX19" s="64"/>
      <c r="RCY19" s="64"/>
      <c r="RCZ19" s="64"/>
      <c r="RDA19" s="64"/>
      <c r="RDB19" s="64"/>
      <c r="RDC19" s="64"/>
      <c r="RDD19" s="64"/>
      <c r="RDE19" s="64"/>
      <c r="RDF19" s="64"/>
      <c r="RDG19" s="64"/>
      <c r="RDH19" s="64"/>
      <c r="RDI19" s="64"/>
      <c r="RDJ19" s="64"/>
      <c r="RDK19" s="64"/>
      <c r="RDL19" s="64"/>
      <c r="RDM19" s="64"/>
      <c r="RDN19" s="64"/>
      <c r="RDO19" s="64"/>
      <c r="RDP19" s="64"/>
      <c r="RDQ19" s="64"/>
      <c r="RDR19" s="64"/>
      <c r="RDS19" s="64"/>
      <c r="RDT19" s="64"/>
      <c r="RDU19" s="64"/>
      <c r="RDV19" s="64"/>
      <c r="RDW19" s="64"/>
      <c r="RDX19" s="64"/>
      <c r="RDY19" s="64"/>
      <c r="RDZ19" s="64"/>
      <c r="REA19" s="64"/>
      <c r="REB19" s="64"/>
      <c r="REC19" s="64"/>
      <c r="RED19" s="64"/>
      <c r="REE19" s="64"/>
      <c r="REF19" s="64"/>
      <c r="REG19" s="64"/>
      <c r="REH19" s="64"/>
      <c r="REI19" s="64"/>
      <c r="REJ19" s="64"/>
      <c r="REK19" s="64"/>
      <c r="REL19" s="64"/>
      <c r="REM19" s="64"/>
      <c r="REN19" s="64"/>
      <c r="REO19" s="64"/>
      <c r="REP19" s="64"/>
      <c r="REQ19" s="64"/>
      <c r="RER19" s="64"/>
      <c r="RES19" s="64"/>
      <c r="RET19" s="64"/>
      <c r="REU19" s="64"/>
      <c r="REV19" s="64"/>
      <c r="REW19" s="64"/>
      <c r="REX19" s="64"/>
      <c r="REY19" s="64"/>
      <c r="REZ19" s="64"/>
      <c r="RFA19" s="64"/>
      <c r="RFB19" s="64"/>
      <c r="RFC19" s="64"/>
      <c r="RFD19" s="64"/>
      <c r="RFE19" s="64"/>
      <c r="RFF19" s="64"/>
      <c r="RFG19" s="64"/>
      <c r="RFH19" s="64"/>
      <c r="RFI19" s="64"/>
      <c r="RFJ19" s="64"/>
      <c r="RFK19" s="64"/>
      <c r="RFL19" s="64"/>
      <c r="RFM19" s="64"/>
      <c r="RFN19" s="64"/>
      <c r="RFO19" s="64"/>
      <c r="RFP19" s="64"/>
      <c r="RFQ19" s="64"/>
      <c r="RFR19" s="64"/>
      <c r="RFS19" s="64"/>
      <c r="RFT19" s="64"/>
      <c r="RFU19" s="64"/>
      <c r="RFV19" s="64"/>
      <c r="RFW19" s="64"/>
      <c r="RFX19" s="64"/>
      <c r="RFY19" s="64"/>
      <c r="RFZ19" s="64"/>
      <c r="RGA19" s="64"/>
      <c r="RGB19" s="64"/>
      <c r="RGC19" s="64"/>
      <c r="RGD19" s="64"/>
      <c r="RGE19" s="64"/>
      <c r="RGF19" s="64"/>
      <c r="RGG19" s="64"/>
      <c r="RGH19" s="64"/>
      <c r="RGI19" s="64"/>
      <c r="RGJ19" s="64"/>
      <c r="RGK19" s="64"/>
      <c r="RGL19" s="64"/>
      <c r="RGM19" s="64"/>
      <c r="RGN19" s="64"/>
      <c r="RGO19" s="64"/>
      <c r="RGP19" s="64"/>
      <c r="RGQ19" s="64"/>
      <c r="RGR19" s="64"/>
      <c r="RGS19" s="64"/>
      <c r="RGT19" s="64"/>
      <c r="RGU19" s="64"/>
      <c r="RGV19" s="64"/>
      <c r="RGW19" s="64"/>
      <c r="RGX19" s="64"/>
      <c r="RGY19" s="64"/>
      <c r="RGZ19" s="64"/>
      <c r="RHA19" s="64"/>
      <c r="RHB19" s="64"/>
      <c r="RHC19" s="64"/>
      <c r="RHD19" s="64"/>
      <c r="RHE19" s="64"/>
      <c r="RHF19" s="64"/>
      <c r="RHG19" s="64"/>
      <c r="RHH19" s="64"/>
      <c r="RHI19" s="64"/>
      <c r="RHJ19" s="64"/>
      <c r="RHK19" s="64"/>
      <c r="RHL19" s="64"/>
      <c r="RHM19" s="64"/>
      <c r="RHN19" s="64"/>
      <c r="RHO19" s="64"/>
      <c r="RHP19" s="64"/>
      <c r="RHQ19" s="64"/>
      <c r="RHR19" s="64"/>
      <c r="RHS19" s="64"/>
      <c r="RHT19" s="64"/>
      <c r="RHU19" s="64"/>
      <c r="RHV19" s="64"/>
      <c r="RHW19" s="64"/>
      <c r="RHX19" s="64"/>
      <c r="RHY19" s="64"/>
      <c r="RHZ19" s="64"/>
      <c r="RIA19" s="64"/>
      <c r="RIB19" s="64"/>
      <c r="RIC19" s="64"/>
      <c r="RID19" s="64"/>
      <c r="RIE19" s="64"/>
      <c r="RIF19" s="64"/>
      <c r="RIG19" s="64"/>
      <c r="RIH19" s="64"/>
      <c r="RII19" s="64"/>
      <c r="RIJ19" s="64"/>
      <c r="RIK19" s="64"/>
      <c r="RIL19" s="64"/>
      <c r="RIM19" s="64"/>
      <c r="RIN19" s="64"/>
      <c r="RIO19" s="64"/>
      <c r="RIP19" s="64"/>
      <c r="RIQ19" s="64"/>
      <c r="RIR19" s="64"/>
      <c r="RIS19" s="64"/>
      <c r="RIT19" s="64"/>
      <c r="RIU19" s="64"/>
      <c r="RIV19" s="64"/>
      <c r="RIW19" s="64"/>
      <c r="RIX19" s="64"/>
      <c r="RIY19" s="64"/>
      <c r="RIZ19" s="64"/>
      <c r="RJA19" s="64"/>
      <c r="RJB19" s="64"/>
      <c r="RJC19" s="64"/>
      <c r="RJD19" s="64"/>
      <c r="RJE19" s="64"/>
      <c r="RJF19" s="64"/>
      <c r="RJG19" s="64"/>
      <c r="RJH19" s="64"/>
      <c r="RJI19" s="64"/>
      <c r="RJJ19" s="64"/>
      <c r="RJK19" s="64"/>
      <c r="RJL19" s="64"/>
      <c r="RJM19" s="64"/>
      <c r="RJN19" s="64"/>
      <c r="RJO19" s="64"/>
      <c r="RJP19" s="64"/>
      <c r="RJQ19" s="64"/>
      <c r="RJR19" s="64"/>
      <c r="RJS19" s="64"/>
      <c r="RJT19" s="64"/>
      <c r="RJU19" s="64"/>
      <c r="RJV19" s="64"/>
      <c r="RJW19" s="64"/>
      <c r="RJX19" s="64"/>
      <c r="RJY19" s="64"/>
      <c r="RJZ19" s="64"/>
      <c r="RKA19" s="64"/>
      <c r="RKB19" s="64"/>
      <c r="RKC19" s="64"/>
      <c r="RKD19" s="64"/>
      <c r="RKE19" s="64"/>
      <c r="RKF19" s="64"/>
      <c r="RKG19" s="64"/>
      <c r="RKH19" s="64"/>
      <c r="RKI19" s="64"/>
      <c r="RKJ19" s="64"/>
      <c r="RKK19" s="64"/>
      <c r="RKL19" s="64"/>
      <c r="RKM19" s="64"/>
      <c r="RKN19" s="64"/>
      <c r="RKO19" s="64"/>
      <c r="RKP19" s="64"/>
      <c r="RKQ19" s="64"/>
      <c r="RKR19" s="64"/>
      <c r="RKS19" s="64"/>
      <c r="RKT19" s="64"/>
      <c r="RKU19" s="64"/>
      <c r="RKV19" s="64"/>
      <c r="RKW19" s="64"/>
      <c r="RKX19" s="64"/>
      <c r="RKY19" s="64"/>
      <c r="RKZ19" s="64"/>
      <c r="RLA19" s="64"/>
      <c r="RLB19" s="64"/>
      <c r="RLC19" s="64"/>
      <c r="RLD19" s="64"/>
      <c r="RLE19" s="64"/>
      <c r="RLF19" s="64"/>
      <c r="RLG19" s="64"/>
      <c r="RLH19" s="64"/>
      <c r="RLI19" s="64"/>
      <c r="RLJ19" s="64"/>
      <c r="RLK19" s="64"/>
      <c r="RLL19" s="64"/>
      <c r="RLM19" s="64"/>
      <c r="RLN19" s="64"/>
      <c r="RLO19" s="64"/>
      <c r="RLP19" s="64"/>
      <c r="RLQ19" s="64"/>
      <c r="RLR19" s="64"/>
      <c r="RLS19" s="64"/>
      <c r="RLT19" s="64"/>
      <c r="RLU19" s="64"/>
      <c r="RLV19" s="64"/>
      <c r="RLW19" s="64"/>
      <c r="RLX19" s="64"/>
      <c r="RLY19" s="64"/>
      <c r="RLZ19" s="64"/>
      <c r="RMA19" s="64"/>
      <c r="RMB19" s="64"/>
      <c r="RMC19" s="64"/>
      <c r="RMD19" s="64"/>
      <c r="RME19" s="64"/>
      <c r="RMF19" s="64"/>
      <c r="RMG19" s="64"/>
      <c r="RMH19" s="64"/>
      <c r="RMI19" s="64"/>
      <c r="RMJ19" s="64"/>
      <c r="RMK19" s="64"/>
      <c r="RML19" s="64"/>
      <c r="RMM19" s="64"/>
      <c r="RMN19" s="64"/>
      <c r="RMO19" s="64"/>
      <c r="RMP19" s="64"/>
      <c r="RMQ19" s="64"/>
      <c r="RMR19" s="64"/>
      <c r="RMS19" s="64"/>
      <c r="RMT19" s="64"/>
      <c r="RMU19" s="64"/>
      <c r="RMV19" s="64"/>
      <c r="RMW19" s="64"/>
      <c r="RMX19" s="64"/>
      <c r="RMY19" s="64"/>
      <c r="RMZ19" s="64"/>
      <c r="RNA19" s="64"/>
      <c r="RNB19" s="64"/>
      <c r="RNC19" s="64"/>
      <c r="RND19" s="64"/>
      <c r="RNE19" s="64"/>
      <c r="RNF19" s="64"/>
      <c r="RNG19" s="64"/>
      <c r="RNH19" s="64"/>
      <c r="RNI19" s="64"/>
      <c r="RNJ19" s="64"/>
      <c r="RNK19" s="64"/>
      <c r="RNL19" s="64"/>
      <c r="RNM19" s="64"/>
      <c r="RNN19" s="64"/>
      <c r="RNO19" s="64"/>
      <c r="RNP19" s="64"/>
      <c r="RNQ19" s="64"/>
      <c r="RNR19" s="64"/>
      <c r="RNS19" s="64"/>
      <c r="RNT19" s="64"/>
      <c r="RNU19" s="64"/>
      <c r="RNV19" s="64"/>
      <c r="RNW19" s="64"/>
      <c r="RNX19" s="64"/>
      <c r="RNY19" s="64"/>
      <c r="RNZ19" s="64"/>
      <c r="ROA19" s="64"/>
      <c r="ROB19" s="64"/>
      <c r="ROC19" s="64"/>
      <c r="ROD19" s="64"/>
      <c r="ROE19" s="64"/>
      <c r="ROF19" s="64"/>
      <c r="ROG19" s="64"/>
      <c r="ROH19" s="64"/>
      <c r="ROI19" s="64"/>
      <c r="ROJ19" s="64"/>
      <c r="ROK19" s="64"/>
      <c r="ROL19" s="64"/>
      <c r="ROM19" s="64"/>
      <c r="RON19" s="64"/>
      <c r="ROO19" s="64"/>
      <c r="ROP19" s="64"/>
      <c r="ROQ19" s="64"/>
      <c r="ROR19" s="64"/>
      <c r="ROS19" s="64"/>
      <c r="ROT19" s="64"/>
      <c r="ROU19" s="64"/>
      <c r="ROV19" s="64"/>
      <c r="ROW19" s="64"/>
      <c r="ROX19" s="64"/>
      <c r="ROY19" s="64"/>
      <c r="ROZ19" s="64"/>
      <c r="RPA19" s="64"/>
      <c r="RPB19" s="64"/>
      <c r="RPC19" s="64"/>
      <c r="RPD19" s="64"/>
      <c r="RPE19" s="64"/>
      <c r="RPF19" s="64"/>
      <c r="RPG19" s="64"/>
      <c r="RPH19" s="64"/>
      <c r="RPI19" s="64"/>
      <c r="RPJ19" s="64"/>
      <c r="RPK19" s="64"/>
      <c r="RPL19" s="64"/>
      <c r="RPM19" s="64"/>
      <c r="RPN19" s="64"/>
      <c r="RPO19" s="64"/>
      <c r="RPP19" s="64"/>
      <c r="RPQ19" s="64"/>
      <c r="RPR19" s="64"/>
      <c r="RPS19" s="64"/>
      <c r="RPT19" s="64"/>
      <c r="RPU19" s="64"/>
      <c r="RPV19" s="64"/>
      <c r="RPW19" s="64"/>
      <c r="RPX19" s="64"/>
      <c r="RPY19" s="64"/>
      <c r="RPZ19" s="64"/>
      <c r="RQA19" s="64"/>
      <c r="RQB19" s="64"/>
      <c r="RQC19" s="64"/>
      <c r="RQD19" s="64"/>
      <c r="RQE19" s="64"/>
      <c r="RQF19" s="64"/>
      <c r="RQG19" s="64"/>
      <c r="RQH19" s="64"/>
      <c r="RQI19" s="64"/>
      <c r="RQJ19" s="64"/>
      <c r="RQK19" s="64"/>
      <c r="RQL19" s="64"/>
      <c r="RQM19" s="64"/>
      <c r="RQN19" s="64"/>
      <c r="RQO19" s="64"/>
      <c r="RQP19" s="64"/>
      <c r="RQQ19" s="64"/>
      <c r="RQR19" s="64"/>
      <c r="RQS19" s="64"/>
      <c r="RQT19" s="64"/>
      <c r="RQU19" s="64"/>
      <c r="RQV19" s="64"/>
      <c r="RQW19" s="64"/>
      <c r="RQX19" s="64"/>
      <c r="RQY19" s="64"/>
      <c r="RQZ19" s="64"/>
      <c r="RRA19" s="64"/>
      <c r="RRB19" s="64"/>
      <c r="RRC19" s="64"/>
      <c r="RRD19" s="64"/>
      <c r="RRE19" s="64"/>
      <c r="RRF19" s="64"/>
      <c r="RRG19" s="64"/>
      <c r="RRH19" s="64"/>
      <c r="RRI19" s="64"/>
      <c r="RRJ19" s="64"/>
      <c r="RRK19" s="64"/>
      <c r="RRL19" s="64"/>
      <c r="RRM19" s="64"/>
      <c r="RRN19" s="64"/>
      <c r="RRO19" s="64"/>
      <c r="RRP19" s="64"/>
      <c r="RRQ19" s="64"/>
      <c r="RRR19" s="64"/>
      <c r="RRS19" s="64"/>
      <c r="RRT19" s="64"/>
      <c r="RRU19" s="64"/>
      <c r="RRV19" s="64"/>
      <c r="RRW19" s="64"/>
      <c r="RRX19" s="64"/>
      <c r="RRY19" s="64"/>
      <c r="RRZ19" s="64"/>
      <c r="RSA19" s="64"/>
      <c r="RSB19" s="64"/>
      <c r="RSC19" s="64"/>
      <c r="RSD19" s="64"/>
      <c r="RSE19" s="64"/>
      <c r="RSF19" s="64"/>
      <c r="RSG19" s="64"/>
      <c r="RSH19" s="64"/>
      <c r="RSI19" s="64"/>
      <c r="RSJ19" s="64"/>
      <c r="RSK19" s="64"/>
      <c r="RSL19" s="64"/>
      <c r="RSM19" s="64"/>
      <c r="RSN19" s="64"/>
      <c r="RSO19" s="64"/>
      <c r="RSP19" s="64"/>
      <c r="RSQ19" s="64"/>
      <c r="RSR19" s="64"/>
      <c r="RSS19" s="64"/>
      <c r="RST19" s="64"/>
      <c r="RSU19" s="64"/>
      <c r="RSV19" s="64"/>
      <c r="RSW19" s="64"/>
      <c r="RSX19" s="64"/>
      <c r="RSY19" s="64"/>
      <c r="RSZ19" s="64"/>
      <c r="RTA19" s="64"/>
      <c r="RTB19" s="64"/>
      <c r="RTC19" s="64"/>
      <c r="RTD19" s="64"/>
      <c r="RTE19" s="64"/>
      <c r="RTF19" s="64"/>
      <c r="RTG19" s="64"/>
      <c r="RTH19" s="64"/>
      <c r="RTI19" s="64"/>
      <c r="RTJ19" s="64"/>
      <c r="RTK19" s="64"/>
      <c r="RTL19" s="64"/>
      <c r="RTM19" s="64"/>
      <c r="RTN19" s="64"/>
      <c r="RTO19" s="64"/>
      <c r="RTP19" s="64"/>
      <c r="RTQ19" s="64"/>
      <c r="RTR19" s="64"/>
      <c r="RTS19" s="64"/>
      <c r="RTT19" s="64"/>
      <c r="RTU19" s="64"/>
      <c r="RTV19" s="64"/>
      <c r="RTW19" s="64"/>
      <c r="RTX19" s="64"/>
      <c r="RTY19" s="64"/>
      <c r="RTZ19" s="64"/>
      <c r="RUA19" s="64"/>
      <c r="RUB19" s="64"/>
      <c r="RUC19" s="64"/>
      <c r="RUD19" s="64"/>
      <c r="RUE19" s="64"/>
      <c r="RUF19" s="64"/>
      <c r="RUG19" s="64"/>
      <c r="RUH19" s="64"/>
      <c r="RUI19" s="64"/>
      <c r="RUJ19" s="64"/>
      <c r="RUK19" s="64"/>
      <c r="RUL19" s="64"/>
      <c r="RUM19" s="64"/>
      <c r="RUN19" s="64"/>
      <c r="RUO19" s="64"/>
      <c r="RUP19" s="64"/>
      <c r="RUQ19" s="64"/>
      <c r="RUR19" s="64"/>
      <c r="RUS19" s="64"/>
      <c r="RUT19" s="64"/>
      <c r="RUU19" s="64"/>
      <c r="RUV19" s="64"/>
      <c r="RUW19" s="64"/>
      <c r="RUX19" s="64"/>
      <c r="RUY19" s="64"/>
      <c r="RUZ19" s="64"/>
      <c r="RVA19" s="64"/>
      <c r="RVB19" s="64"/>
      <c r="RVC19" s="64"/>
      <c r="RVD19" s="64"/>
      <c r="RVE19" s="64"/>
      <c r="RVF19" s="64"/>
      <c r="RVG19" s="64"/>
      <c r="RVH19" s="64"/>
      <c r="RVI19" s="64"/>
      <c r="RVJ19" s="64"/>
      <c r="RVK19" s="64"/>
      <c r="RVL19" s="64"/>
      <c r="RVM19" s="64"/>
      <c r="RVN19" s="64"/>
      <c r="RVO19" s="64"/>
      <c r="RVP19" s="64"/>
      <c r="RVQ19" s="64"/>
      <c r="RVR19" s="64"/>
      <c r="RVS19" s="64"/>
      <c r="RVT19" s="64"/>
      <c r="RVU19" s="64"/>
      <c r="RVV19" s="64"/>
      <c r="RVW19" s="64"/>
      <c r="RVX19" s="64"/>
      <c r="RVY19" s="64"/>
      <c r="RVZ19" s="64"/>
      <c r="RWA19" s="64"/>
      <c r="RWB19" s="64"/>
      <c r="RWC19" s="64"/>
      <c r="RWD19" s="64"/>
      <c r="RWE19" s="64"/>
      <c r="RWF19" s="64"/>
      <c r="RWG19" s="64"/>
      <c r="RWH19" s="64"/>
      <c r="RWI19" s="64"/>
      <c r="RWJ19" s="64"/>
      <c r="RWK19" s="64"/>
      <c r="RWL19" s="64"/>
      <c r="RWM19" s="64"/>
      <c r="RWN19" s="64"/>
      <c r="RWO19" s="64"/>
      <c r="RWP19" s="64"/>
      <c r="RWQ19" s="64"/>
      <c r="RWR19" s="64"/>
      <c r="RWS19" s="64"/>
      <c r="RWT19" s="64"/>
      <c r="RWU19" s="64"/>
      <c r="RWV19" s="64"/>
      <c r="RWW19" s="64"/>
      <c r="RWX19" s="64"/>
      <c r="RWY19" s="64"/>
      <c r="RWZ19" s="64"/>
      <c r="RXA19" s="64"/>
      <c r="RXB19" s="64"/>
      <c r="RXC19" s="64"/>
      <c r="RXD19" s="64"/>
      <c r="RXE19" s="64"/>
      <c r="RXF19" s="64"/>
      <c r="RXG19" s="64"/>
      <c r="RXH19" s="64"/>
      <c r="RXI19" s="64"/>
      <c r="RXJ19" s="64"/>
      <c r="RXK19" s="64"/>
      <c r="RXL19" s="64"/>
      <c r="RXM19" s="64"/>
      <c r="RXN19" s="64"/>
      <c r="RXO19" s="64"/>
      <c r="RXP19" s="64"/>
      <c r="RXQ19" s="64"/>
      <c r="RXR19" s="64"/>
      <c r="RXS19" s="64"/>
      <c r="RXT19" s="64"/>
      <c r="RXU19" s="64"/>
      <c r="RXV19" s="64"/>
      <c r="RXW19" s="64"/>
      <c r="RXX19" s="64"/>
      <c r="RXY19" s="64"/>
      <c r="RXZ19" s="64"/>
      <c r="RYA19" s="64"/>
      <c r="RYB19" s="64"/>
      <c r="RYC19" s="64"/>
      <c r="RYD19" s="64"/>
      <c r="RYE19" s="64"/>
      <c r="RYF19" s="64"/>
      <c r="RYG19" s="64"/>
      <c r="RYH19" s="64"/>
      <c r="RYI19" s="64"/>
      <c r="RYJ19" s="64"/>
      <c r="RYK19" s="64"/>
      <c r="RYL19" s="64"/>
      <c r="RYM19" s="64"/>
      <c r="RYN19" s="64"/>
      <c r="RYO19" s="64"/>
      <c r="RYP19" s="64"/>
      <c r="RYQ19" s="64"/>
      <c r="RYR19" s="64"/>
      <c r="RYS19" s="64"/>
      <c r="RYT19" s="64"/>
      <c r="RYU19" s="64"/>
      <c r="RYV19" s="64"/>
      <c r="RYW19" s="64"/>
      <c r="RYX19" s="64"/>
      <c r="RYY19" s="64"/>
      <c r="RYZ19" s="64"/>
      <c r="RZA19" s="64"/>
      <c r="RZB19" s="64"/>
      <c r="RZC19" s="64"/>
      <c r="RZD19" s="64"/>
      <c r="RZE19" s="64"/>
      <c r="RZF19" s="64"/>
      <c r="RZG19" s="64"/>
      <c r="RZH19" s="64"/>
      <c r="RZI19" s="64"/>
      <c r="RZJ19" s="64"/>
      <c r="RZK19" s="64"/>
      <c r="RZL19" s="64"/>
      <c r="RZM19" s="64"/>
      <c r="RZN19" s="64"/>
      <c r="RZO19" s="64"/>
      <c r="RZP19" s="64"/>
      <c r="RZQ19" s="64"/>
      <c r="RZR19" s="64"/>
      <c r="RZS19" s="64"/>
      <c r="RZT19" s="64"/>
      <c r="RZU19" s="64"/>
      <c r="RZV19" s="64"/>
      <c r="RZW19" s="64"/>
      <c r="RZX19" s="64"/>
      <c r="RZY19" s="64"/>
      <c r="RZZ19" s="64"/>
      <c r="SAA19" s="64"/>
      <c r="SAB19" s="64"/>
      <c r="SAC19" s="64"/>
      <c r="SAD19" s="64"/>
      <c r="SAE19" s="64"/>
      <c r="SAF19" s="64"/>
      <c r="SAG19" s="64"/>
      <c r="SAH19" s="64"/>
      <c r="SAI19" s="64"/>
      <c r="SAJ19" s="64"/>
      <c r="SAK19" s="64"/>
      <c r="SAL19" s="64"/>
      <c r="SAM19" s="64"/>
      <c r="SAN19" s="64"/>
      <c r="SAO19" s="64"/>
      <c r="SAP19" s="64"/>
      <c r="SAQ19" s="64"/>
      <c r="SAR19" s="64"/>
      <c r="SAS19" s="64"/>
      <c r="SAT19" s="64"/>
      <c r="SAU19" s="64"/>
      <c r="SAV19" s="64"/>
      <c r="SAW19" s="64"/>
      <c r="SAX19" s="64"/>
      <c r="SAY19" s="64"/>
      <c r="SAZ19" s="64"/>
      <c r="SBA19" s="64"/>
      <c r="SBB19" s="64"/>
      <c r="SBC19" s="64"/>
      <c r="SBD19" s="64"/>
      <c r="SBE19" s="64"/>
      <c r="SBF19" s="64"/>
      <c r="SBG19" s="64"/>
      <c r="SBH19" s="64"/>
      <c r="SBI19" s="64"/>
      <c r="SBJ19" s="64"/>
      <c r="SBK19" s="64"/>
      <c r="SBL19" s="64"/>
      <c r="SBM19" s="64"/>
      <c r="SBN19" s="64"/>
      <c r="SBO19" s="64"/>
      <c r="SBP19" s="64"/>
      <c r="SBQ19" s="64"/>
      <c r="SBR19" s="64"/>
      <c r="SBS19" s="64"/>
      <c r="SBT19" s="64"/>
      <c r="SBU19" s="64"/>
      <c r="SBV19" s="64"/>
      <c r="SBW19" s="64"/>
      <c r="SBX19" s="64"/>
      <c r="SBY19" s="64"/>
      <c r="SBZ19" s="64"/>
      <c r="SCA19" s="64"/>
      <c r="SCB19" s="64"/>
      <c r="SCC19" s="64"/>
      <c r="SCD19" s="64"/>
      <c r="SCE19" s="64"/>
      <c r="SCF19" s="64"/>
      <c r="SCG19" s="64"/>
      <c r="SCH19" s="64"/>
      <c r="SCI19" s="64"/>
      <c r="SCJ19" s="64"/>
      <c r="SCK19" s="64"/>
      <c r="SCL19" s="64"/>
      <c r="SCM19" s="64"/>
      <c r="SCN19" s="64"/>
      <c r="SCO19" s="64"/>
      <c r="SCP19" s="64"/>
      <c r="SCQ19" s="64"/>
      <c r="SCR19" s="64"/>
      <c r="SCS19" s="64"/>
      <c r="SCT19" s="64"/>
      <c r="SCU19" s="64"/>
      <c r="SCV19" s="64"/>
      <c r="SCW19" s="64"/>
      <c r="SCX19" s="64"/>
      <c r="SCY19" s="64"/>
      <c r="SCZ19" s="64"/>
      <c r="SDA19" s="64"/>
      <c r="SDB19" s="64"/>
      <c r="SDC19" s="64"/>
      <c r="SDD19" s="64"/>
      <c r="SDE19" s="64"/>
      <c r="SDF19" s="64"/>
      <c r="SDG19" s="64"/>
      <c r="SDH19" s="64"/>
      <c r="SDI19" s="64"/>
      <c r="SDJ19" s="64"/>
      <c r="SDK19" s="64"/>
      <c r="SDL19" s="64"/>
      <c r="SDM19" s="64"/>
      <c r="SDN19" s="64"/>
      <c r="SDO19" s="64"/>
      <c r="SDP19" s="64"/>
      <c r="SDQ19" s="64"/>
      <c r="SDR19" s="64"/>
      <c r="SDS19" s="64"/>
      <c r="SDT19" s="64"/>
      <c r="SDU19" s="64"/>
      <c r="SDV19" s="64"/>
      <c r="SDW19" s="64"/>
      <c r="SDX19" s="64"/>
      <c r="SDY19" s="64"/>
      <c r="SDZ19" s="64"/>
      <c r="SEA19" s="64"/>
      <c r="SEB19" s="64"/>
      <c r="SEC19" s="64"/>
      <c r="SED19" s="64"/>
      <c r="SEE19" s="64"/>
      <c r="SEF19" s="64"/>
      <c r="SEG19" s="64"/>
      <c r="SEH19" s="64"/>
      <c r="SEI19" s="64"/>
      <c r="SEJ19" s="64"/>
      <c r="SEK19" s="64"/>
      <c r="SEL19" s="64"/>
      <c r="SEM19" s="64"/>
      <c r="SEN19" s="64"/>
      <c r="SEO19" s="64"/>
      <c r="SEP19" s="64"/>
      <c r="SEQ19" s="64"/>
      <c r="SER19" s="64"/>
      <c r="SES19" s="64"/>
      <c r="SET19" s="64"/>
      <c r="SEU19" s="64"/>
      <c r="SEV19" s="64"/>
      <c r="SEW19" s="64"/>
      <c r="SEX19" s="64"/>
      <c r="SEY19" s="64"/>
      <c r="SEZ19" s="64"/>
      <c r="SFA19" s="64"/>
      <c r="SFB19" s="64"/>
      <c r="SFC19" s="64"/>
      <c r="SFD19" s="64"/>
      <c r="SFE19" s="64"/>
      <c r="SFF19" s="64"/>
      <c r="SFG19" s="64"/>
      <c r="SFH19" s="64"/>
      <c r="SFI19" s="64"/>
      <c r="SFJ19" s="64"/>
      <c r="SFK19" s="64"/>
      <c r="SFL19" s="64"/>
      <c r="SFM19" s="64"/>
      <c r="SFN19" s="64"/>
      <c r="SFO19" s="64"/>
      <c r="SFP19" s="64"/>
      <c r="SFQ19" s="64"/>
      <c r="SFR19" s="64"/>
      <c r="SFS19" s="64"/>
      <c r="SFT19" s="64"/>
      <c r="SFU19" s="64"/>
      <c r="SFV19" s="64"/>
      <c r="SFW19" s="64"/>
      <c r="SFX19" s="64"/>
      <c r="SFY19" s="64"/>
      <c r="SFZ19" s="64"/>
      <c r="SGA19" s="64"/>
      <c r="SGB19" s="64"/>
      <c r="SGC19" s="64"/>
      <c r="SGD19" s="64"/>
      <c r="SGE19" s="64"/>
      <c r="SGF19" s="64"/>
      <c r="SGG19" s="64"/>
      <c r="SGH19" s="64"/>
      <c r="SGI19" s="64"/>
      <c r="SGJ19" s="64"/>
      <c r="SGK19" s="64"/>
      <c r="SGL19" s="64"/>
      <c r="SGM19" s="64"/>
      <c r="SGN19" s="64"/>
      <c r="SGO19" s="64"/>
      <c r="SGP19" s="64"/>
      <c r="SGQ19" s="64"/>
      <c r="SGR19" s="64"/>
      <c r="SGS19" s="64"/>
      <c r="SGT19" s="64"/>
      <c r="SGU19" s="64"/>
      <c r="SGV19" s="64"/>
      <c r="SGW19" s="64"/>
      <c r="SGX19" s="64"/>
      <c r="SGY19" s="64"/>
      <c r="SGZ19" s="64"/>
      <c r="SHA19" s="64"/>
      <c r="SHB19" s="64"/>
      <c r="SHC19" s="64"/>
      <c r="SHD19" s="64"/>
      <c r="SHE19" s="64"/>
      <c r="SHF19" s="64"/>
      <c r="SHG19" s="64"/>
      <c r="SHH19" s="64"/>
      <c r="SHI19" s="64"/>
      <c r="SHJ19" s="64"/>
      <c r="SHK19" s="64"/>
      <c r="SHL19" s="64"/>
      <c r="SHM19" s="64"/>
      <c r="SHN19" s="64"/>
      <c r="SHO19" s="64"/>
      <c r="SHP19" s="64"/>
      <c r="SHQ19" s="64"/>
      <c r="SHR19" s="64"/>
      <c r="SHS19" s="64"/>
      <c r="SHT19" s="64"/>
      <c r="SHU19" s="64"/>
      <c r="SHV19" s="64"/>
      <c r="SHW19" s="64"/>
      <c r="SHX19" s="64"/>
      <c r="SHY19" s="64"/>
      <c r="SHZ19" s="64"/>
      <c r="SIA19" s="64"/>
      <c r="SIB19" s="64"/>
      <c r="SIC19" s="64"/>
      <c r="SID19" s="64"/>
      <c r="SIE19" s="64"/>
      <c r="SIF19" s="64"/>
      <c r="SIG19" s="64"/>
      <c r="SIH19" s="64"/>
      <c r="SII19" s="64"/>
      <c r="SIJ19" s="64"/>
      <c r="SIK19" s="64"/>
      <c r="SIL19" s="64"/>
      <c r="SIM19" s="64"/>
      <c r="SIN19" s="64"/>
      <c r="SIO19" s="64"/>
      <c r="SIP19" s="64"/>
      <c r="SIQ19" s="64"/>
      <c r="SIR19" s="64"/>
      <c r="SIS19" s="64"/>
      <c r="SIT19" s="64"/>
      <c r="SIU19" s="64"/>
      <c r="SIV19" s="64"/>
      <c r="SIW19" s="64"/>
      <c r="SIX19" s="64"/>
      <c r="SIY19" s="64"/>
      <c r="SIZ19" s="64"/>
      <c r="SJA19" s="64"/>
      <c r="SJB19" s="64"/>
      <c r="SJC19" s="64"/>
      <c r="SJD19" s="64"/>
      <c r="SJE19" s="64"/>
      <c r="SJF19" s="64"/>
      <c r="SJG19" s="64"/>
      <c r="SJH19" s="64"/>
      <c r="SJI19" s="64"/>
      <c r="SJJ19" s="64"/>
      <c r="SJK19" s="64"/>
      <c r="SJL19" s="64"/>
      <c r="SJM19" s="64"/>
      <c r="SJN19" s="64"/>
      <c r="SJO19" s="64"/>
      <c r="SJP19" s="64"/>
      <c r="SJQ19" s="64"/>
      <c r="SJR19" s="64"/>
      <c r="SJS19" s="64"/>
      <c r="SJT19" s="64"/>
      <c r="SJU19" s="64"/>
      <c r="SJV19" s="64"/>
      <c r="SJW19" s="64"/>
      <c r="SJX19" s="64"/>
      <c r="SJY19" s="64"/>
      <c r="SJZ19" s="64"/>
      <c r="SKA19" s="64"/>
      <c r="SKB19" s="64"/>
      <c r="SKC19" s="64"/>
      <c r="SKD19" s="64"/>
      <c r="SKE19" s="64"/>
      <c r="SKF19" s="64"/>
      <c r="SKG19" s="64"/>
      <c r="SKH19" s="64"/>
      <c r="SKI19" s="64"/>
      <c r="SKJ19" s="64"/>
      <c r="SKK19" s="64"/>
      <c r="SKL19" s="64"/>
      <c r="SKM19" s="64"/>
      <c r="SKN19" s="64"/>
      <c r="SKO19" s="64"/>
      <c r="SKP19" s="64"/>
      <c r="SKQ19" s="64"/>
      <c r="SKR19" s="64"/>
      <c r="SKS19" s="64"/>
      <c r="SKT19" s="64"/>
      <c r="SKU19" s="64"/>
      <c r="SKV19" s="64"/>
      <c r="SKW19" s="64"/>
      <c r="SKX19" s="64"/>
      <c r="SKY19" s="64"/>
      <c r="SKZ19" s="64"/>
      <c r="SLA19" s="64"/>
      <c r="SLB19" s="64"/>
      <c r="SLC19" s="64"/>
      <c r="SLD19" s="64"/>
      <c r="SLE19" s="64"/>
      <c r="SLF19" s="64"/>
      <c r="SLG19" s="64"/>
      <c r="SLH19" s="64"/>
      <c r="SLI19" s="64"/>
      <c r="SLJ19" s="64"/>
      <c r="SLK19" s="64"/>
      <c r="SLL19" s="64"/>
      <c r="SLM19" s="64"/>
      <c r="SLN19" s="64"/>
      <c r="SLO19" s="64"/>
      <c r="SLP19" s="64"/>
      <c r="SLQ19" s="64"/>
      <c r="SLR19" s="64"/>
      <c r="SLS19" s="64"/>
      <c r="SLT19" s="64"/>
      <c r="SLU19" s="64"/>
      <c r="SLV19" s="64"/>
      <c r="SLW19" s="64"/>
      <c r="SLX19" s="64"/>
      <c r="SLY19" s="64"/>
      <c r="SLZ19" s="64"/>
      <c r="SMA19" s="64"/>
      <c r="SMB19" s="64"/>
      <c r="SMC19" s="64"/>
      <c r="SMD19" s="64"/>
      <c r="SME19" s="64"/>
      <c r="SMF19" s="64"/>
      <c r="SMG19" s="64"/>
      <c r="SMH19" s="64"/>
      <c r="SMI19" s="64"/>
      <c r="SMJ19" s="64"/>
      <c r="SMK19" s="64"/>
      <c r="SML19" s="64"/>
      <c r="SMM19" s="64"/>
      <c r="SMN19" s="64"/>
      <c r="SMO19" s="64"/>
      <c r="SMP19" s="64"/>
      <c r="SMQ19" s="64"/>
      <c r="SMR19" s="64"/>
      <c r="SMS19" s="64"/>
      <c r="SMT19" s="64"/>
      <c r="SMU19" s="64"/>
      <c r="SMV19" s="64"/>
      <c r="SMW19" s="64"/>
      <c r="SMX19" s="64"/>
      <c r="SMY19" s="64"/>
      <c r="SMZ19" s="64"/>
      <c r="SNA19" s="64"/>
      <c r="SNB19" s="64"/>
      <c r="SNC19" s="64"/>
      <c r="SND19" s="64"/>
      <c r="SNE19" s="64"/>
      <c r="SNF19" s="64"/>
      <c r="SNG19" s="64"/>
      <c r="SNH19" s="64"/>
      <c r="SNI19" s="64"/>
      <c r="SNJ19" s="64"/>
      <c r="SNK19" s="64"/>
      <c r="SNL19" s="64"/>
      <c r="SNM19" s="64"/>
      <c r="SNN19" s="64"/>
      <c r="SNO19" s="64"/>
      <c r="SNP19" s="64"/>
      <c r="SNQ19" s="64"/>
      <c r="SNR19" s="64"/>
      <c r="SNS19" s="64"/>
      <c r="SNT19" s="64"/>
      <c r="SNU19" s="64"/>
      <c r="SNV19" s="64"/>
      <c r="SNW19" s="64"/>
      <c r="SNX19" s="64"/>
      <c r="SNY19" s="64"/>
      <c r="SNZ19" s="64"/>
      <c r="SOA19" s="64"/>
      <c r="SOB19" s="64"/>
      <c r="SOC19" s="64"/>
      <c r="SOD19" s="64"/>
      <c r="SOE19" s="64"/>
      <c r="SOF19" s="64"/>
      <c r="SOG19" s="64"/>
      <c r="SOH19" s="64"/>
      <c r="SOI19" s="64"/>
      <c r="SOJ19" s="64"/>
      <c r="SOK19" s="64"/>
      <c r="SOL19" s="64"/>
      <c r="SOM19" s="64"/>
      <c r="SON19" s="64"/>
      <c r="SOO19" s="64"/>
      <c r="SOP19" s="64"/>
      <c r="SOQ19" s="64"/>
      <c r="SOR19" s="64"/>
      <c r="SOS19" s="64"/>
      <c r="SOT19" s="64"/>
      <c r="SOU19" s="64"/>
      <c r="SOV19" s="64"/>
      <c r="SOW19" s="64"/>
      <c r="SOX19" s="64"/>
      <c r="SOY19" s="64"/>
      <c r="SOZ19" s="64"/>
      <c r="SPA19" s="64"/>
      <c r="SPB19" s="64"/>
      <c r="SPC19" s="64"/>
      <c r="SPD19" s="64"/>
      <c r="SPE19" s="64"/>
      <c r="SPF19" s="64"/>
      <c r="SPG19" s="64"/>
      <c r="SPH19" s="64"/>
      <c r="SPI19" s="64"/>
      <c r="SPJ19" s="64"/>
      <c r="SPK19" s="64"/>
      <c r="SPL19" s="64"/>
      <c r="SPM19" s="64"/>
      <c r="SPN19" s="64"/>
      <c r="SPO19" s="64"/>
      <c r="SPP19" s="64"/>
      <c r="SPQ19" s="64"/>
      <c r="SPR19" s="64"/>
      <c r="SPS19" s="64"/>
      <c r="SPT19" s="64"/>
      <c r="SPU19" s="64"/>
      <c r="SPV19" s="64"/>
      <c r="SPW19" s="64"/>
      <c r="SPX19" s="64"/>
      <c r="SPY19" s="64"/>
      <c r="SPZ19" s="64"/>
      <c r="SQA19" s="64"/>
      <c r="SQB19" s="64"/>
      <c r="SQC19" s="64"/>
      <c r="SQD19" s="64"/>
      <c r="SQE19" s="64"/>
      <c r="SQF19" s="64"/>
      <c r="SQG19" s="64"/>
      <c r="SQH19" s="64"/>
      <c r="SQI19" s="64"/>
      <c r="SQJ19" s="64"/>
      <c r="SQK19" s="64"/>
      <c r="SQL19" s="64"/>
      <c r="SQM19" s="64"/>
      <c r="SQN19" s="64"/>
      <c r="SQO19" s="64"/>
      <c r="SQP19" s="64"/>
      <c r="SQQ19" s="64"/>
      <c r="SQR19" s="64"/>
      <c r="SQS19" s="64"/>
      <c r="SQT19" s="64"/>
      <c r="SQU19" s="64"/>
      <c r="SQV19" s="64"/>
      <c r="SQW19" s="64"/>
      <c r="SQX19" s="64"/>
      <c r="SQY19" s="64"/>
      <c r="SQZ19" s="64"/>
      <c r="SRA19" s="64"/>
      <c r="SRB19" s="64"/>
      <c r="SRC19" s="64"/>
      <c r="SRD19" s="64"/>
      <c r="SRE19" s="64"/>
      <c r="SRF19" s="64"/>
      <c r="SRG19" s="64"/>
      <c r="SRH19" s="64"/>
      <c r="SRI19" s="64"/>
      <c r="SRJ19" s="64"/>
      <c r="SRK19" s="64"/>
      <c r="SRL19" s="64"/>
      <c r="SRM19" s="64"/>
      <c r="SRN19" s="64"/>
      <c r="SRO19" s="64"/>
      <c r="SRP19" s="64"/>
      <c r="SRQ19" s="64"/>
      <c r="SRR19" s="64"/>
      <c r="SRS19" s="64"/>
      <c r="SRT19" s="64"/>
      <c r="SRU19" s="64"/>
      <c r="SRV19" s="64"/>
      <c r="SRW19" s="64"/>
      <c r="SRX19" s="64"/>
      <c r="SRY19" s="64"/>
      <c r="SRZ19" s="64"/>
      <c r="SSA19" s="64"/>
      <c r="SSB19" s="64"/>
      <c r="SSC19" s="64"/>
      <c r="SSD19" s="64"/>
      <c r="SSE19" s="64"/>
      <c r="SSF19" s="64"/>
      <c r="SSG19" s="64"/>
      <c r="SSH19" s="64"/>
      <c r="SSI19" s="64"/>
      <c r="SSJ19" s="64"/>
      <c r="SSK19" s="64"/>
      <c r="SSL19" s="64"/>
      <c r="SSM19" s="64"/>
      <c r="SSN19" s="64"/>
      <c r="SSO19" s="64"/>
      <c r="SSP19" s="64"/>
      <c r="SSQ19" s="64"/>
      <c r="SSR19" s="64"/>
      <c r="SSS19" s="64"/>
      <c r="SST19" s="64"/>
      <c r="SSU19" s="64"/>
      <c r="SSV19" s="64"/>
      <c r="SSW19" s="64"/>
      <c r="SSX19" s="64"/>
      <c r="SSY19" s="64"/>
      <c r="SSZ19" s="64"/>
      <c r="STA19" s="64"/>
      <c r="STB19" s="64"/>
      <c r="STC19" s="64"/>
      <c r="STD19" s="64"/>
      <c r="STE19" s="64"/>
      <c r="STF19" s="64"/>
      <c r="STG19" s="64"/>
      <c r="STH19" s="64"/>
      <c r="STI19" s="64"/>
      <c r="STJ19" s="64"/>
      <c r="STK19" s="64"/>
      <c r="STL19" s="64"/>
      <c r="STM19" s="64"/>
      <c r="STN19" s="64"/>
      <c r="STO19" s="64"/>
      <c r="STP19" s="64"/>
      <c r="STQ19" s="64"/>
      <c r="STR19" s="64"/>
      <c r="STS19" s="64"/>
      <c r="STT19" s="64"/>
      <c r="STU19" s="64"/>
      <c r="STV19" s="64"/>
      <c r="STW19" s="64"/>
      <c r="STX19" s="64"/>
      <c r="STY19" s="64"/>
      <c r="STZ19" s="64"/>
      <c r="SUA19" s="64"/>
      <c r="SUB19" s="64"/>
      <c r="SUC19" s="64"/>
      <c r="SUD19" s="64"/>
      <c r="SUE19" s="64"/>
      <c r="SUF19" s="64"/>
      <c r="SUG19" s="64"/>
      <c r="SUH19" s="64"/>
      <c r="SUI19" s="64"/>
      <c r="SUJ19" s="64"/>
      <c r="SUK19" s="64"/>
      <c r="SUL19" s="64"/>
      <c r="SUM19" s="64"/>
      <c r="SUN19" s="64"/>
      <c r="SUO19" s="64"/>
      <c r="SUP19" s="64"/>
      <c r="SUQ19" s="64"/>
      <c r="SUR19" s="64"/>
      <c r="SUS19" s="64"/>
      <c r="SUT19" s="64"/>
      <c r="SUU19" s="64"/>
      <c r="SUV19" s="64"/>
      <c r="SUW19" s="64"/>
      <c r="SUX19" s="64"/>
      <c r="SUY19" s="64"/>
      <c r="SUZ19" s="64"/>
      <c r="SVA19" s="64"/>
      <c r="SVB19" s="64"/>
      <c r="SVC19" s="64"/>
      <c r="SVD19" s="64"/>
      <c r="SVE19" s="64"/>
      <c r="SVF19" s="64"/>
      <c r="SVG19" s="64"/>
      <c r="SVH19" s="64"/>
      <c r="SVI19" s="64"/>
      <c r="SVJ19" s="64"/>
      <c r="SVK19" s="64"/>
      <c r="SVL19" s="64"/>
      <c r="SVM19" s="64"/>
      <c r="SVN19" s="64"/>
      <c r="SVO19" s="64"/>
      <c r="SVP19" s="64"/>
      <c r="SVQ19" s="64"/>
      <c r="SVR19" s="64"/>
      <c r="SVS19" s="64"/>
      <c r="SVT19" s="64"/>
      <c r="SVU19" s="64"/>
      <c r="SVV19" s="64"/>
      <c r="SVW19" s="64"/>
      <c r="SVX19" s="64"/>
      <c r="SVY19" s="64"/>
      <c r="SVZ19" s="64"/>
      <c r="SWA19" s="64"/>
      <c r="SWB19" s="64"/>
      <c r="SWC19" s="64"/>
      <c r="SWD19" s="64"/>
      <c r="SWE19" s="64"/>
      <c r="SWF19" s="64"/>
      <c r="SWG19" s="64"/>
      <c r="SWH19" s="64"/>
      <c r="SWI19" s="64"/>
      <c r="SWJ19" s="64"/>
      <c r="SWK19" s="64"/>
      <c r="SWL19" s="64"/>
      <c r="SWM19" s="64"/>
      <c r="SWN19" s="64"/>
      <c r="SWO19" s="64"/>
      <c r="SWP19" s="64"/>
      <c r="SWQ19" s="64"/>
      <c r="SWR19" s="64"/>
      <c r="SWS19" s="64"/>
      <c r="SWT19" s="64"/>
      <c r="SWU19" s="64"/>
      <c r="SWV19" s="64"/>
      <c r="SWW19" s="64"/>
      <c r="SWX19" s="64"/>
      <c r="SWY19" s="64"/>
      <c r="SWZ19" s="64"/>
      <c r="SXA19" s="64"/>
      <c r="SXB19" s="64"/>
      <c r="SXC19" s="64"/>
      <c r="SXD19" s="64"/>
      <c r="SXE19" s="64"/>
      <c r="SXF19" s="64"/>
      <c r="SXG19" s="64"/>
      <c r="SXH19" s="64"/>
      <c r="SXI19" s="64"/>
      <c r="SXJ19" s="64"/>
      <c r="SXK19" s="64"/>
      <c r="SXL19" s="64"/>
      <c r="SXM19" s="64"/>
      <c r="SXN19" s="64"/>
      <c r="SXO19" s="64"/>
      <c r="SXP19" s="64"/>
      <c r="SXQ19" s="64"/>
      <c r="SXR19" s="64"/>
      <c r="SXS19" s="64"/>
      <c r="SXT19" s="64"/>
      <c r="SXU19" s="64"/>
      <c r="SXV19" s="64"/>
      <c r="SXW19" s="64"/>
      <c r="SXX19" s="64"/>
      <c r="SXY19" s="64"/>
      <c r="SXZ19" s="64"/>
      <c r="SYA19" s="64"/>
      <c r="SYB19" s="64"/>
      <c r="SYC19" s="64"/>
      <c r="SYD19" s="64"/>
      <c r="SYE19" s="64"/>
      <c r="SYF19" s="64"/>
      <c r="SYG19" s="64"/>
      <c r="SYH19" s="64"/>
      <c r="SYI19" s="64"/>
      <c r="SYJ19" s="64"/>
      <c r="SYK19" s="64"/>
      <c r="SYL19" s="64"/>
      <c r="SYM19" s="64"/>
      <c r="SYN19" s="64"/>
      <c r="SYO19" s="64"/>
      <c r="SYP19" s="64"/>
      <c r="SYQ19" s="64"/>
      <c r="SYR19" s="64"/>
      <c r="SYS19" s="64"/>
      <c r="SYT19" s="64"/>
      <c r="SYU19" s="64"/>
      <c r="SYV19" s="64"/>
      <c r="SYW19" s="64"/>
      <c r="SYX19" s="64"/>
      <c r="SYY19" s="64"/>
      <c r="SYZ19" s="64"/>
      <c r="SZA19" s="64"/>
      <c r="SZB19" s="64"/>
      <c r="SZC19" s="64"/>
      <c r="SZD19" s="64"/>
      <c r="SZE19" s="64"/>
      <c r="SZF19" s="64"/>
      <c r="SZG19" s="64"/>
      <c r="SZH19" s="64"/>
      <c r="SZI19" s="64"/>
      <c r="SZJ19" s="64"/>
      <c r="SZK19" s="64"/>
      <c r="SZL19" s="64"/>
      <c r="SZM19" s="64"/>
      <c r="SZN19" s="64"/>
      <c r="SZO19" s="64"/>
      <c r="SZP19" s="64"/>
      <c r="SZQ19" s="64"/>
      <c r="SZR19" s="64"/>
      <c r="SZS19" s="64"/>
      <c r="SZT19" s="64"/>
      <c r="SZU19" s="64"/>
      <c r="SZV19" s="64"/>
      <c r="SZW19" s="64"/>
      <c r="SZX19" s="64"/>
      <c r="SZY19" s="64"/>
      <c r="SZZ19" s="64"/>
      <c r="TAA19" s="64"/>
      <c r="TAB19" s="64"/>
      <c r="TAC19" s="64"/>
      <c r="TAD19" s="64"/>
      <c r="TAE19" s="64"/>
      <c r="TAF19" s="64"/>
      <c r="TAG19" s="64"/>
      <c r="TAH19" s="64"/>
      <c r="TAI19" s="64"/>
      <c r="TAJ19" s="64"/>
      <c r="TAK19" s="64"/>
      <c r="TAL19" s="64"/>
      <c r="TAM19" s="64"/>
      <c r="TAN19" s="64"/>
      <c r="TAO19" s="64"/>
      <c r="TAP19" s="64"/>
      <c r="TAQ19" s="64"/>
      <c r="TAR19" s="64"/>
      <c r="TAS19" s="64"/>
      <c r="TAT19" s="64"/>
      <c r="TAU19" s="64"/>
      <c r="TAV19" s="64"/>
      <c r="TAW19" s="64"/>
      <c r="TAX19" s="64"/>
      <c r="TAY19" s="64"/>
      <c r="TAZ19" s="64"/>
      <c r="TBA19" s="64"/>
      <c r="TBB19" s="64"/>
      <c r="TBC19" s="64"/>
      <c r="TBD19" s="64"/>
      <c r="TBE19" s="64"/>
      <c r="TBF19" s="64"/>
      <c r="TBG19" s="64"/>
      <c r="TBH19" s="64"/>
      <c r="TBI19" s="64"/>
      <c r="TBJ19" s="64"/>
      <c r="TBK19" s="64"/>
      <c r="TBL19" s="64"/>
      <c r="TBM19" s="64"/>
      <c r="TBN19" s="64"/>
      <c r="TBO19" s="64"/>
      <c r="TBP19" s="64"/>
      <c r="TBQ19" s="64"/>
      <c r="TBR19" s="64"/>
      <c r="TBS19" s="64"/>
      <c r="TBT19" s="64"/>
      <c r="TBU19" s="64"/>
      <c r="TBV19" s="64"/>
      <c r="TBW19" s="64"/>
      <c r="TBX19" s="64"/>
      <c r="TBY19" s="64"/>
      <c r="TBZ19" s="64"/>
      <c r="TCA19" s="64"/>
      <c r="TCB19" s="64"/>
      <c r="TCC19" s="64"/>
      <c r="TCD19" s="64"/>
      <c r="TCE19" s="64"/>
      <c r="TCF19" s="64"/>
      <c r="TCG19" s="64"/>
      <c r="TCH19" s="64"/>
      <c r="TCI19" s="64"/>
      <c r="TCJ19" s="64"/>
      <c r="TCK19" s="64"/>
      <c r="TCL19" s="64"/>
      <c r="TCM19" s="64"/>
      <c r="TCN19" s="64"/>
      <c r="TCO19" s="64"/>
      <c r="TCP19" s="64"/>
      <c r="TCQ19" s="64"/>
      <c r="TCR19" s="64"/>
      <c r="TCS19" s="64"/>
      <c r="TCT19" s="64"/>
      <c r="TCU19" s="64"/>
      <c r="TCV19" s="64"/>
      <c r="TCW19" s="64"/>
      <c r="TCX19" s="64"/>
      <c r="TCY19" s="64"/>
      <c r="TCZ19" s="64"/>
      <c r="TDA19" s="64"/>
      <c r="TDB19" s="64"/>
      <c r="TDC19" s="64"/>
      <c r="TDD19" s="64"/>
      <c r="TDE19" s="64"/>
      <c r="TDF19" s="64"/>
      <c r="TDG19" s="64"/>
      <c r="TDH19" s="64"/>
      <c r="TDI19" s="64"/>
      <c r="TDJ19" s="64"/>
      <c r="TDK19" s="64"/>
      <c r="TDL19" s="64"/>
      <c r="TDM19" s="64"/>
      <c r="TDN19" s="64"/>
      <c r="TDO19" s="64"/>
      <c r="TDP19" s="64"/>
      <c r="TDQ19" s="64"/>
      <c r="TDR19" s="64"/>
      <c r="TDS19" s="64"/>
      <c r="TDT19" s="64"/>
      <c r="TDU19" s="64"/>
      <c r="TDV19" s="64"/>
      <c r="TDW19" s="64"/>
      <c r="TDX19" s="64"/>
      <c r="TDY19" s="64"/>
      <c r="TDZ19" s="64"/>
      <c r="TEA19" s="64"/>
      <c r="TEB19" s="64"/>
      <c r="TEC19" s="64"/>
      <c r="TED19" s="64"/>
      <c r="TEE19" s="64"/>
      <c r="TEF19" s="64"/>
      <c r="TEG19" s="64"/>
      <c r="TEH19" s="64"/>
      <c r="TEI19" s="64"/>
      <c r="TEJ19" s="64"/>
      <c r="TEK19" s="64"/>
      <c r="TEL19" s="64"/>
      <c r="TEM19" s="64"/>
      <c r="TEN19" s="64"/>
      <c r="TEO19" s="64"/>
      <c r="TEP19" s="64"/>
      <c r="TEQ19" s="64"/>
      <c r="TER19" s="64"/>
      <c r="TES19" s="64"/>
      <c r="TET19" s="64"/>
      <c r="TEU19" s="64"/>
      <c r="TEV19" s="64"/>
      <c r="TEW19" s="64"/>
      <c r="TEX19" s="64"/>
      <c r="TEY19" s="64"/>
      <c r="TEZ19" s="64"/>
      <c r="TFA19" s="64"/>
      <c r="TFB19" s="64"/>
      <c r="TFC19" s="64"/>
      <c r="TFD19" s="64"/>
      <c r="TFE19" s="64"/>
      <c r="TFF19" s="64"/>
      <c r="TFG19" s="64"/>
      <c r="TFH19" s="64"/>
      <c r="TFI19" s="64"/>
      <c r="TFJ19" s="64"/>
      <c r="TFK19" s="64"/>
      <c r="TFL19" s="64"/>
      <c r="TFM19" s="64"/>
      <c r="TFN19" s="64"/>
      <c r="TFO19" s="64"/>
      <c r="TFP19" s="64"/>
      <c r="TFQ19" s="64"/>
      <c r="TFR19" s="64"/>
      <c r="TFS19" s="64"/>
      <c r="TFT19" s="64"/>
      <c r="TFU19" s="64"/>
      <c r="TFV19" s="64"/>
      <c r="TFW19" s="64"/>
      <c r="TFX19" s="64"/>
      <c r="TFY19" s="64"/>
      <c r="TFZ19" s="64"/>
      <c r="TGA19" s="64"/>
      <c r="TGB19" s="64"/>
      <c r="TGC19" s="64"/>
      <c r="TGD19" s="64"/>
      <c r="TGE19" s="64"/>
      <c r="TGF19" s="64"/>
      <c r="TGG19" s="64"/>
      <c r="TGH19" s="64"/>
      <c r="TGI19" s="64"/>
      <c r="TGJ19" s="64"/>
      <c r="TGK19" s="64"/>
      <c r="TGL19" s="64"/>
      <c r="TGM19" s="64"/>
      <c r="TGN19" s="64"/>
      <c r="TGO19" s="64"/>
      <c r="TGP19" s="64"/>
      <c r="TGQ19" s="64"/>
      <c r="TGR19" s="64"/>
      <c r="TGS19" s="64"/>
      <c r="TGT19" s="64"/>
      <c r="TGU19" s="64"/>
      <c r="TGV19" s="64"/>
      <c r="TGW19" s="64"/>
      <c r="TGX19" s="64"/>
      <c r="TGY19" s="64"/>
      <c r="TGZ19" s="64"/>
      <c r="THA19" s="64"/>
      <c r="THB19" s="64"/>
      <c r="THC19" s="64"/>
      <c r="THD19" s="64"/>
      <c r="THE19" s="64"/>
      <c r="THF19" s="64"/>
      <c r="THG19" s="64"/>
      <c r="THH19" s="64"/>
      <c r="THI19" s="64"/>
      <c r="THJ19" s="64"/>
      <c r="THK19" s="64"/>
      <c r="THL19" s="64"/>
      <c r="THM19" s="64"/>
      <c r="THN19" s="64"/>
      <c r="THO19" s="64"/>
      <c r="THP19" s="64"/>
      <c r="THQ19" s="64"/>
      <c r="THR19" s="64"/>
      <c r="THS19" s="64"/>
      <c r="THT19" s="64"/>
      <c r="THU19" s="64"/>
      <c r="THV19" s="64"/>
      <c r="THW19" s="64"/>
      <c r="THX19" s="64"/>
      <c r="THY19" s="64"/>
      <c r="THZ19" s="64"/>
      <c r="TIA19" s="64"/>
      <c r="TIB19" s="64"/>
      <c r="TIC19" s="64"/>
      <c r="TID19" s="64"/>
      <c r="TIE19" s="64"/>
      <c r="TIF19" s="64"/>
      <c r="TIG19" s="64"/>
      <c r="TIH19" s="64"/>
      <c r="TII19" s="64"/>
      <c r="TIJ19" s="64"/>
      <c r="TIK19" s="64"/>
      <c r="TIL19" s="64"/>
      <c r="TIM19" s="64"/>
      <c r="TIN19" s="64"/>
      <c r="TIO19" s="64"/>
      <c r="TIP19" s="64"/>
      <c r="TIQ19" s="64"/>
      <c r="TIR19" s="64"/>
      <c r="TIS19" s="64"/>
      <c r="TIT19" s="64"/>
      <c r="TIU19" s="64"/>
      <c r="TIV19" s="64"/>
      <c r="TIW19" s="64"/>
      <c r="TIX19" s="64"/>
      <c r="TIY19" s="64"/>
      <c r="TIZ19" s="64"/>
      <c r="TJA19" s="64"/>
      <c r="TJB19" s="64"/>
      <c r="TJC19" s="64"/>
      <c r="TJD19" s="64"/>
      <c r="TJE19" s="64"/>
      <c r="TJF19" s="64"/>
      <c r="TJG19" s="64"/>
      <c r="TJH19" s="64"/>
      <c r="TJI19" s="64"/>
      <c r="TJJ19" s="64"/>
      <c r="TJK19" s="64"/>
      <c r="TJL19" s="64"/>
      <c r="TJM19" s="64"/>
      <c r="TJN19" s="64"/>
      <c r="TJO19" s="64"/>
      <c r="TJP19" s="64"/>
      <c r="TJQ19" s="64"/>
      <c r="TJR19" s="64"/>
      <c r="TJS19" s="64"/>
      <c r="TJT19" s="64"/>
      <c r="TJU19" s="64"/>
      <c r="TJV19" s="64"/>
      <c r="TJW19" s="64"/>
      <c r="TJX19" s="64"/>
      <c r="TJY19" s="64"/>
      <c r="TJZ19" s="64"/>
      <c r="TKA19" s="64"/>
      <c r="TKB19" s="64"/>
      <c r="TKC19" s="64"/>
      <c r="TKD19" s="64"/>
      <c r="TKE19" s="64"/>
      <c r="TKF19" s="64"/>
      <c r="TKG19" s="64"/>
      <c r="TKH19" s="64"/>
      <c r="TKI19" s="64"/>
      <c r="TKJ19" s="64"/>
      <c r="TKK19" s="64"/>
      <c r="TKL19" s="64"/>
      <c r="TKM19" s="64"/>
      <c r="TKN19" s="64"/>
      <c r="TKO19" s="64"/>
      <c r="TKP19" s="64"/>
      <c r="TKQ19" s="64"/>
      <c r="TKR19" s="64"/>
      <c r="TKS19" s="64"/>
      <c r="TKT19" s="64"/>
      <c r="TKU19" s="64"/>
      <c r="TKV19" s="64"/>
      <c r="TKW19" s="64"/>
      <c r="TKX19" s="64"/>
      <c r="TKY19" s="64"/>
      <c r="TKZ19" s="64"/>
      <c r="TLA19" s="64"/>
      <c r="TLB19" s="64"/>
      <c r="TLC19" s="64"/>
      <c r="TLD19" s="64"/>
      <c r="TLE19" s="64"/>
      <c r="TLF19" s="64"/>
      <c r="TLG19" s="64"/>
      <c r="TLH19" s="64"/>
      <c r="TLI19" s="64"/>
      <c r="TLJ19" s="64"/>
      <c r="TLK19" s="64"/>
      <c r="TLL19" s="64"/>
      <c r="TLM19" s="64"/>
      <c r="TLN19" s="64"/>
      <c r="TLO19" s="64"/>
      <c r="TLP19" s="64"/>
      <c r="TLQ19" s="64"/>
      <c r="TLR19" s="64"/>
      <c r="TLS19" s="64"/>
      <c r="TLT19" s="64"/>
      <c r="TLU19" s="64"/>
      <c r="TLV19" s="64"/>
      <c r="TLW19" s="64"/>
      <c r="TLX19" s="64"/>
      <c r="TLY19" s="64"/>
      <c r="TLZ19" s="64"/>
      <c r="TMA19" s="64"/>
      <c r="TMB19" s="64"/>
      <c r="TMC19" s="64"/>
      <c r="TMD19" s="64"/>
      <c r="TME19" s="64"/>
      <c r="TMF19" s="64"/>
      <c r="TMG19" s="64"/>
      <c r="TMH19" s="64"/>
      <c r="TMI19" s="64"/>
      <c r="TMJ19" s="64"/>
      <c r="TMK19" s="64"/>
      <c r="TML19" s="64"/>
      <c r="TMM19" s="64"/>
      <c r="TMN19" s="64"/>
      <c r="TMO19" s="64"/>
      <c r="TMP19" s="64"/>
      <c r="TMQ19" s="64"/>
      <c r="TMR19" s="64"/>
      <c r="TMS19" s="64"/>
      <c r="TMT19" s="64"/>
      <c r="TMU19" s="64"/>
      <c r="TMV19" s="64"/>
      <c r="TMW19" s="64"/>
      <c r="TMX19" s="64"/>
      <c r="TMY19" s="64"/>
      <c r="TMZ19" s="64"/>
      <c r="TNA19" s="64"/>
      <c r="TNB19" s="64"/>
      <c r="TNC19" s="64"/>
      <c r="TND19" s="64"/>
      <c r="TNE19" s="64"/>
      <c r="TNF19" s="64"/>
      <c r="TNG19" s="64"/>
      <c r="TNH19" s="64"/>
      <c r="TNI19" s="64"/>
      <c r="TNJ19" s="64"/>
      <c r="TNK19" s="64"/>
      <c r="TNL19" s="64"/>
      <c r="TNM19" s="64"/>
      <c r="TNN19" s="64"/>
      <c r="TNO19" s="64"/>
      <c r="TNP19" s="64"/>
      <c r="TNQ19" s="64"/>
      <c r="TNR19" s="64"/>
      <c r="TNS19" s="64"/>
      <c r="TNT19" s="64"/>
      <c r="TNU19" s="64"/>
      <c r="TNV19" s="64"/>
      <c r="TNW19" s="64"/>
      <c r="TNX19" s="64"/>
      <c r="TNY19" s="64"/>
      <c r="TNZ19" s="64"/>
      <c r="TOA19" s="64"/>
      <c r="TOB19" s="64"/>
      <c r="TOC19" s="64"/>
      <c r="TOD19" s="64"/>
      <c r="TOE19" s="64"/>
      <c r="TOF19" s="64"/>
      <c r="TOG19" s="64"/>
      <c r="TOH19" s="64"/>
      <c r="TOI19" s="64"/>
      <c r="TOJ19" s="64"/>
      <c r="TOK19" s="64"/>
      <c r="TOL19" s="64"/>
      <c r="TOM19" s="64"/>
      <c r="TON19" s="64"/>
      <c r="TOO19" s="64"/>
      <c r="TOP19" s="64"/>
      <c r="TOQ19" s="64"/>
      <c r="TOR19" s="64"/>
      <c r="TOS19" s="64"/>
      <c r="TOT19" s="64"/>
      <c r="TOU19" s="64"/>
      <c r="TOV19" s="64"/>
      <c r="TOW19" s="64"/>
      <c r="TOX19" s="64"/>
      <c r="TOY19" s="64"/>
      <c r="TOZ19" s="64"/>
      <c r="TPA19" s="64"/>
      <c r="TPB19" s="64"/>
      <c r="TPC19" s="64"/>
      <c r="TPD19" s="64"/>
      <c r="TPE19" s="64"/>
      <c r="TPF19" s="64"/>
      <c r="TPG19" s="64"/>
      <c r="TPH19" s="64"/>
      <c r="TPI19" s="64"/>
      <c r="TPJ19" s="64"/>
      <c r="TPK19" s="64"/>
      <c r="TPL19" s="64"/>
      <c r="TPM19" s="64"/>
      <c r="TPN19" s="64"/>
      <c r="TPO19" s="64"/>
      <c r="TPP19" s="64"/>
      <c r="TPQ19" s="64"/>
      <c r="TPR19" s="64"/>
      <c r="TPS19" s="64"/>
      <c r="TPT19" s="64"/>
      <c r="TPU19" s="64"/>
      <c r="TPV19" s="64"/>
      <c r="TPW19" s="64"/>
      <c r="TPX19" s="64"/>
      <c r="TPY19" s="64"/>
      <c r="TPZ19" s="64"/>
      <c r="TQA19" s="64"/>
      <c r="TQB19" s="64"/>
      <c r="TQC19" s="64"/>
      <c r="TQD19" s="64"/>
      <c r="TQE19" s="64"/>
      <c r="TQF19" s="64"/>
      <c r="TQG19" s="64"/>
      <c r="TQH19" s="64"/>
      <c r="TQI19" s="64"/>
      <c r="TQJ19" s="64"/>
      <c r="TQK19" s="64"/>
      <c r="TQL19" s="64"/>
      <c r="TQM19" s="64"/>
      <c r="TQN19" s="64"/>
      <c r="TQO19" s="64"/>
      <c r="TQP19" s="64"/>
      <c r="TQQ19" s="64"/>
      <c r="TQR19" s="64"/>
      <c r="TQS19" s="64"/>
      <c r="TQT19" s="64"/>
      <c r="TQU19" s="64"/>
      <c r="TQV19" s="64"/>
      <c r="TQW19" s="64"/>
      <c r="TQX19" s="64"/>
      <c r="TQY19" s="64"/>
      <c r="TQZ19" s="64"/>
      <c r="TRA19" s="64"/>
      <c r="TRB19" s="64"/>
      <c r="TRC19" s="64"/>
      <c r="TRD19" s="64"/>
      <c r="TRE19" s="64"/>
      <c r="TRF19" s="64"/>
      <c r="TRG19" s="64"/>
      <c r="TRH19" s="64"/>
      <c r="TRI19" s="64"/>
      <c r="TRJ19" s="64"/>
      <c r="TRK19" s="64"/>
      <c r="TRL19" s="64"/>
      <c r="TRM19" s="64"/>
      <c r="TRN19" s="64"/>
      <c r="TRO19" s="64"/>
      <c r="TRP19" s="64"/>
      <c r="TRQ19" s="64"/>
      <c r="TRR19" s="64"/>
      <c r="TRS19" s="64"/>
      <c r="TRT19" s="64"/>
      <c r="TRU19" s="64"/>
      <c r="TRV19" s="64"/>
      <c r="TRW19" s="64"/>
      <c r="TRX19" s="64"/>
      <c r="TRY19" s="64"/>
      <c r="TRZ19" s="64"/>
      <c r="TSA19" s="64"/>
      <c r="TSB19" s="64"/>
      <c r="TSC19" s="64"/>
      <c r="TSD19" s="64"/>
      <c r="TSE19" s="64"/>
      <c r="TSF19" s="64"/>
      <c r="TSG19" s="64"/>
      <c r="TSH19" s="64"/>
      <c r="TSI19" s="64"/>
      <c r="TSJ19" s="64"/>
      <c r="TSK19" s="64"/>
      <c r="TSL19" s="64"/>
      <c r="TSM19" s="64"/>
      <c r="TSN19" s="64"/>
      <c r="TSO19" s="64"/>
      <c r="TSP19" s="64"/>
      <c r="TSQ19" s="64"/>
      <c r="TSR19" s="64"/>
      <c r="TSS19" s="64"/>
      <c r="TST19" s="64"/>
      <c r="TSU19" s="64"/>
      <c r="TSV19" s="64"/>
      <c r="TSW19" s="64"/>
      <c r="TSX19" s="64"/>
      <c r="TSY19" s="64"/>
      <c r="TSZ19" s="64"/>
      <c r="TTA19" s="64"/>
      <c r="TTB19" s="64"/>
      <c r="TTC19" s="64"/>
      <c r="TTD19" s="64"/>
      <c r="TTE19" s="64"/>
      <c r="TTF19" s="64"/>
      <c r="TTG19" s="64"/>
      <c r="TTH19" s="64"/>
      <c r="TTI19" s="64"/>
      <c r="TTJ19" s="64"/>
      <c r="TTK19" s="64"/>
      <c r="TTL19" s="64"/>
      <c r="TTM19" s="64"/>
      <c r="TTN19" s="64"/>
      <c r="TTO19" s="64"/>
      <c r="TTP19" s="64"/>
      <c r="TTQ19" s="64"/>
      <c r="TTR19" s="64"/>
      <c r="TTS19" s="64"/>
      <c r="TTT19" s="64"/>
      <c r="TTU19" s="64"/>
      <c r="TTV19" s="64"/>
      <c r="TTW19" s="64"/>
      <c r="TTX19" s="64"/>
      <c r="TTY19" s="64"/>
      <c r="TTZ19" s="64"/>
      <c r="TUA19" s="64"/>
      <c r="TUB19" s="64"/>
      <c r="TUC19" s="64"/>
      <c r="TUD19" s="64"/>
      <c r="TUE19" s="64"/>
      <c r="TUF19" s="64"/>
      <c r="TUG19" s="64"/>
      <c r="TUH19" s="64"/>
      <c r="TUI19" s="64"/>
      <c r="TUJ19" s="64"/>
      <c r="TUK19" s="64"/>
      <c r="TUL19" s="64"/>
      <c r="TUM19" s="64"/>
      <c r="TUN19" s="64"/>
      <c r="TUO19" s="64"/>
      <c r="TUP19" s="64"/>
      <c r="TUQ19" s="64"/>
      <c r="TUR19" s="64"/>
      <c r="TUS19" s="64"/>
      <c r="TUT19" s="64"/>
      <c r="TUU19" s="64"/>
      <c r="TUV19" s="64"/>
      <c r="TUW19" s="64"/>
      <c r="TUX19" s="64"/>
      <c r="TUY19" s="64"/>
      <c r="TUZ19" s="64"/>
      <c r="TVA19" s="64"/>
      <c r="TVB19" s="64"/>
      <c r="TVC19" s="64"/>
      <c r="TVD19" s="64"/>
      <c r="TVE19" s="64"/>
      <c r="TVF19" s="64"/>
      <c r="TVG19" s="64"/>
      <c r="TVH19" s="64"/>
      <c r="TVI19" s="64"/>
      <c r="TVJ19" s="64"/>
      <c r="TVK19" s="64"/>
      <c r="TVL19" s="64"/>
      <c r="TVM19" s="64"/>
      <c r="TVN19" s="64"/>
      <c r="TVO19" s="64"/>
      <c r="TVP19" s="64"/>
      <c r="TVQ19" s="64"/>
      <c r="TVR19" s="64"/>
      <c r="TVS19" s="64"/>
      <c r="TVT19" s="64"/>
      <c r="TVU19" s="64"/>
      <c r="TVV19" s="64"/>
      <c r="TVW19" s="64"/>
      <c r="TVX19" s="64"/>
      <c r="TVY19" s="64"/>
      <c r="TVZ19" s="64"/>
      <c r="TWA19" s="64"/>
      <c r="TWB19" s="64"/>
      <c r="TWC19" s="64"/>
      <c r="TWD19" s="64"/>
      <c r="TWE19" s="64"/>
      <c r="TWF19" s="64"/>
      <c r="TWG19" s="64"/>
      <c r="TWH19" s="64"/>
      <c r="TWI19" s="64"/>
      <c r="TWJ19" s="64"/>
      <c r="TWK19" s="64"/>
      <c r="TWL19" s="64"/>
      <c r="TWM19" s="64"/>
      <c r="TWN19" s="64"/>
      <c r="TWO19" s="64"/>
      <c r="TWP19" s="64"/>
      <c r="TWQ19" s="64"/>
      <c r="TWR19" s="64"/>
      <c r="TWS19" s="64"/>
      <c r="TWT19" s="64"/>
      <c r="TWU19" s="64"/>
      <c r="TWV19" s="64"/>
      <c r="TWW19" s="64"/>
      <c r="TWX19" s="64"/>
      <c r="TWY19" s="64"/>
      <c r="TWZ19" s="64"/>
      <c r="TXA19" s="64"/>
      <c r="TXB19" s="64"/>
      <c r="TXC19" s="64"/>
      <c r="TXD19" s="64"/>
      <c r="TXE19" s="64"/>
      <c r="TXF19" s="64"/>
      <c r="TXG19" s="64"/>
      <c r="TXH19" s="64"/>
      <c r="TXI19" s="64"/>
      <c r="TXJ19" s="64"/>
      <c r="TXK19" s="64"/>
      <c r="TXL19" s="64"/>
      <c r="TXM19" s="64"/>
      <c r="TXN19" s="64"/>
      <c r="TXO19" s="64"/>
      <c r="TXP19" s="64"/>
      <c r="TXQ19" s="64"/>
      <c r="TXR19" s="64"/>
      <c r="TXS19" s="64"/>
      <c r="TXT19" s="64"/>
      <c r="TXU19" s="64"/>
      <c r="TXV19" s="64"/>
      <c r="TXW19" s="64"/>
      <c r="TXX19" s="64"/>
      <c r="TXY19" s="64"/>
      <c r="TXZ19" s="64"/>
      <c r="TYA19" s="64"/>
      <c r="TYB19" s="64"/>
      <c r="TYC19" s="64"/>
      <c r="TYD19" s="64"/>
      <c r="TYE19" s="64"/>
      <c r="TYF19" s="64"/>
      <c r="TYG19" s="64"/>
      <c r="TYH19" s="64"/>
      <c r="TYI19" s="64"/>
      <c r="TYJ19" s="64"/>
      <c r="TYK19" s="64"/>
      <c r="TYL19" s="64"/>
      <c r="TYM19" s="64"/>
      <c r="TYN19" s="64"/>
      <c r="TYO19" s="64"/>
      <c r="TYP19" s="64"/>
      <c r="TYQ19" s="64"/>
      <c r="TYR19" s="64"/>
      <c r="TYS19" s="64"/>
      <c r="TYT19" s="64"/>
      <c r="TYU19" s="64"/>
      <c r="TYV19" s="64"/>
      <c r="TYW19" s="64"/>
      <c r="TYX19" s="64"/>
      <c r="TYY19" s="64"/>
      <c r="TYZ19" s="64"/>
      <c r="TZA19" s="64"/>
      <c r="TZB19" s="64"/>
      <c r="TZC19" s="64"/>
      <c r="TZD19" s="64"/>
      <c r="TZE19" s="64"/>
      <c r="TZF19" s="64"/>
      <c r="TZG19" s="64"/>
      <c r="TZH19" s="64"/>
      <c r="TZI19" s="64"/>
      <c r="TZJ19" s="64"/>
      <c r="TZK19" s="64"/>
      <c r="TZL19" s="64"/>
      <c r="TZM19" s="64"/>
      <c r="TZN19" s="64"/>
      <c r="TZO19" s="64"/>
      <c r="TZP19" s="64"/>
      <c r="TZQ19" s="64"/>
      <c r="TZR19" s="64"/>
      <c r="TZS19" s="64"/>
      <c r="TZT19" s="64"/>
      <c r="TZU19" s="64"/>
      <c r="TZV19" s="64"/>
      <c r="TZW19" s="64"/>
      <c r="TZX19" s="64"/>
      <c r="TZY19" s="64"/>
      <c r="TZZ19" s="64"/>
      <c r="UAA19" s="64"/>
      <c r="UAB19" s="64"/>
      <c r="UAC19" s="64"/>
      <c r="UAD19" s="64"/>
      <c r="UAE19" s="64"/>
      <c r="UAF19" s="64"/>
      <c r="UAG19" s="64"/>
      <c r="UAH19" s="64"/>
      <c r="UAI19" s="64"/>
      <c r="UAJ19" s="64"/>
      <c r="UAK19" s="64"/>
      <c r="UAL19" s="64"/>
      <c r="UAM19" s="64"/>
      <c r="UAN19" s="64"/>
      <c r="UAO19" s="64"/>
      <c r="UAP19" s="64"/>
      <c r="UAQ19" s="64"/>
      <c r="UAR19" s="64"/>
      <c r="UAS19" s="64"/>
      <c r="UAT19" s="64"/>
      <c r="UAU19" s="64"/>
      <c r="UAV19" s="64"/>
      <c r="UAW19" s="64"/>
      <c r="UAX19" s="64"/>
      <c r="UAY19" s="64"/>
      <c r="UAZ19" s="64"/>
      <c r="UBA19" s="64"/>
      <c r="UBB19" s="64"/>
      <c r="UBC19" s="64"/>
      <c r="UBD19" s="64"/>
      <c r="UBE19" s="64"/>
      <c r="UBF19" s="64"/>
      <c r="UBG19" s="64"/>
      <c r="UBH19" s="64"/>
      <c r="UBI19" s="64"/>
      <c r="UBJ19" s="64"/>
      <c r="UBK19" s="64"/>
      <c r="UBL19" s="64"/>
      <c r="UBM19" s="64"/>
      <c r="UBN19" s="64"/>
      <c r="UBO19" s="64"/>
      <c r="UBP19" s="64"/>
      <c r="UBQ19" s="64"/>
      <c r="UBR19" s="64"/>
      <c r="UBS19" s="64"/>
      <c r="UBT19" s="64"/>
      <c r="UBU19" s="64"/>
      <c r="UBV19" s="64"/>
      <c r="UBW19" s="64"/>
      <c r="UBX19" s="64"/>
      <c r="UBY19" s="64"/>
      <c r="UBZ19" s="64"/>
      <c r="UCA19" s="64"/>
      <c r="UCB19" s="64"/>
      <c r="UCC19" s="64"/>
      <c r="UCD19" s="64"/>
      <c r="UCE19" s="64"/>
      <c r="UCF19" s="64"/>
      <c r="UCG19" s="64"/>
      <c r="UCH19" s="64"/>
      <c r="UCI19" s="64"/>
      <c r="UCJ19" s="64"/>
      <c r="UCK19" s="64"/>
      <c r="UCL19" s="64"/>
      <c r="UCM19" s="64"/>
      <c r="UCN19" s="64"/>
      <c r="UCO19" s="64"/>
      <c r="UCP19" s="64"/>
      <c r="UCQ19" s="64"/>
      <c r="UCR19" s="64"/>
      <c r="UCS19" s="64"/>
      <c r="UCT19" s="64"/>
      <c r="UCU19" s="64"/>
      <c r="UCV19" s="64"/>
      <c r="UCW19" s="64"/>
      <c r="UCX19" s="64"/>
      <c r="UCY19" s="64"/>
      <c r="UCZ19" s="64"/>
      <c r="UDA19" s="64"/>
      <c r="UDB19" s="64"/>
      <c r="UDC19" s="64"/>
      <c r="UDD19" s="64"/>
      <c r="UDE19" s="64"/>
      <c r="UDF19" s="64"/>
      <c r="UDG19" s="64"/>
      <c r="UDH19" s="64"/>
      <c r="UDI19" s="64"/>
      <c r="UDJ19" s="64"/>
      <c r="UDK19" s="64"/>
      <c r="UDL19" s="64"/>
      <c r="UDM19" s="64"/>
      <c r="UDN19" s="64"/>
      <c r="UDO19" s="64"/>
      <c r="UDP19" s="64"/>
      <c r="UDQ19" s="64"/>
      <c r="UDR19" s="64"/>
      <c r="UDS19" s="64"/>
      <c r="UDT19" s="64"/>
      <c r="UDU19" s="64"/>
      <c r="UDV19" s="64"/>
      <c r="UDW19" s="64"/>
      <c r="UDX19" s="64"/>
      <c r="UDY19" s="64"/>
      <c r="UDZ19" s="64"/>
      <c r="UEA19" s="64"/>
      <c r="UEB19" s="64"/>
      <c r="UEC19" s="64"/>
      <c r="UED19" s="64"/>
      <c r="UEE19" s="64"/>
      <c r="UEF19" s="64"/>
      <c r="UEG19" s="64"/>
      <c r="UEH19" s="64"/>
      <c r="UEI19" s="64"/>
      <c r="UEJ19" s="64"/>
      <c r="UEK19" s="64"/>
      <c r="UEL19" s="64"/>
      <c r="UEM19" s="64"/>
      <c r="UEN19" s="64"/>
      <c r="UEO19" s="64"/>
      <c r="UEP19" s="64"/>
      <c r="UEQ19" s="64"/>
      <c r="UER19" s="64"/>
      <c r="UES19" s="64"/>
      <c r="UET19" s="64"/>
      <c r="UEU19" s="64"/>
      <c r="UEV19" s="64"/>
      <c r="UEW19" s="64"/>
      <c r="UEX19" s="64"/>
      <c r="UEY19" s="64"/>
      <c r="UEZ19" s="64"/>
      <c r="UFA19" s="64"/>
      <c r="UFB19" s="64"/>
      <c r="UFC19" s="64"/>
      <c r="UFD19" s="64"/>
      <c r="UFE19" s="64"/>
      <c r="UFF19" s="64"/>
      <c r="UFG19" s="64"/>
      <c r="UFH19" s="64"/>
      <c r="UFI19" s="64"/>
      <c r="UFJ19" s="64"/>
      <c r="UFK19" s="64"/>
      <c r="UFL19" s="64"/>
      <c r="UFM19" s="64"/>
      <c r="UFN19" s="64"/>
      <c r="UFO19" s="64"/>
      <c r="UFP19" s="64"/>
      <c r="UFQ19" s="64"/>
      <c r="UFR19" s="64"/>
      <c r="UFS19" s="64"/>
      <c r="UFT19" s="64"/>
      <c r="UFU19" s="64"/>
      <c r="UFV19" s="64"/>
      <c r="UFW19" s="64"/>
      <c r="UFX19" s="64"/>
      <c r="UFY19" s="64"/>
      <c r="UFZ19" s="64"/>
      <c r="UGA19" s="64"/>
      <c r="UGB19" s="64"/>
      <c r="UGC19" s="64"/>
      <c r="UGD19" s="64"/>
      <c r="UGE19" s="64"/>
      <c r="UGF19" s="64"/>
      <c r="UGG19" s="64"/>
      <c r="UGH19" s="64"/>
      <c r="UGI19" s="64"/>
      <c r="UGJ19" s="64"/>
      <c r="UGK19" s="64"/>
      <c r="UGL19" s="64"/>
      <c r="UGM19" s="64"/>
      <c r="UGN19" s="64"/>
      <c r="UGO19" s="64"/>
      <c r="UGP19" s="64"/>
      <c r="UGQ19" s="64"/>
      <c r="UGR19" s="64"/>
      <c r="UGS19" s="64"/>
      <c r="UGT19" s="64"/>
      <c r="UGU19" s="64"/>
      <c r="UGV19" s="64"/>
      <c r="UGW19" s="64"/>
      <c r="UGX19" s="64"/>
      <c r="UGY19" s="64"/>
      <c r="UGZ19" s="64"/>
      <c r="UHA19" s="64"/>
      <c r="UHB19" s="64"/>
      <c r="UHC19" s="64"/>
      <c r="UHD19" s="64"/>
      <c r="UHE19" s="64"/>
      <c r="UHF19" s="64"/>
      <c r="UHG19" s="64"/>
      <c r="UHH19" s="64"/>
      <c r="UHI19" s="64"/>
      <c r="UHJ19" s="64"/>
      <c r="UHK19" s="64"/>
      <c r="UHL19" s="64"/>
      <c r="UHM19" s="64"/>
      <c r="UHN19" s="64"/>
      <c r="UHO19" s="64"/>
      <c r="UHP19" s="64"/>
      <c r="UHQ19" s="64"/>
      <c r="UHR19" s="64"/>
      <c r="UHS19" s="64"/>
      <c r="UHT19" s="64"/>
      <c r="UHU19" s="64"/>
      <c r="UHV19" s="64"/>
      <c r="UHW19" s="64"/>
      <c r="UHX19" s="64"/>
      <c r="UHY19" s="64"/>
      <c r="UHZ19" s="64"/>
      <c r="UIA19" s="64"/>
      <c r="UIB19" s="64"/>
      <c r="UIC19" s="64"/>
      <c r="UID19" s="64"/>
      <c r="UIE19" s="64"/>
      <c r="UIF19" s="64"/>
      <c r="UIG19" s="64"/>
      <c r="UIH19" s="64"/>
      <c r="UII19" s="64"/>
      <c r="UIJ19" s="64"/>
      <c r="UIK19" s="64"/>
      <c r="UIL19" s="64"/>
      <c r="UIM19" s="64"/>
      <c r="UIN19" s="64"/>
      <c r="UIO19" s="64"/>
      <c r="UIP19" s="64"/>
      <c r="UIQ19" s="64"/>
      <c r="UIR19" s="64"/>
      <c r="UIS19" s="64"/>
      <c r="UIT19" s="64"/>
      <c r="UIU19" s="64"/>
      <c r="UIV19" s="64"/>
      <c r="UIW19" s="64"/>
      <c r="UIX19" s="64"/>
      <c r="UIY19" s="64"/>
      <c r="UIZ19" s="64"/>
      <c r="UJA19" s="64"/>
      <c r="UJB19" s="64"/>
      <c r="UJC19" s="64"/>
      <c r="UJD19" s="64"/>
      <c r="UJE19" s="64"/>
      <c r="UJF19" s="64"/>
      <c r="UJG19" s="64"/>
      <c r="UJH19" s="64"/>
      <c r="UJI19" s="64"/>
      <c r="UJJ19" s="64"/>
      <c r="UJK19" s="64"/>
      <c r="UJL19" s="64"/>
      <c r="UJM19" s="64"/>
      <c r="UJN19" s="64"/>
      <c r="UJO19" s="64"/>
      <c r="UJP19" s="64"/>
      <c r="UJQ19" s="64"/>
      <c r="UJR19" s="64"/>
      <c r="UJS19" s="64"/>
      <c r="UJT19" s="64"/>
      <c r="UJU19" s="64"/>
      <c r="UJV19" s="64"/>
      <c r="UJW19" s="64"/>
      <c r="UJX19" s="64"/>
      <c r="UJY19" s="64"/>
      <c r="UJZ19" s="64"/>
      <c r="UKA19" s="64"/>
      <c r="UKB19" s="64"/>
      <c r="UKC19" s="64"/>
      <c r="UKD19" s="64"/>
      <c r="UKE19" s="64"/>
      <c r="UKF19" s="64"/>
      <c r="UKG19" s="64"/>
      <c r="UKH19" s="64"/>
      <c r="UKI19" s="64"/>
      <c r="UKJ19" s="64"/>
      <c r="UKK19" s="64"/>
      <c r="UKL19" s="64"/>
      <c r="UKM19" s="64"/>
      <c r="UKN19" s="64"/>
      <c r="UKO19" s="64"/>
      <c r="UKP19" s="64"/>
      <c r="UKQ19" s="64"/>
      <c r="UKR19" s="64"/>
      <c r="UKS19" s="64"/>
      <c r="UKT19" s="64"/>
      <c r="UKU19" s="64"/>
      <c r="UKV19" s="64"/>
      <c r="UKW19" s="64"/>
      <c r="UKX19" s="64"/>
      <c r="UKY19" s="64"/>
      <c r="UKZ19" s="64"/>
      <c r="ULA19" s="64"/>
      <c r="ULB19" s="64"/>
      <c r="ULC19" s="64"/>
      <c r="ULD19" s="64"/>
      <c r="ULE19" s="64"/>
      <c r="ULF19" s="64"/>
      <c r="ULG19" s="64"/>
      <c r="ULH19" s="64"/>
      <c r="ULI19" s="64"/>
      <c r="ULJ19" s="64"/>
      <c r="ULK19" s="64"/>
      <c r="ULL19" s="64"/>
      <c r="ULM19" s="64"/>
      <c r="ULN19" s="64"/>
      <c r="ULO19" s="64"/>
      <c r="ULP19" s="64"/>
      <c r="ULQ19" s="64"/>
      <c r="ULR19" s="64"/>
      <c r="ULS19" s="64"/>
      <c r="ULT19" s="64"/>
      <c r="ULU19" s="64"/>
      <c r="ULV19" s="64"/>
      <c r="ULW19" s="64"/>
      <c r="ULX19" s="64"/>
      <c r="ULY19" s="64"/>
      <c r="ULZ19" s="64"/>
      <c r="UMA19" s="64"/>
      <c r="UMB19" s="64"/>
      <c r="UMC19" s="64"/>
      <c r="UMD19" s="64"/>
      <c r="UME19" s="64"/>
      <c r="UMF19" s="64"/>
      <c r="UMG19" s="64"/>
      <c r="UMH19" s="64"/>
      <c r="UMI19" s="64"/>
      <c r="UMJ19" s="64"/>
      <c r="UMK19" s="64"/>
      <c r="UML19" s="64"/>
      <c r="UMM19" s="64"/>
      <c r="UMN19" s="64"/>
      <c r="UMO19" s="64"/>
      <c r="UMP19" s="64"/>
      <c r="UMQ19" s="64"/>
      <c r="UMR19" s="64"/>
      <c r="UMS19" s="64"/>
      <c r="UMT19" s="64"/>
      <c r="UMU19" s="64"/>
      <c r="UMV19" s="64"/>
      <c r="UMW19" s="64"/>
      <c r="UMX19" s="64"/>
      <c r="UMY19" s="64"/>
      <c r="UMZ19" s="64"/>
      <c r="UNA19" s="64"/>
      <c r="UNB19" s="64"/>
      <c r="UNC19" s="64"/>
      <c r="UND19" s="64"/>
      <c r="UNE19" s="64"/>
      <c r="UNF19" s="64"/>
      <c r="UNG19" s="64"/>
      <c r="UNH19" s="64"/>
      <c r="UNI19" s="64"/>
      <c r="UNJ19" s="64"/>
      <c r="UNK19" s="64"/>
      <c r="UNL19" s="64"/>
      <c r="UNM19" s="64"/>
      <c r="UNN19" s="64"/>
      <c r="UNO19" s="64"/>
      <c r="UNP19" s="64"/>
      <c r="UNQ19" s="64"/>
      <c r="UNR19" s="64"/>
      <c r="UNS19" s="64"/>
      <c r="UNT19" s="64"/>
      <c r="UNU19" s="64"/>
      <c r="UNV19" s="64"/>
      <c r="UNW19" s="64"/>
      <c r="UNX19" s="64"/>
      <c r="UNY19" s="64"/>
      <c r="UNZ19" s="64"/>
      <c r="UOA19" s="64"/>
      <c r="UOB19" s="64"/>
      <c r="UOC19" s="64"/>
      <c r="UOD19" s="64"/>
      <c r="UOE19" s="64"/>
      <c r="UOF19" s="64"/>
      <c r="UOG19" s="64"/>
      <c r="UOH19" s="64"/>
      <c r="UOI19" s="64"/>
      <c r="UOJ19" s="64"/>
      <c r="UOK19" s="64"/>
      <c r="UOL19" s="64"/>
      <c r="UOM19" s="64"/>
      <c r="UON19" s="64"/>
      <c r="UOO19" s="64"/>
      <c r="UOP19" s="64"/>
      <c r="UOQ19" s="64"/>
      <c r="UOR19" s="64"/>
      <c r="UOS19" s="64"/>
      <c r="UOT19" s="64"/>
      <c r="UOU19" s="64"/>
      <c r="UOV19" s="64"/>
      <c r="UOW19" s="64"/>
      <c r="UOX19" s="64"/>
      <c r="UOY19" s="64"/>
      <c r="UOZ19" s="64"/>
      <c r="UPA19" s="64"/>
      <c r="UPB19" s="64"/>
      <c r="UPC19" s="64"/>
      <c r="UPD19" s="64"/>
      <c r="UPE19" s="64"/>
      <c r="UPF19" s="64"/>
      <c r="UPG19" s="64"/>
      <c r="UPH19" s="64"/>
      <c r="UPI19" s="64"/>
      <c r="UPJ19" s="64"/>
      <c r="UPK19" s="64"/>
      <c r="UPL19" s="64"/>
      <c r="UPM19" s="64"/>
      <c r="UPN19" s="64"/>
      <c r="UPO19" s="64"/>
      <c r="UPP19" s="64"/>
      <c r="UPQ19" s="64"/>
      <c r="UPR19" s="64"/>
      <c r="UPS19" s="64"/>
      <c r="UPT19" s="64"/>
      <c r="UPU19" s="64"/>
      <c r="UPV19" s="64"/>
      <c r="UPW19" s="64"/>
      <c r="UPX19" s="64"/>
      <c r="UPY19" s="64"/>
      <c r="UPZ19" s="64"/>
      <c r="UQA19" s="64"/>
      <c r="UQB19" s="64"/>
      <c r="UQC19" s="64"/>
      <c r="UQD19" s="64"/>
      <c r="UQE19" s="64"/>
      <c r="UQF19" s="64"/>
      <c r="UQG19" s="64"/>
      <c r="UQH19" s="64"/>
      <c r="UQI19" s="64"/>
      <c r="UQJ19" s="64"/>
      <c r="UQK19" s="64"/>
      <c r="UQL19" s="64"/>
      <c r="UQM19" s="64"/>
      <c r="UQN19" s="64"/>
      <c r="UQO19" s="64"/>
      <c r="UQP19" s="64"/>
      <c r="UQQ19" s="64"/>
      <c r="UQR19" s="64"/>
      <c r="UQS19" s="64"/>
      <c r="UQT19" s="64"/>
      <c r="UQU19" s="64"/>
      <c r="UQV19" s="64"/>
      <c r="UQW19" s="64"/>
      <c r="UQX19" s="64"/>
      <c r="UQY19" s="64"/>
      <c r="UQZ19" s="64"/>
      <c r="URA19" s="64"/>
      <c r="URB19" s="64"/>
      <c r="URC19" s="64"/>
      <c r="URD19" s="64"/>
      <c r="URE19" s="64"/>
      <c r="URF19" s="64"/>
      <c r="URG19" s="64"/>
      <c r="URH19" s="64"/>
      <c r="URI19" s="64"/>
      <c r="URJ19" s="64"/>
      <c r="URK19" s="64"/>
      <c r="URL19" s="64"/>
      <c r="URM19" s="64"/>
      <c r="URN19" s="64"/>
      <c r="URO19" s="64"/>
      <c r="URP19" s="64"/>
      <c r="URQ19" s="64"/>
      <c r="URR19" s="64"/>
      <c r="URS19" s="64"/>
      <c r="URT19" s="64"/>
      <c r="URU19" s="64"/>
      <c r="URV19" s="64"/>
      <c r="URW19" s="64"/>
      <c r="URX19" s="64"/>
      <c r="URY19" s="64"/>
      <c r="URZ19" s="64"/>
      <c r="USA19" s="64"/>
      <c r="USB19" s="64"/>
      <c r="USC19" s="64"/>
      <c r="USD19" s="64"/>
      <c r="USE19" s="64"/>
      <c r="USF19" s="64"/>
      <c r="USG19" s="64"/>
      <c r="USH19" s="64"/>
      <c r="USI19" s="64"/>
      <c r="USJ19" s="64"/>
      <c r="USK19" s="64"/>
      <c r="USL19" s="64"/>
      <c r="USM19" s="64"/>
      <c r="USN19" s="64"/>
      <c r="USO19" s="64"/>
      <c r="USP19" s="64"/>
      <c r="USQ19" s="64"/>
      <c r="USR19" s="64"/>
      <c r="USS19" s="64"/>
      <c r="UST19" s="64"/>
      <c r="USU19" s="64"/>
      <c r="USV19" s="64"/>
      <c r="USW19" s="64"/>
      <c r="USX19" s="64"/>
      <c r="USY19" s="64"/>
      <c r="USZ19" s="64"/>
      <c r="UTA19" s="64"/>
      <c r="UTB19" s="64"/>
      <c r="UTC19" s="64"/>
      <c r="UTD19" s="64"/>
      <c r="UTE19" s="64"/>
      <c r="UTF19" s="64"/>
      <c r="UTG19" s="64"/>
      <c r="UTH19" s="64"/>
      <c r="UTI19" s="64"/>
      <c r="UTJ19" s="64"/>
      <c r="UTK19" s="64"/>
      <c r="UTL19" s="64"/>
      <c r="UTM19" s="64"/>
      <c r="UTN19" s="64"/>
      <c r="UTO19" s="64"/>
      <c r="UTP19" s="64"/>
      <c r="UTQ19" s="64"/>
      <c r="UTR19" s="64"/>
      <c r="UTS19" s="64"/>
      <c r="UTT19" s="64"/>
      <c r="UTU19" s="64"/>
      <c r="UTV19" s="64"/>
      <c r="UTW19" s="64"/>
      <c r="UTX19" s="64"/>
      <c r="UTY19" s="64"/>
      <c r="UTZ19" s="64"/>
      <c r="UUA19" s="64"/>
      <c r="UUB19" s="64"/>
      <c r="UUC19" s="64"/>
      <c r="UUD19" s="64"/>
      <c r="UUE19" s="64"/>
      <c r="UUF19" s="64"/>
      <c r="UUG19" s="64"/>
      <c r="UUH19" s="64"/>
      <c r="UUI19" s="64"/>
      <c r="UUJ19" s="64"/>
      <c r="UUK19" s="64"/>
      <c r="UUL19" s="64"/>
      <c r="UUM19" s="64"/>
      <c r="UUN19" s="64"/>
      <c r="UUO19" s="64"/>
      <c r="UUP19" s="64"/>
      <c r="UUQ19" s="64"/>
      <c r="UUR19" s="64"/>
      <c r="UUS19" s="64"/>
      <c r="UUT19" s="64"/>
      <c r="UUU19" s="64"/>
      <c r="UUV19" s="64"/>
      <c r="UUW19" s="64"/>
      <c r="UUX19" s="64"/>
      <c r="UUY19" s="64"/>
      <c r="UUZ19" s="64"/>
      <c r="UVA19" s="64"/>
      <c r="UVB19" s="64"/>
      <c r="UVC19" s="64"/>
      <c r="UVD19" s="64"/>
      <c r="UVE19" s="64"/>
      <c r="UVF19" s="64"/>
      <c r="UVG19" s="64"/>
      <c r="UVH19" s="64"/>
      <c r="UVI19" s="64"/>
      <c r="UVJ19" s="64"/>
      <c r="UVK19" s="64"/>
      <c r="UVL19" s="64"/>
      <c r="UVM19" s="64"/>
      <c r="UVN19" s="64"/>
      <c r="UVO19" s="64"/>
      <c r="UVP19" s="64"/>
      <c r="UVQ19" s="64"/>
      <c r="UVR19" s="64"/>
      <c r="UVS19" s="64"/>
      <c r="UVT19" s="64"/>
      <c r="UVU19" s="64"/>
      <c r="UVV19" s="64"/>
      <c r="UVW19" s="64"/>
      <c r="UVX19" s="64"/>
      <c r="UVY19" s="64"/>
      <c r="UVZ19" s="64"/>
      <c r="UWA19" s="64"/>
      <c r="UWB19" s="64"/>
      <c r="UWC19" s="64"/>
      <c r="UWD19" s="64"/>
      <c r="UWE19" s="64"/>
      <c r="UWF19" s="64"/>
      <c r="UWG19" s="64"/>
      <c r="UWH19" s="64"/>
      <c r="UWI19" s="64"/>
      <c r="UWJ19" s="64"/>
      <c r="UWK19" s="64"/>
      <c r="UWL19" s="64"/>
      <c r="UWM19" s="64"/>
      <c r="UWN19" s="64"/>
      <c r="UWO19" s="64"/>
      <c r="UWP19" s="64"/>
      <c r="UWQ19" s="64"/>
      <c r="UWR19" s="64"/>
      <c r="UWS19" s="64"/>
      <c r="UWT19" s="64"/>
      <c r="UWU19" s="64"/>
      <c r="UWV19" s="64"/>
      <c r="UWW19" s="64"/>
      <c r="UWX19" s="64"/>
      <c r="UWY19" s="64"/>
      <c r="UWZ19" s="64"/>
      <c r="UXA19" s="64"/>
      <c r="UXB19" s="64"/>
      <c r="UXC19" s="64"/>
      <c r="UXD19" s="64"/>
      <c r="UXE19" s="64"/>
      <c r="UXF19" s="64"/>
      <c r="UXG19" s="64"/>
      <c r="UXH19" s="64"/>
      <c r="UXI19" s="64"/>
      <c r="UXJ19" s="64"/>
      <c r="UXK19" s="64"/>
      <c r="UXL19" s="64"/>
      <c r="UXM19" s="64"/>
      <c r="UXN19" s="64"/>
      <c r="UXO19" s="64"/>
      <c r="UXP19" s="64"/>
      <c r="UXQ19" s="64"/>
      <c r="UXR19" s="64"/>
      <c r="UXS19" s="64"/>
      <c r="UXT19" s="64"/>
      <c r="UXU19" s="64"/>
      <c r="UXV19" s="64"/>
      <c r="UXW19" s="64"/>
      <c r="UXX19" s="64"/>
      <c r="UXY19" s="64"/>
      <c r="UXZ19" s="64"/>
      <c r="UYA19" s="64"/>
      <c r="UYB19" s="64"/>
      <c r="UYC19" s="64"/>
      <c r="UYD19" s="64"/>
      <c r="UYE19" s="64"/>
      <c r="UYF19" s="64"/>
      <c r="UYG19" s="64"/>
      <c r="UYH19" s="64"/>
      <c r="UYI19" s="64"/>
      <c r="UYJ19" s="64"/>
      <c r="UYK19" s="64"/>
      <c r="UYL19" s="64"/>
      <c r="UYM19" s="64"/>
      <c r="UYN19" s="64"/>
      <c r="UYO19" s="64"/>
      <c r="UYP19" s="64"/>
      <c r="UYQ19" s="64"/>
      <c r="UYR19" s="64"/>
      <c r="UYS19" s="64"/>
      <c r="UYT19" s="64"/>
      <c r="UYU19" s="64"/>
      <c r="UYV19" s="64"/>
      <c r="UYW19" s="64"/>
      <c r="UYX19" s="64"/>
      <c r="UYY19" s="64"/>
      <c r="UYZ19" s="64"/>
      <c r="UZA19" s="64"/>
      <c r="UZB19" s="64"/>
      <c r="UZC19" s="64"/>
      <c r="UZD19" s="64"/>
      <c r="UZE19" s="64"/>
      <c r="UZF19" s="64"/>
      <c r="UZG19" s="64"/>
      <c r="UZH19" s="64"/>
      <c r="UZI19" s="64"/>
      <c r="UZJ19" s="64"/>
      <c r="UZK19" s="64"/>
      <c r="UZL19" s="64"/>
      <c r="UZM19" s="64"/>
      <c r="UZN19" s="64"/>
      <c r="UZO19" s="64"/>
      <c r="UZP19" s="64"/>
      <c r="UZQ19" s="64"/>
      <c r="UZR19" s="64"/>
      <c r="UZS19" s="64"/>
      <c r="UZT19" s="64"/>
      <c r="UZU19" s="64"/>
      <c r="UZV19" s="64"/>
      <c r="UZW19" s="64"/>
      <c r="UZX19" s="64"/>
      <c r="UZY19" s="64"/>
      <c r="UZZ19" s="64"/>
      <c r="VAA19" s="64"/>
      <c r="VAB19" s="64"/>
      <c r="VAC19" s="64"/>
      <c r="VAD19" s="64"/>
      <c r="VAE19" s="64"/>
      <c r="VAF19" s="64"/>
      <c r="VAG19" s="64"/>
      <c r="VAH19" s="64"/>
      <c r="VAI19" s="64"/>
      <c r="VAJ19" s="64"/>
      <c r="VAK19" s="64"/>
      <c r="VAL19" s="64"/>
      <c r="VAM19" s="64"/>
      <c r="VAN19" s="64"/>
      <c r="VAO19" s="64"/>
      <c r="VAP19" s="64"/>
      <c r="VAQ19" s="64"/>
      <c r="VAR19" s="64"/>
      <c r="VAS19" s="64"/>
      <c r="VAT19" s="64"/>
      <c r="VAU19" s="64"/>
      <c r="VAV19" s="64"/>
      <c r="VAW19" s="64"/>
      <c r="VAX19" s="64"/>
      <c r="VAY19" s="64"/>
      <c r="VAZ19" s="64"/>
      <c r="VBA19" s="64"/>
      <c r="VBB19" s="64"/>
      <c r="VBC19" s="64"/>
      <c r="VBD19" s="64"/>
      <c r="VBE19" s="64"/>
      <c r="VBF19" s="64"/>
      <c r="VBG19" s="64"/>
      <c r="VBH19" s="64"/>
      <c r="VBI19" s="64"/>
      <c r="VBJ19" s="64"/>
      <c r="VBK19" s="64"/>
      <c r="VBL19" s="64"/>
      <c r="VBM19" s="64"/>
      <c r="VBN19" s="64"/>
      <c r="VBO19" s="64"/>
      <c r="VBP19" s="64"/>
      <c r="VBQ19" s="64"/>
      <c r="VBR19" s="64"/>
      <c r="VBS19" s="64"/>
      <c r="VBT19" s="64"/>
      <c r="VBU19" s="64"/>
      <c r="VBV19" s="64"/>
      <c r="VBW19" s="64"/>
      <c r="VBX19" s="64"/>
      <c r="VBY19" s="64"/>
      <c r="VBZ19" s="64"/>
      <c r="VCA19" s="64"/>
      <c r="VCB19" s="64"/>
      <c r="VCC19" s="64"/>
      <c r="VCD19" s="64"/>
      <c r="VCE19" s="64"/>
      <c r="VCF19" s="64"/>
      <c r="VCG19" s="64"/>
      <c r="VCH19" s="64"/>
      <c r="VCI19" s="64"/>
      <c r="VCJ19" s="64"/>
      <c r="VCK19" s="64"/>
      <c r="VCL19" s="64"/>
      <c r="VCM19" s="64"/>
      <c r="VCN19" s="64"/>
      <c r="VCO19" s="64"/>
      <c r="VCP19" s="64"/>
      <c r="VCQ19" s="64"/>
      <c r="VCR19" s="64"/>
      <c r="VCS19" s="64"/>
      <c r="VCT19" s="64"/>
      <c r="VCU19" s="64"/>
      <c r="VCV19" s="64"/>
      <c r="VCW19" s="64"/>
      <c r="VCX19" s="64"/>
      <c r="VCY19" s="64"/>
      <c r="VCZ19" s="64"/>
      <c r="VDA19" s="64"/>
      <c r="VDB19" s="64"/>
      <c r="VDC19" s="64"/>
      <c r="VDD19" s="64"/>
      <c r="VDE19" s="64"/>
      <c r="VDF19" s="64"/>
      <c r="VDG19" s="64"/>
      <c r="VDH19" s="64"/>
      <c r="VDI19" s="64"/>
      <c r="VDJ19" s="64"/>
      <c r="VDK19" s="64"/>
      <c r="VDL19" s="64"/>
      <c r="VDM19" s="64"/>
      <c r="VDN19" s="64"/>
      <c r="VDO19" s="64"/>
      <c r="VDP19" s="64"/>
      <c r="VDQ19" s="64"/>
      <c r="VDR19" s="64"/>
      <c r="VDS19" s="64"/>
      <c r="VDT19" s="64"/>
      <c r="VDU19" s="64"/>
      <c r="VDV19" s="64"/>
      <c r="VDW19" s="64"/>
      <c r="VDX19" s="64"/>
      <c r="VDY19" s="64"/>
      <c r="VDZ19" s="64"/>
      <c r="VEA19" s="64"/>
      <c r="VEB19" s="64"/>
      <c r="VEC19" s="64"/>
      <c r="VED19" s="64"/>
      <c r="VEE19" s="64"/>
      <c r="VEF19" s="64"/>
      <c r="VEG19" s="64"/>
      <c r="VEH19" s="64"/>
      <c r="VEI19" s="64"/>
      <c r="VEJ19" s="64"/>
      <c r="VEK19" s="64"/>
      <c r="VEL19" s="64"/>
      <c r="VEM19" s="64"/>
      <c r="VEN19" s="64"/>
      <c r="VEO19" s="64"/>
      <c r="VEP19" s="64"/>
      <c r="VEQ19" s="64"/>
      <c r="VER19" s="64"/>
      <c r="VES19" s="64"/>
      <c r="VET19" s="64"/>
      <c r="VEU19" s="64"/>
      <c r="VEV19" s="64"/>
      <c r="VEW19" s="64"/>
      <c r="VEX19" s="64"/>
      <c r="VEY19" s="64"/>
      <c r="VEZ19" s="64"/>
      <c r="VFA19" s="64"/>
      <c r="VFB19" s="64"/>
      <c r="VFC19" s="64"/>
      <c r="VFD19" s="64"/>
      <c r="VFE19" s="64"/>
      <c r="VFF19" s="64"/>
      <c r="VFG19" s="64"/>
      <c r="VFH19" s="64"/>
      <c r="VFI19" s="64"/>
      <c r="VFJ19" s="64"/>
      <c r="VFK19" s="64"/>
      <c r="VFL19" s="64"/>
      <c r="VFM19" s="64"/>
      <c r="VFN19" s="64"/>
      <c r="VFO19" s="64"/>
      <c r="VFP19" s="64"/>
      <c r="VFQ19" s="64"/>
      <c r="VFR19" s="64"/>
      <c r="VFS19" s="64"/>
      <c r="VFT19" s="64"/>
      <c r="VFU19" s="64"/>
      <c r="VFV19" s="64"/>
      <c r="VFW19" s="64"/>
      <c r="VFX19" s="64"/>
      <c r="VFY19" s="64"/>
      <c r="VFZ19" s="64"/>
      <c r="VGA19" s="64"/>
      <c r="VGB19" s="64"/>
      <c r="VGC19" s="64"/>
      <c r="VGD19" s="64"/>
      <c r="VGE19" s="64"/>
      <c r="VGF19" s="64"/>
      <c r="VGG19" s="64"/>
      <c r="VGH19" s="64"/>
      <c r="VGI19" s="64"/>
      <c r="VGJ19" s="64"/>
      <c r="VGK19" s="64"/>
      <c r="VGL19" s="64"/>
      <c r="VGM19" s="64"/>
      <c r="VGN19" s="64"/>
      <c r="VGO19" s="64"/>
      <c r="VGP19" s="64"/>
      <c r="VGQ19" s="64"/>
      <c r="VGR19" s="64"/>
      <c r="VGS19" s="64"/>
      <c r="VGT19" s="64"/>
      <c r="VGU19" s="64"/>
      <c r="VGV19" s="64"/>
      <c r="VGW19" s="64"/>
      <c r="VGX19" s="64"/>
      <c r="VGY19" s="64"/>
      <c r="VGZ19" s="64"/>
      <c r="VHA19" s="64"/>
      <c r="VHB19" s="64"/>
      <c r="VHC19" s="64"/>
      <c r="VHD19" s="64"/>
      <c r="VHE19" s="64"/>
      <c r="VHF19" s="64"/>
      <c r="VHG19" s="64"/>
      <c r="VHH19" s="64"/>
      <c r="VHI19" s="64"/>
      <c r="VHJ19" s="64"/>
      <c r="VHK19" s="64"/>
      <c r="VHL19" s="64"/>
      <c r="VHM19" s="64"/>
      <c r="VHN19" s="64"/>
      <c r="VHO19" s="64"/>
      <c r="VHP19" s="64"/>
      <c r="VHQ19" s="64"/>
      <c r="VHR19" s="64"/>
      <c r="VHS19" s="64"/>
      <c r="VHT19" s="64"/>
      <c r="VHU19" s="64"/>
      <c r="VHV19" s="64"/>
      <c r="VHW19" s="64"/>
      <c r="VHX19" s="64"/>
      <c r="VHY19" s="64"/>
      <c r="VHZ19" s="64"/>
      <c r="VIA19" s="64"/>
      <c r="VIB19" s="64"/>
      <c r="VIC19" s="64"/>
      <c r="VID19" s="64"/>
      <c r="VIE19" s="64"/>
      <c r="VIF19" s="64"/>
      <c r="VIG19" s="64"/>
      <c r="VIH19" s="64"/>
      <c r="VII19" s="64"/>
      <c r="VIJ19" s="64"/>
      <c r="VIK19" s="64"/>
      <c r="VIL19" s="64"/>
      <c r="VIM19" s="64"/>
      <c r="VIN19" s="64"/>
      <c r="VIO19" s="64"/>
      <c r="VIP19" s="64"/>
      <c r="VIQ19" s="64"/>
      <c r="VIR19" s="64"/>
      <c r="VIS19" s="64"/>
      <c r="VIT19" s="64"/>
      <c r="VIU19" s="64"/>
      <c r="VIV19" s="64"/>
      <c r="VIW19" s="64"/>
      <c r="VIX19" s="64"/>
      <c r="VIY19" s="64"/>
      <c r="VIZ19" s="64"/>
      <c r="VJA19" s="64"/>
      <c r="VJB19" s="64"/>
      <c r="VJC19" s="64"/>
      <c r="VJD19" s="64"/>
      <c r="VJE19" s="64"/>
      <c r="VJF19" s="64"/>
      <c r="VJG19" s="64"/>
      <c r="VJH19" s="64"/>
      <c r="VJI19" s="64"/>
      <c r="VJJ19" s="64"/>
      <c r="VJK19" s="64"/>
      <c r="VJL19" s="64"/>
      <c r="VJM19" s="64"/>
      <c r="VJN19" s="64"/>
      <c r="VJO19" s="64"/>
      <c r="VJP19" s="64"/>
      <c r="VJQ19" s="64"/>
      <c r="VJR19" s="64"/>
      <c r="VJS19" s="64"/>
      <c r="VJT19" s="64"/>
      <c r="VJU19" s="64"/>
      <c r="VJV19" s="64"/>
      <c r="VJW19" s="64"/>
      <c r="VJX19" s="64"/>
      <c r="VJY19" s="64"/>
      <c r="VJZ19" s="64"/>
      <c r="VKA19" s="64"/>
      <c r="VKB19" s="64"/>
      <c r="VKC19" s="64"/>
      <c r="VKD19" s="64"/>
      <c r="VKE19" s="64"/>
      <c r="VKF19" s="64"/>
      <c r="VKG19" s="64"/>
      <c r="VKH19" s="64"/>
      <c r="VKI19" s="64"/>
      <c r="VKJ19" s="64"/>
      <c r="VKK19" s="64"/>
      <c r="VKL19" s="64"/>
      <c r="VKM19" s="64"/>
      <c r="VKN19" s="64"/>
      <c r="VKO19" s="64"/>
      <c r="VKP19" s="64"/>
      <c r="VKQ19" s="64"/>
      <c r="VKR19" s="64"/>
      <c r="VKS19" s="64"/>
      <c r="VKT19" s="64"/>
      <c r="VKU19" s="64"/>
      <c r="VKV19" s="64"/>
      <c r="VKW19" s="64"/>
      <c r="VKX19" s="64"/>
      <c r="VKY19" s="64"/>
      <c r="VKZ19" s="64"/>
      <c r="VLA19" s="64"/>
      <c r="VLB19" s="64"/>
      <c r="VLC19" s="64"/>
      <c r="VLD19" s="64"/>
      <c r="VLE19" s="64"/>
      <c r="VLF19" s="64"/>
      <c r="VLG19" s="64"/>
      <c r="VLH19" s="64"/>
      <c r="VLI19" s="64"/>
      <c r="VLJ19" s="64"/>
      <c r="VLK19" s="64"/>
      <c r="VLL19" s="64"/>
      <c r="VLM19" s="64"/>
      <c r="VLN19" s="64"/>
      <c r="VLO19" s="64"/>
      <c r="VLP19" s="64"/>
      <c r="VLQ19" s="64"/>
      <c r="VLR19" s="64"/>
      <c r="VLS19" s="64"/>
      <c r="VLT19" s="64"/>
      <c r="VLU19" s="64"/>
      <c r="VLV19" s="64"/>
      <c r="VLW19" s="64"/>
      <c r="VLX19" s="64"/>
      <c r="VLY19" s="64"/>
      <c r="VLZ19" s="64"/>
      <c r="VMA19" s="64"/>
      <c r="VMB19" s="64"/>
      <c r="VMC19" s="64"/>
      <c r="VMD19" s="64"/>
      <c r="VME19" s="64"/>
      <c r="VMF19" s="64"/>
      <c r="VMG19" s="64"/>
      <c r="VMH19" s="64"/>
      <c r="VMI19" s="64"/>
      <c r="VMJ19" s="64"/>
      <c r="VMK19" s="64"/>
      <c r="VML19" s="64"/>
      <c r="VMM19" s="64"/>
      <c r="VMN19" s="64"/>
      <c r="VMO19" s="64"/>
      <c r="VMP19" s="64"/>
      <c r="VMQ19" s="64"/>
      <c r="VMR19" s="64"/>
      <c r="VMS19" s="64"/>
      <c r="VMT19" s="64"/>
      <c r="VMU19" s="64"/>
      <c r="VMV19" s="64"/>
      <c r="VMW19" s="64"/>
      <c r="VMX19" s="64"/>
      <c r="VMY19" s="64"/>
      <c r="VMZ19" s="64"/>
      <c r="VNA19" s="64"/>
      <c r="VNB19" s="64"/>
      <c r="VNC19" s="64"/>
      <c r="VND19" s="64"/>
      <c r="VNE19" s="64"/>
      <c r="VNF19" s="64"/>
      <c r="VNG19" s="64"/>
      <c r="VNH19" s="64"/>
      <c r="VNI19" s="64"/>
      <c r="VNJ19" s="64"/>
      <c r="VNK19" s="64"/>
      <c r="VNL19" s="64"/>
      <c r="VNM19" s="64"/>
      <c r="VNN19" s="64"/>
      <c r="VNO19" s="64"/>
      <c r="VNP19" s="64"/>
      <c r="VNQ19" s="64"/>
      <c r="VNR19" s="64"/>
      <c r="VNS19" s="64"/>
      <c r="VNT19" s="64"/>
      <c r="VNU19" s="64"/>
      <c r="VNV19" s="64"/>
      <c r="VNW19" s="64"/>
      <c r="VNX19" s="64"/>
      <c r="VNY19" s="64"/>
      <c r="VNZ19" s="64"/>
      <c r="VOA19" s="64"/>
      <c r="VOB19" s="64"/>
      <c r="VOC19" s="64"/>
      <c r="VOD19" s="64"/>
      <c r="VOE19" s="64"/>
      <c r="VOF19" s="64"/>
      <c r="VOG19" s="64"/>
      <c r="VOH19" s="64"/>
      <c r="VOI19" s="64"/>
      <c r="VOJ19" s="64"/>
      <c r="VOK19" s="64"/>
      <c r="VOL19" s="64"/>
      <c r="VOM19" s="64"/>
      <c r="VON19" s="64"/>
      <c r="VOO19" s="64"/>
      <c r="VOP19" s="64"/>
      <c r="VOQ19" s="64"/>
      <c r="VOR19" s="64"/>
      <c r="VOS19" s="64"/>
      <c r="VOT19" s="64"/>
      <c r="VOU19" s="64"/>
      <c r="VOV19" s="64"/>
      <c r="VOW19" s="64"/>
      <c r="VOX19" s="64"/>
      <c r="VOY19" s="64"/>
      <c r="VOZ19" s="64"/>
      <c r="VPA19" s="64"/>
      <c r="VPB19" s="64"/>
      <c r="VPC19" s="64"/>
      <c r="VPD19" s="64"/>
      <c r="VPE19" s="64"/>
      <c r="VPF19" s="64"/>
      <c r="VPG19" s="64"/>
      <c r="VPH19" s="64"/>
      <c r="VPI19" s="64"/>
      <c r="VPJ19" s="64"/>
      <c r="VPK19" s="64"/>
      <c r="VPL19" s="64"/>
      <c r="VPM19" s="64"/>
      <c r="VPN19" s="64"/>
      <c r="VPO19" s="64"/>
      <c r="VPP19" s="64"/>
      <c r="VPQ19" s="64"/>
      <c r="VPR19" s="64"/>
      <c r="VPS19" s="64"/>
      <c r="VPT19" s="64"/>
      <c r="VPU19" s="64"/>
      <c r="VPV19" s="64"/>
      <c r="VPW19" s="64"/>
      <c r="VPX19" s="64"/>
      <c r="VPY19" s="64"/>
      <c r="VPZ19" s="64"/>
      <c r="VQA19" s="64"/>
      <c r="VQB19" s="64"/>
      <c r="VQC19" s="64"/>
      <c r="VQD19" s="64"/>
      <c r="VQE19" s="64"/>
      <c r="VQF19" s="64"/>
      <c r="VQG19" s="64"/>
      <c r="VQH19" s="64"/>
      <c r="VQI19" s="64"/>
      <c r="VQJ19" s="64"/>
      <c r="VQK19" s="64"/>
      <c r="VQL19" s="64"/>
      <c r="VQM19" s="64"/>
      <c r="VQN19" s="64"/>
      <c r="VQO19" s="64"/>
      <c r="VQP19" s="64"/>
      <c r="VQQ19" s="64"/>
      <c r="VQR19" s="64"/>
      <c r="VQS19" s="64"/>
      <c r="VQT19" s="64"/>
      <c r="VQU19" s="64"/>
      <c r="VQV19" s="64"/>
      <c r="VQW19" s="64"/>
      <c r="VQX19" s="64"/>
      <c r="VQY19" s="64"/>
      <c r="VQZ19" s="64"/>
      <c r="VRA19" s="64"/>
      <c r="VRB19" s="64"/>
      <c r="VRC19" s="64"/>
      <c r="VRD19" s="64"/>
      <c r="VRE19" s="64"/>
      <c r="VRF19" s="64"/>
      <c r="VRG19" s="64"/>
      <c r="VRH19" s="64"/>
      <c r="VRI19" s="64"/>
      <c r="VRJ19" s="64"/>
      <c r="VRK19" s="64"/>
      <c r="VRL19" s="64"/>
      <c r="VRM19" s="64"/>
      <c r="VRN19" s="64"/>
      <c r="VRO19" s="64"/>
      <c r="VRP19" s="64"/>
      <c r="VRQ19" s="64"/>
      <c r="VRR19" s="64"/>
      <c r="VRS19" s="64"/>
      <c r="VRT19" s="64"/>
      <c r="VRU19" s="64"/>
      <c r="VRV19" s="64"/>
      <c r="VRW19" s="64"/>
      <c r="VRX19" s="64"/>
      <c r="VRY19" s="64"/>
      <c r="VRZ19" s="64"/>
      <c r="VSA19" s="64"/>
      <c r="VSB19" s="64"/>
      <c r="VSC19" s="64"/>
      <c r="VSD19" s="64"/>
      <c r="VSE19" s="64"/>
      <c r="VSF19" s="64"/>
      <c r="VSG19" s="64"/>
      <c r="VSH19" s="64"/>
      <c r="VSI19" s="64"/>
      <c r="VSJ19" s="64"/>
      <c r="VSK19" s="64"/>
      <c r="VSL19" s="64"/>
      <c r="VSM19" s="64"/>
      <c r="VSN19" s="64"/>
      <c r="VSO19" s="64"/>
      <c r="VSP19" s="64"/>
      <c r="VSQ19" s="64"/>
      <c r="VSR19" s="64"/>
      <c r="VSS19" s="64"/>
      <c r="VST19" s="64"/>
      <c r="VSU19" s="64"/>
      <c r="VSV19" s="64"/>
      <c r="VSW19" s="64"/>
      <c r="VSX19" s="64"/>
      <c r="VSY19" s="64"/>
      <c r="VSZ19" s="64"/>
      <c r="VTA19" s="64"/>
      <c r="VTB19" s="64"/>
      <c r="VTC19" s="64"/>
      <c r="VTD19" s="64"/>
      <c r="VTE19" s="64"/>
      <c r="VTF19" s="64"/>
      <c r="VTG19" s="64"/>
      <c r="VTH19" s="64"/>
      <c r="VTI19" s="64"/>
      <c r="VTJ19" s="64"/>
      <c r="VTK19" s="64"/>
      <c r="VTL19" s="64"/>
      <c r="VTM19" s="64"/>
      <c r="VTN19" s="64"/>
      <c r="VTO19" s="64"/>
      <c r="VTP19" s="64"/>
      <c r="VTQ19" s="64"/>
      <c r="VTR19" s="64"/>
      <c r="VTS19" s="64"/>
      <c r="VTT19" s="64"/>
      <c r="VTU19" s="64"/>
      <c r="VTV19" s="64"/>
      <c r="VTW19" s="64"/>
      <c r="VTX19" s="64"/>
      <c r="VTY19" s="64"/>
      <c r="VTZ19" s="64"/>
      <c r="VUA19" s="64"/>
      <c r="VUB19" s="64"/>
      <c r="VUC19" s="64"/>
      <c r="VUD19" s="64"/>
      <c r="VUE19" s="64"/>
      <c r="VUF19" s="64"/>
      <c r="VUG19" s="64"/>
      <c r="VUH19" s="64"/>
      <c r="VUI19" s="64"/>
      <c r="VUJ19" s="64"/>
      <c r="VUK19" s="64"/>
      <c r="VUL19" s="64"/>
      <c r="VUM19" s="64"/>
      <c r="VUN19" s="64"/>
      <c r="VUO19" s="64"/>
      <c r="VUP19" s="64"/>
      <c r="VUQ19" s="64"/>
      <c r="VUR19" s="64"/>
      <c r="VUS19" s="64"/>
      <c r="VUT19" s="64"/>
      <c r="VUU19" s="64"/>
      <c r="VUV19" s="64"/>
      <c r="VUW19" s="64"/>
      <c r="VUX19" s="64"/>
      <c r="VUY19" s="64"/>
      <c r="VUZ19" s="64"/>
      <c r="VVA19" s="64"/>
      <c r="VVB19" s="64"/>
      <c r="VVC19" s="64"/>
      <c r="VVD19" s="64"/>
      <c r="VVE19" s="64"/>
      <c r="VVF19" s="64"/>
      <c r="VVG19" s="64"/>
      <c r="VVH19" s="64"/>
      <c r="VVI19" s="64"/>
      <c r="VVJ19" s="64"/>
      <c r="VVK19" s="64"/>
      <c r="VVL19" s="64"/>
      <c r="VVM19" s="64"/>
      <c r="VVN19" s="64"/>
      <c r="VVO19" s="64"/>
      <c r="VVP19" s="64"/>
      <c r="VVQ19" s="64"/>
      <c r="VVR19" s="64"/>
      <c r="VVS19" s="64"/>
      <c r="VVT19" s="64"/>
      <c r="VVU19" s="64"/>
      <c r="VVV19" s="64"/>
      <c r="VVW19" s="64"/>
      <c r="VVX19" s="64"/>
      <c r="VVY19" s="64"/>
      <c r="VVZ19" s="64"/>
      <c r="VWA19" s="64"/>
      <c r="VWB19" s="64"/>
      <c r="VWC19" s="64"/>
      <c r="VWD19" s="64"/>
      <c r="VWE19" s="64"/>
      <c r="VWF19" s="64"/>
      <c r="VWG19" s="64"/>
      <c r="VWH19" s="64"/>
      <c r="VWI19" s="64"/>
      <c r="VWJ19" s="64"/>
      <c r="VWK19" s="64"/>
      <c r="VWL19" s="64"/>
      <c r="VWM19" s="64"/>
      <c r="VWN19" s="64"/>
      <c r="VWO19" s="64"/>
      <c r="VWP19" s="64"/>
      <c r="VWQ19" s="64"/>
      <c r="VWR19" s="64"/>
      <c r="VWS19" s="64"/>
      <c r="VWT19" s="64"/>
      <c r="VWU19" s="64"/>
      <c r="VWV19" s="64"/>
      <c r="VWW19" s="64"/>
      <c r="VWX19" s="64"/>
      <c r="VWY19" s="64"/>
      <c r="VWZ19" s="64"/>
      <c r="VXA19" s="64"/>
      <c r="VXB19" s="64"/>
      <c r="VXC19" s="64"/>
      <c r="VXD19" s="64"/>
      <c r="VXE19" s="64"/>
      <c r="VXF19" s="64"/>
      <c r="VXG19" s="64"/>
      <c r="VXH19" s="64"/>
      <c r="VXI19" s="64"/>
      <c r="VXJ19" s="64"/>
      <c r="VXK19" s="64"/>
      <c r="VXL19" s="64"/>
      <c r="VXM19" s="64"/>
      <c r="VXN19" s="64"/>
      <c r="VXO19" s="64"/>
      <c r="VXP19" s="64"/>
      <c r="VXQ19" s="64"/>
      <c r="VXR19" s="64"/>
      <c r="VXS19" s="64"/>
      <c r="VXT19" s="64"/>
      <c r="VXU19" s="64"/>
      <c r="VXV19" s="64"/>
      <c r="VXW19" s="64"/>
      <c r="VXX19" s="64"/>
      <c r="VXY19" s="64"/>
      <c r="VXZ19" s="64"/>
      <c r="VYA19" s="64"/>
      <c r="VYB19" s="64"/>
      <c r="VYC19" s="64"/>
      <c r="VYD19" s="64"/>
      <c r="VYE19" s="64"/>
      <c r="VYF19" s="64"/>
      <c r="VYG19" s="64"/>
      <c r="VYH19" s="64"/>
      <c r="VYI19" s="64"/>
      <c r="VYJ19" s="64"/>
      <c r="VYK19" s="64"/>
      <c r="VYL19" s="64"/>
      <c r="VYM19" s="64"/>
      <c r="VYN19" s="64"/>
      <c r="VYO19" s="64"/>
      <c r="VYP19" s="64"/>
      <c r="VYQ19" s="64"/>
      <c r="VYR19" s="64"/>
      <c r="VYS19" s="64"/>
      <c r="VYT19" s="64"/>
      <c r="VYU19" s="64"/>
      <c r="VYV19" s="64"/>
      <c r="VYW19" s="64"/>
      <c r="VYX19" s="64"/>
      <c r="VYY19" s="64"/>
      <c r="VYZ19" s="64"/>
      <c r="VZA19" s="64"/>
      <c r="VZB19" s="64"/>
      <c r="VZC19" s="64"/>
      <c r="VZD19" s="64"/>
      <c r="VZE19" s="64"/>
      <c r="VZF19" s="64"/>
      <c r="VZG19" s="64"/>
      <c r="VZH19" s="64"/>
      <c r="VZI19" s="64"/>
      <c r="VZJ19" s="64"/>
      <c r="VZK19" s="64"/>
      <c r="VZL19" s="64"/>
      <c r="VZM19" s="64"/>
      <c r="VZN19" s="64"/>
      <c r="VZO19" s="64"/>
      <c r="VZP19" s="64"/>
      <c r="VZQ19" s="64"/>
      <c r="VZR19" s="64"/>
      <c r="VZS19" s="64"/>
      <c r="VZT19" s="64"/>
      <c r="VZU19" s="64"/>
      <c r="VZV19" s="64"/>
      <c r="VZW19" s="64"/>
      <c r="VZX19" s="64"/>
      <c r="VZY19" s="64"/>
      <c r="VZZ19" s="64"/>
      <c r="WAA19" s="64"/>
      <c r="WAB19" s="64"/>
      <c r="WAC19" s="64"/>
      <c r="WAD19" s="64"/>
      <c r="WAE19" s="64"/>
      <c r="WAF19" s="64"/>
      <c r="WAG19" s="64"/>
      <c r="WAH19" s="64"/>
      <c r="WAI19" s="64"/>
      <c r="WAJ19" s="64"/>
      <c r="WAK19" s="64"/>
      <c r="WAL19" s="64"/>
      <c r="WAM19" s="64"/>
      <c r="WAN19" s="64"/>
      <c r="WAO19" s="64"/>
      <c r="WAP19" s="64"/>
      <c r="WAQ19" s="64"/>
      <c r="WAR19" s="64"/>
      <c r="WAS19" s="64"/>
      <c r="WAT19" s="64"/>
      <c r="WAU19" s="64"/>
      <c r="WAV19" s="64"/>
      <c r="WAW19" s="64"/>
      <c r="WAX19" s="64"/>
      <c r="WAY19" s="64"/>
      <c r="WAZ19" s="64"/>
      <c r="WBA19" s="64"/>
      <c r="WBB19" s="64"/>
      <c r="WBC19" s="64"/>
      <c r="WBD19" s="64"/>
      <c r="WBE19" s="64"/>
      <c r="WBF19" s="64"/>
      <c r="WBG19" s="64"/>
      <c r="WBH19" s="64"/>
      <c r="WBI19" s="64"/>
      <c r="WBJ19" s="64"/>
      <c r="WBK19" s="64"/>
      <c r="WBL19" s="64"/>
      <c r="WBM19" s="64"/>
      <c r="WBN19" s="64"/>
      <c r="WBO19" s="64"/>
      <c r="WBP19" s="64"/>
      <c r="WBQ19" s="64"/>
      <c r="WBR19" s="64"/>
      <c r="WBS19" s="64"/>
      <c r="WBT19" s="64"/>
      <c r="WBU19" s="64"/>
      <c r="WBV19" s="64"/>
      <c r="WBW19" s="64"/>
      <c r="WBX19" s="64"/>
      <c r="WBY19" s="64"/>
      <c r="WBZ19" s="64"/>
      <c r="WCA19" s="64"/>
      <c r="WCB19" s="64"/>
      <c r="WCC19" s="64"/>
      <c r="WCD19" s="64"/>
      <c r="WCE19" s="64"/>
      <c r="WCF19" s="64"/>
      <c r="WCG19" s="64"/>
      <c r="WCH19" s="64"/>
      <c r="WCI19" s="64"/>
      <c r="WCJ19" s="64"/>
      <c r="WCK19" s="64"/>
      <c r="WCL19" s="64"/>
      <c r="WCM19" s="64"/>
      <c r="WCN19" s="64"/>
      <c r="WCO19" s="64"/>
      <c r="WCP19" s="64"/>
      <c r="WCQ19" s="64"/>
      <c r="WCR19" s="64"/>
      <c r="WCS19" s="64"/>
      <c r="WCT19" s="64"/>
      <c r="WCU19" s="64"/>
      <c r="WCV19" s="64"/>
      <c r="WCW19" s="64"/>
      <c r="WCX19" s="64"/>
      <c r="WCY19" s="64"/>
      <c r="WCZ19" s="64"/>
      <c r="WDA19" s="64"/>
      <c r="WDB19" s="64"/>
      <c r="WDC19" s="64"/>
      <c r="WDD19" s="64"/>
      <c r="WDE19" s="64"/>
      <c r="WDF19" s="64"/>
      <c r="WDG19" s="64"/>
      <c r="WDH19" s="64"/>
      <c r="WDI19" s="64"/>
      <c r="WDJ19" s="64"/>
      <c r="WDK19" s="64"/>
      <c r="WDL19" s="64"/>
      <c r="WDM19" s="64"/>
      <c r="WDN19" s="64"/>
      <c r="WDO19" s="64"/>
      <c r="WDP19" s="64"/>
      <c r="WDQ19" s="64"/>
      <c r="WDR19" s="64"/>
      <c r="WDS19" s="64"/>
      <c r="WDT19" s="64"/>
      <c r="WDU19" s="64"/>
      <c r="WDV19" s="64"/>
      <c r="WDW19" s="64"/>
      <c r="WDX19" s="64"/>
      <c r="WDY19" s="64"/>
      <c r="WDZ19" s="64"/>
      <c r="WEA19" s="64"/>
      <c r="WEB19" s="64"/>
      <c r="WEC19" s="64"/>
      <c r="WED19" s="64"/>
      <c r="WEE19" s="64"/>
      <c r="WEF19" s="64"/>
      <c r="WEG19" s="64"/>
      <c r="WEH19" s="64"/>
      <c r="WEI19" s="64"/>
      <c r="WEJ19" s="64"/>
      <c r="WEK19" s="64"/>
      <c r="WEL19" s="64"/>
      <c r="WEM19" s="64"/>
      <c r="WEN19" s="64"/>
      <c r="WEO19" s="64"/>
      <c r="WEP19" s="64"/>
      <c r="WEQ19" s="64"/>
      <c r="WER19" s="64"/>
      <c r="WES19" s="64"/>
      <c r="WET19" s="64"/>
      <c r="WEU19" s="64"/>
      <c r="WEV19" s="64"/>
      <c r="WEW19" s="64"/>
      <c r="WEX19" s="64"/>
      <c r="WEY19" s="64"/>
      <c r="WEZ19" s="64"/>
      <c r="WFA19" s="64"/>
      <c r="WFB19" s="64"/>
      <c r="WFC19" s="64"/>
      <c r="WFD19" s="64"/>
      <c r="WFE19" s="64"/>
      <c r="WFF19" s="64"/>
      <c r="WFG19" s="64"/>
      <c r="WFH19" s="64"/>
      <c r="WFI19" s="64"/>
      <c r="WFJ19" s="64"/>
      <c r="WFK19" s="64"/>
      <c r="WFL19" s="64"/>
      <c r="WFM19" s="64"/>
      <c r="WFN19" s="64"/>
      <c r="WFO19" s="64"/>
      <c r="WFP19" s="64"/>
      <c r="WFQ19" s="64"/>
      <c r="WFR19" s="64"/>
      <c r="WFS19" s="64"/>
      <c r="WFT19" s="64"/>
      <c r="WFU19" s="64"/>
      <c r="WFV19" s="64"/>
      <c r="WFW19" s="64"/>
      <c r="WFX19" s="64"/>
      <c r="WFY19" s="64"/>
      <c r="WFZ19" s="64"/>
      <c r="WGA19" s="64"/>
      <c r="WGB19" s="64"/>
      <c r="WGC19" s="64"/>
      <c r="WGD19" s="64"/>
      <c r="WGE19" s="64"/>
      <c r="WGF19" s="64"/>
      <c r="WGG19" s="64"/>
      <c r="WGH19" s="64"/>
      <c r="WGI19" s="64"/>
      <c r="WGJ19" s="64"/>
      <c r="WGK19" s="64"/>
      <c r="WGL19" s="64"/>
      <c r="WGM19" s="64"/>
      <c r="WGN19" s="64"/>
      <c r="WGO19" s="64"/>
      <c r="WGP19" s="64"/>
      <c r="WGQ19" s="64"/>
      <c r="WGR19" s="64"/>
      <c r="WGS19" s="64"/>
      <c r="WGT19" s="64"/>
      <c r="WGU19" s="64"/>
      <c r="WGV19" s="64"/>
      <c r="WGW19" s="64"/>
      <c r="WGX19" s="64"/>
      <c r="WGY19" s="64"/>
      <c r="WGZ19" s="64"/>
      <c r="WHA19" s="64"/>
      <c r="WHB19" s="64"/>
      <c r="WHC19" s="64"/>
      <c r="WHD19" s="64"/>
      <c r="WHE19" s="64"/>
      <c r="WHF19" s="64"/>
      <c r="WHG19" s="64"/>
      <c r="WHH19" s="64"/>
      <c r="WHI19" s="64"/>
      <c r="WHJ19" s="64"/>
      <c r="WHK19" s="64"/>
      <c r="WHL19" s="64"/>
      <c r="WHM19" s="64"/>
      <c r="WHN19" s="64"/>
      <c r="WHO19" s="64"/>
      <c r="WHP19" s="64"/>
      <c r="WHQ19" s="64"/>
      <c r="WHR19" s="64"/>
      <c r="WHS19" s="64"/>
      <c r="WHT19" s="64"/>
      <c r="WHU19" s="64"/>
      <c r="WHV19" s="64"/>
      <c r="WHW19" s="64"/>
      <c r="WHX19" s="64"/>
      <c r="WHY19" s="64"/>
      <c r="WHZ19" s="64"/>
      <c r="WIA19" s="64"/>
      <c r="WIB19" s="64"/>
      <c r="WIC19" s="64"/>
      <c r="WID19" s="64"/>
      <c r="WIE19" s="64"/>
      <c r="WIF19" s="64"/>
      <c r="WIG19" s="64"/>
      <c r="WIH19" s="64"/>
      <c r="WII19" s="64"/>
      <c r="WIJ19" s="64"/>
      <c r="WIK19" s="64"/>
      <c r="WIL19" s="64"/>
      <c r="WIM19" s="64"/>
      <c r="WIN19" s="64"/>
      <c r="WIO19" s="64"/>
      <c r="WIP19" s="64"/>
      <c r="WIQ19" s="64"/>
      <c r="WIR19" s="64"/>
      <c r="WIS19" s="64"/>
      <c r="WIT19" s="64"/>
      <c r="WIU19" s="64"/>
      <c r="WIV19" s="64"/>
      <c r="WIW19" s="64"/>
      <c r="WIX19" s="64"/>
      <c r="WIY19" s="64"/>
      <c r="WIZ19" s="64"/>
      <c r="WJA19" s="64"/>
      <c r="WJB19" s="64"/>
      <c r="WJC19" s="64"/>
      <c r="WJD19" s="64"/>
      <c r="WJE19" s="64"/>
      <c r="WJF19" s="64"/>
      <c r="WJG19" s="64"/>
      <c r="WJH19" s="64"/>
      <c r="WJI19" s="64"/>
      <c r="WJJ19" s="64"/>
      <c r="WJK19" s="64"/>
      <c r="WJL19" s="64"/>
      <c r="WJM19" s="64"/>
      <c r="WJN19" s="64"/>
      <c r="WJO19" s="64"/>
      <c r="WJP19" s="64"/>
      <c r="WJQ19" s="64"/>
      <c r="WJR19" s="64"/>
      <c r="WJS19" s="64"/>
      <c r="WJT19" s="64"/>
      <c r="WJU19" s="64"/>
      <c r="WJV19" s="64"/>
      <c r="WJW19" s="64"/>
      <c r="WJX19" s="64"/>
      <c r="WJY19" s="64"/>
      <c r="WJZ19" s="64"/>
      <c r="WKA19" s="64"/>
      <c r="WKB19" s="64"/>
      <c r="WKC19" s="64"/>
      <c r="WKD19" s="64"/>
      <c r="WKE19" s="64"/>
      <c r="WKF19" s="64"/>
      <c r="WKG19" s="64"/>
      <c r="WKH19" s="64"/>
      <c r="WKI19" s="64"/>
      <c r="WKJ19" s="64"/>
      <c r="WKK19" s="64"/>
      <c r="WKL19" s="64"/>
      <c r="WKM19" s="64"/>
      <c r="WKN19" s="64"/>
      <c r="WKO19" s="64"/>
      <c r="WKP19" s="64"/>
      <c r="WKQ19" s="64"/>
      <c r="WKR19" s="64"/>
      <c r="WKS19" s="64"/>
      <c r="WKT19" s="64"/>
      <c r="WKU19" s="64"/>
      <c r="WKV19" s="64"/>
      <c r="WKW19" s="64"/>
      <c r="WKX19" s="64"/>
      <c r="WKY19" s="64"/>
      <c r="WKZ19" s="64"/>
      <c r="WLA19" s="64"/>
      <c r="WLB19" s="64"/>
      <c r="WLC19" s="64"/>
      <c r="WLD19" s="64"/>
      <c r="WLE19" s="64"/>
      <c r="WLF19" s="64"/>
      <c r="WLG19" s="64"/>
      <c r="WLH19" s="64"/>
      <c r="WLI19" s="64"/>
      <c r="WLJ19" s="64"/>
      <c r="WLK19" s="64"/>
      <c r="WLL19" s="64"/>
      <c r="WLM19" s="64"/>
      <c r="WLN19" s="64"/>
      <c r="WLO19" s="64"/>
      <c r="WLP19" s="64"/>
      <c r="WLQ19" s="64"/>
      <c r="WLR19" s="64"/>
      <c r="WLS19" s="64"/>
      <c r="WLT19" s="64"/>
      <c r="WLU19" s="64"/>
      <c r="WLV19" s="64"/>
      <c r="WLW19" s="64"/>
      <c r="WLX19" s="64"/>
      <c r="WLY19" s="64"/>
      <c r="WLZ19" s="64"/>
      <c r="WMA19" s="64"/>
      <c r="WMB19" s="64"/>
      <c r="WMC19" s="64"/>
      <c r="WMD19" s="64"/>
      <c r="WME19" s="64"/>
      <c r="WMF19" s="64"/>
      <c r="WMG19" s="64"/>
      <c r="WMH19" s="64"/>
      <c r="WMI19" s="64"/>
      <c r="WMJ19" s="64"/>
      <c r="WMK19" s="64"/>
      <c r="WML19" s="64"/>
      <c r="WMM19" s="64"/>
      <c r="WMN19" s="64"/>
      <c r="WMO19" s="64"/>
      <c r="WMP19" s="64"/>
      <c r="WMQ19" s="64"/>
      <c r="WMR19" s="64"/>
      <c r="WMS19" s="64"/>
      <c r="WMT19" s="64"/>
      <c r="WMU19" s="64"/>
      <c r="WMV19" s="64"/>
      <c r="WMW19" s="64"/>
      <c r="WMX19" s="64"/>
      <c r="WMY19" s="64"/>
      <c r="WMZ19" s="64"/>
      <c r="WNA19" s="64"/>
      <c r="WNB19" s="64"/>
      <c r="WNC19" s="64"/>
      <c r="WND19" s="64"/>
      <c r="WNE19" s="64"/>
      <c r="WNF19" s="64"/>
      <c r="WNG19" s="64"/>
      <c r="WNH19" s="64"/>
      <c r="WNI19" s="64"/>
      <c r="WNJ19" s="64"/>
      <c r="WNK19" s="64"/>
      <c r="WNL19" s="64"/>
      <c r="WNM19" s="64"/>
      <c r="WNN19" s="64"/>
      <c r="WNO19" s="64"/>
      <c r="WNP19" s="64"/>
      <c r="WNQ19" s="64"/>
      <c r="WNR19" s="64"/>
      <c r="WNS19" s="64"/>
      <c r="WNT19" s="64"/>
      <c r="WNU19" s="64"/>
      <c r="WNV19" s="64"/>
      <c r="WNW19" s="64"/>
      <c r="WNX19" s="64"/>
      <c r="WNY19" s="64"/>
      <c r="WNZ19" s="64"/>
      <c r="WOA19" s="64"/>
      <c r="WOB19" s="64"/>
      <c r="WOC19" s="64"/>
      <c r="WOD19" s="64"/>
      <c r="WOE19" s="64"/>
      <c r="WOF19" s="64"/>
      <c r="WOG19" s="64"/>
      <c r="WOH19" s="64"/>
      <c r="WOI19" s="64"/>
      <c r="WOJ19" s="64"/>
      <c r="WOK19" s="64"/>
      <c r="WOL19" s="64"/>
      <c r="WOM19" s="64"/>
      <c r="WON19" s="64"/>
      <c r="WOO19" s="64"/>
      <c r="WOP19" s="64"/>
      <c r="WOQ19" s="64"/>
      <c r="WOR19" s="64"/>
      <c r="WOS19" s="64"/>
      <c r="WOT19" s="64"/>
      <c r="WOU19" s="64"/>
      <c r="WOV19" s="64"/>
      <c r="WOW19" s="64"/>
      <c r="WOX19" s="64"/>
      <c r="WOY19" s="64"/>
      <c r="WOZ19" s="64"/>
      <c r="WPA19" s="64"/>
      <c r="WPB19" s="64"/>
      <c r="WPC19" s="64"/>
      <c r="WPD19" s="64"/>
      <c r="WPE19" s="64"/>
      <c r="WPF19" s="64"/>
      <c r="WPG19" s="64"/>
      <c r="WPH19" s="64"/>
      <c r="WPI19" s="64"/>
      <c r="WPJ19" s="64"/>
      <c r="WPK19" s="64"/>
      <c r="WPL19" s="64"/>
      <c r="WPM19" s="64"/>
      <c r="WPN19" s="64"/>
      <c r="WPO19" s="64"/>
      <c r="WPP19" s="64"/>
      <c r="WPQ19" s="64"/>
      <c r="WPR19" s="64"/>
      <c r="WPS19" s="64"/>
      <c r="WPT19" s="64"/>
      <c r="WPU19" s="64"/>
      <c r="WPV19" s="64"/>
      <c r="WPW19" s="64"/>
      <c r="WPX19" s="64"/>
      <c r="WPY19" s="64"/>
      <c r="WPZ19" s="64"/>
      <c r="WQA19" s="64"/>
      <c r="WQB19" s="64"/>
      <c r="WQC19" s="64"/>
      <c r="WQD19" s="64"/>
      <c r="WQE19" s="64"/>
      <c r="WQF19" s="64"/>
      <c r="WQG19" s="64"/>
      <c r="WQH19" s="64"/>
      <c r="WQI19" s="64"/>
      <c r="WQJ19" s="64"/>
      <c r="WQK19" s="64"/>
      <c r="WQL19" s="64"/>
      <c r="WQM19" s="64"/>
      <c r="WQN19" s="64"/>
      <c r="WQO19" s="64"/>
      <c r="WQP19" s="64"/>
      <c r="WQQ19" s="64"/>
      <c r="WQR19" s="64"/>
      <c r="WQS19" s="64"/>
      <c r="WQT19" s="64"/>
      <c r="WQU19" s="64"/>
      <c r="WQV19" s="64"/>
      <c r="WQW19" s="64"/>
      <c r="WQX19" s="64"/>
      <c r="WQY19" s="64"/>
      <c r="WQZ19" s="64"/>
      <c r="WRA19" s="64"/>
      <c r="WRB19" s="64"/>
      <c r="WRC19" s="64"/>
      <c r="WRD19" s="64"/>
      <c r="WRE19" s="64"/>
      <c r="WRF19" s="64"/>
      <c r="WRG19" s="64"/>
      <c r="WRH19" s="64"/>
      <c r="WRI19" s="64"/>
      <c r="WRJ19" s="64"/>
      <c r="WRK19" s="64"/>
      <c r="WRL19" s="64"/>
      <c r="WRM19" s="64"/>
      <c r="WRN19" s="64"/>
      <c r="WRO19" s="64"/>
      <c r="WRP19" s="64"/>
      <c r="WRQ19" s="64"/>
      <c r="WRR19" s="64"/>
      <c r="WRS19" s="64"/>
      <c r="WRT19" s="64"/>
      <c r="WRU19" s="64"/>
      <c r="WRV19" s="64"/>
      <c r="WRW19" s="64"/>
      <c r="WRX19" s="64"/>
      <c r="WRY19" s="64"/>
      <c r="WRZ19" s="64"/>
      <c r="WSA19" s="64"/>
      <c r="WSB19" s="64"/>
      <c r="WSC19" s="64"/>
      <c r="WSD19" s="64"/>
      <c r="WSE19" s="64"/>
      <c r="WSF19" s="64"/>
      <c r="WSG19" s="64"/>
      <c r="WSH19" s="64"/>
      <c r="WSI19" s="64"/>
      <c r="WSJ19" s="64"/>
      <c r="WSK19" s="64"/>
      <c r="WSL19" s="64"/>
      <c r="WSM19" s="64"/>
      <c r="WSN19" s="64"/>
      <c r="WSO19" s="64"/>
      <c r="WSP19" s="64"/>
      <c r="WSQ19" s="64"/>
      <c r="WSR19" s="64"/>
      <c r="WSS19" s="64"/>
      <c r="WST19" s="64"/>
      <c r="WSU19" s="64"/>
      <c r="WSV19" s="64"/>
      <c r="WSW19" s="64"/>
      <c r="WSX19" s="64"/>
      <c r="WSY19" s="64"/>
      <c r="WSZ19" s="64"/>
      <c r="WTA19" s="64"/>
      <c r="WTB19" s="64"/>
      <c r="WTC19" s="64"/>
      <c r="WTD19" s="64"/>
      <c r="WTE19" s="64"/>
      <c r="WTF19" s="64"/>
      <c r="WTG19" s="64"/>
      <c r="WTH19" s="64"/>
      <c r="WTI19" s="64"/>
      <c r="WTJ19" s="64"/>
      <c r="WTK19" s="64"/>
      <c r="WTL19" s="64"/>
      <c r="WTM19" s="64"/>
      <c r="WTN19" s="64"/>
      <c r="WTO19" s="64"/>
      <c r="WTP19" s="64"/>
      <c r="WTQ19" s="64"/>
      <c r="WTR19" s="64"/>
      <c r="WTS19" s="64"/>
      <c r="WTT19" s="64"/>
      <c r="WTU19" s="64"/>
      <c r="WTV19" s="64"/>
      <c r="WTW19" s="64"/>
      <c r="WTX19" s="64"/>
      <c r="WTY19" s="64"/>
      <c r="WTZ19" s="64"/>
      <c r="WUA19" s="64"/>
      <c r="WUB19" s="64"/>
      <c r="WUC19" s="64"/>
      <c r="WUD19" s="64"/>
      <c r="WUE19" s="64"/>
      <c r="WUF19" s="64"/>
      <c r="WUG19" s="64"/>
      <c r="WUH19" s="64"/>
      <c r="WUI19" s="64"/>
      <c r="WUJ19" s="64"/>
      <c r="WUK19" s="64"/>
      <c r="WUL19" s="64"/>
      <c r="WUM19" s="64"/>
      <c r="WUN19" s="64"/>
      <c r="WUO19" s="64"/>
      <c r="WUP19" s="64"/>
      <c r="WUQ19" s="64"/>
      <c r="WUR19" s="64"/>
      <c r="WUS19" s="64"/>
      <c r="WUT19" s="64"/>
      <c r="WUU19" s="64"/>
      <c r="WUV19" s="64"/>
      <c r="WUW19" s="64"/>
      <c r="WUX19" s="64"/>
      <c r="WUY19" s="64"/>
      <c r="WUZ19" s="64"/>
      <c r="WVA19" s="64"/>
      <c r="WVB19" s="64"/>
      <c r="WVC19" s="64"/>
      <c r="WVD19" s="64"/>
      <c r="WVE19" s="64"/>
      <c r="WVF19" s="64"/>
      <c r="WVG19" s="64"/>
      <c r="WVH19" s="64"/>
      <c r="WVI19" s="64"/>
      <c r="WVJ19" s="64"/>
      <c r="WVK19" s="64"/>
      <c r="WVL19" s="64"/>
      <c r="WVM19" s="64"/>
      <c r="WVN19" s="64"/>
      <c r="WVO19" s="64"/>
      <c r="WVP19" s="64"/>
      <c r="WVQ19" s="64"/>
      <c r="WVR19" s="64"/>
      <c r="WVS19" s="64"/>
      <c r="WVT19" s="64"/>
      <c r="WVU19" s="64"/>
      <c r="WVV19" s="64"/>
      <c r="WVW19" s="64"/>
      <c r="WVX19" s="64"/>
      <c r="WVY19" s="64"/>
      <c r="WVZ19" s="64"/>
      <c r="WWA19" s="64"/>
      <c r="WWB19" s="64"/>
      <c r="WWC19" s="64"/>
      <c r="WWD19" s="64"/>
      <c r="WWE19" s="64"/>
      <c r="WWF19" s="64"/>
      <c r="WWG19" s="64"/>
      <c r="WWH19" s="64"/>
      <c r="WWI19" s="64"/>
      <c r="WWJ19" s="64"/>
      <c r="WWK19" s="64"/>
      <c r="WWL19" s="64"/>
      <c r="WWM19" s="64"/>
      <c r="WWN19" s="64"/>
      <c r="WWO19" s="64"/>
      <c r="WWP19" s="64"/>
      <c r="WWQ19" s="64"/>
      <c r="WWR19" s="64"/>
      <c r="WWS19" s="64"/>
      <c r="WWT19" s="64"/>
      <c r="WWU19" s="64"/>
      <c r="WWV19" s="64"/>
      <c r="WWW19" s="64"/>
      <c r="WWX19" s="64"/>
      <c r="WWY19" s="64"/>
      <c r="WWZ19" s="64"/>
      <c r="WXA19" s="64"/>
      <c r="WXB19" s="64"/>
      <c r="WXC19" s="64"/>
      <c r="WXD19" s="64"/>
      <c r="WXE19" s="64"/>
      <c r="WXF19" s="64"/>
      <c r="WXG19" s="64"/>
      <c r="WXH19" s="64"/>
      <c r="WXI19" s="64"/>
      <c r="WXJ19" s="64"/>
      <c r="WXK19" s="64"/>
      <c r="WXL19" s="64"/>
      <c r="WXM19" s="64"/>
      <c r="WXN19" s="64"/>
      <c r="WXO19" s="64"/>
      <c r="WXP19" s="64"/>
      <c r="WXQ19" s="64"/>
      <c r="WXR19" s="64"/>
      <c r="WXS19" s="64"/>
      <c r="WXT19" s="64"/>
      <c r="WXU19" s="64"/>
      <c r="WXV19" s="64"/>
      <c r="WXW19" s="64"/>
      <c r="WXX19" s="64"/>
      <c r="WXY19" s="64"/>
      <c r="WXZ19" s="64"/>
      <c r="WYA19" s="64"/>
      <c r="WYB19" s="64"/>
      <c r="WYC19" s="64"/>
      <c r="WYD19" s="64"/>
      <c r="WYE19" s="64"/>
      <c r="WYF19" s="64"/>
      <c r="WYG19" s="64"/>
      <c r="WYH19" s="64"/>
      <c r="WYI19" s="64"/>
      <c r="WYJ19" s="64"/>
      <c r="WYK19" s="64"/>
      <c r="WYL19" s="64"/>
      <c r="WYM19" s="64"/>
      <c r="WYN19" s="64"/>
      <c r="WYO19" s="64"/>
      <c r="WYP19" s="64"/>
      <c r="WYQ19" s="64"/>
      <c r="WYR19" s="64"/>
      <c r="WYS19" s="64"/>
      <c r="WYT19" s="64"/>
      <c r="WYU19" s="64"/>
      <c r="WYV19" s="64"/>
      <c r="WYW19" s="64"/>
      <c r="WYX19" s="64"/>
      <c r="WYY19" s="64"/>
      <c r="WYZ19" s="64"/>
      <c r="WZA19" s="64"/>
      <c r="WZB19" s="64"/>
      <c r="WZC19" s="64"/>
      <c r="WZD19" s="64"/>
      <c r="WZE19" s="64"/>
      <c r="WZF19" s="64"/>
      <c r="WZG19" s="64"/>
      <c r="WZH19" s="64"/>
      <c r="WZI19" s="64"/>
      <c r="WZJ19" s="64"/>
      <c r="WZK19" s="64"/>
      <c r="WZL19" s="64"/>
      <c r="WZM19" s="64"/>
      <c r="WZN19" s="64"/>
      <c r="WZO19" s="64"/>
      <c r="WZP19" s="64"/>
      <c r="WZQ19" s="64"/>
      <c r="WZR19" s="64"/>
      <c r="WZS19" s="64"/>
      <c r="WZT19" s="64"/>
      <c r="WZU19" s="64"/>
      <c r="WZV19" s="64"/>
      <c r="WZW19" s="64"/>
      <c r="WZX19" s="64"/>
      <c r="WZY19" s="64"/>
      <c r="WZZ19" s="64"/>
      <c r="XAA19" s="64"/>
      <c r="XAB19" s="64"/>
      <c r="XAC19" s="64"/>
      <c r="XAD19" s="64"/>
      <c r="XAE19" s="64"/>
      <c r="XAF19" s="64"/>
      <c r="XAG19" s="64"/>
      <c r="XAH19" s="64"/>
      <c r="XAI19" s="64"/>
      <c r="XAJ19" s="64"/>
      <c r="XAK19" s="64"/>
      <c r="XAL19" s="64"/>
      <c r="XAM19" s="64"/>
      <c r="XAN19" s="64"/>
      <c r="XAO19" s="64"/>
      <c r="XAP19" s="64"/>
      <c r="XAQ19" s="64"/>
      <c r="XAR19" s="64"/>
      <c r="XAS19" s="64"/>
      <c r="XAT19" s="64"/>
      <c r="XAU19" s="64"/>
      <c r="XAV19" s="64"/>
      <c r="XAW19" s="64"/>
      <c r="XAX19" s="64"/>
      <c r="XAY19" s="64"/>
      <c r="XAZ19" s="64"/>
      <c r="XBA19" s="64"/>
      <c r="XBB19" s="64"/>
      <c r="XBC19" s="64"/>
      <c r="XBD19" s="64"/>
      <c r="XBE19" s="64"/>
      <c r="XBF19" s="64"/>
      <c r="XBG19" s="64"/>
      <c r="XBH19" s="64"/>
      <c r="XBI19" s="64"/>
      <c r="XBJ19" s="64"/>
      <c r="XBK19" s="64"/>
      <c r="XBL19" s="64"/>
      <c r="XBM19" s="64"/>
      <c r="XBN19" s="64"/>
      <c r="XBO19" s="64"/>
      <c r="XBP19" s="64"/>
      <c r="XBQ19" s="64"/>
      <c r="XBR19" s="64"/>
      <c r="XBS19" s="64"/>
      <c r="XBT19" s="64"/>
      <c r="XBU19" s="64"/>
      <c r="XBV19" s="64"/>
      <c r="XBW19" s="64"/>
      <c r="XBX19" s="64"/>
      <c r="XBY19" s="64"/>
      <c r="XBZ19" s="64"/>
      <c r="XCA19" s="64"/>
      <c r="XCB19" s="64"/>
      <c r="XCC19" s="64"/>
      <c r="XCD19" s="64"/>
      <c r="XCE19" s="64"/>
      <c r="XCF19" s="64"/>
      <c r="XCG19" s="64"/>
      <c r="XCH19" s="64"/>
      <c r="XCI19" s="64"/>
      <c r="XCJ19" s="64"/>
      <c r="XCK19" s="64"/>
      <c r="XCL19" s="64"/>
      <c r="XCM19" s="64"/>
      <c r="XCN19" s="64"/>
      <c r="XCO19" s="64"/>
      <c r="XCP19" s="64"/>
      <c r="XCQ19" s="64"/>
      <c r="XCR19" s="64"/>
      <c r="XCS19" s="64"/>
      <c r="XCT19" s="64"/>
      <c r="XCU19" s="64"/>
      <c r="XCV19" s="64"/>
      <c r="XCW19" s="64"/>
      <c r="XCX19" s="64"/>
      <c r="XCY19" s="64"/>
      <c r="XCZ19" s="64"/>
      <c r="XDA19" s="64"/>
      <c r="XDB19" s="64"/>
      <c r="XDC19" s="64"/>
      <c r="XDD19" s="64"/>
      <c r="XDE19" s="64"/>
      <c r="XDF19" s="64"/>
      <c r="XDG19" s="64"/>
      <c r="XDH19" s="64"/>
      <c r="XDI19" s="64"/>
      <c r="XDJ19" s="64"/>
      <c r="XDK19" s="64"/>
      <c r="XDL19" s="64"/>
      <c r="XDM19" s="64"/>
      <c r="XDN19" s="64"/>
      <c r="XDO19" s="64"/>
      <c r="XDP19" s="64"/>
      <c r="XDQ19" s="64"/>
      <c r="XDR19" s="64"/>
      <c r="XDS19" s="64"/>
      <c r="XDT19" s="64"/>
      <c r="XDU19" s="64"/>
      <c r="XDV19" s="64"/>
      <c r="XDW19" s="64"/>
      <c r="XDX19" s="64"/>
      <c r="XDY19" s="64"/>
      <c r="XDZ19" s="64"/>
      <c r="XEA19" s="64"/>
      <c r="XEB19" s="64"/>
      <c r="XEC19" s="64"/>
      <c r="XED19" s="64"/>
      <c r="XEE19" s="64"/>
      <c r="XEF19" s="64"/>
      <c r="XEG19" s="64"/>
      <c r="XEH19" s="64"/>
      <c r="XEI19" s="64"/>
      <c r="XEJ19" s="64"/>
      <c r="XEK19" s="64"/>
      <c r="XEL19" s="64"/>
      <c r="XEM19" s="64"/>
      <c r="XEN19" s="64"/>
      <c r="XEO19" s="64"/>
      <c r="XEP19" s="64"/>
      <c r="XEQ19" s="64"/>
      <c r="XER19" s="64"/>
      <c r="XES19" s="64"/>
      <c r="XET19" s="64"/>
      <c r="XEU19" s="64"/>
      <c r="XEV19" s="64"/>
      <c r="XEW19" s="64"/>
      <c r="XEX19" s="64"/>
      <c r="XEY19" s="64"/>
      <c r="XEZ19" s="64"/>
      <c r="XFA19" s="64"/>
      <c r="XFB19" s="64"/>
      <c r="XFC19" s="64"/>
      <c r="XFD19" s="64"/>
    </row>
    <row r="20" customFormat="1" ht="25.95" customHeight="1" spans="1:16384">
      <c r="A20" s="1" t="s">
        <v>157</v>
      </c>
      <c r="B20" s="221" t="s">
        <v>172</v>
      </c>
      <c r="C20" s="1"/>
      <c r="D20" s="1">
        <v>4</v>
      </c>
      <c r="E20" s="1"/>
      <c r="F20" s="1"/>
      <c r="G20" s="1"/>
      <c r="H20" s="1">
        <v>12</v>
      </c>
      <c r="I20" s="1"/>
      <c r="J20" s="1"/>
      <c r="K20" s="1"/>
      <c r="L20" s="1"/>
      <c r="M20" s="1"/>
      <c r="N20" s="1"/>
      <c r="O20" s="1"/>
      <c r="P20" s="1"/>
      <c r="Q20" s="75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  <c r="FN20" s="64"/>
      <c r="FO20" s="64"/>
      <c r="FP20" s="64"/>
      <c r="FQ20" s="64"/>
      <c r="FR20" s="64"/>
      <c r="FS20" s="64"/>
      <c r="FT20" s="64"/>
      <c r="FU20" s="64"/>
      <c r="FV20" s="64"/>
      <c r="FW20" s="64"/>
      <c r="FX20" s="64"/>
      <c r="FY20" s="64"/>
      <c r="FZ20" s="64"/>
      <c r="GA20" s="64"/>
      <c r="GB20" s="64"/>
      <c r="GC20" s="64"/>
      <c r="GD20" s="64"/>
      <c r="GE20" s="64"/>
      <c r="GF20" s="64"/>
      <c r="GG20" s="64"/>
      <c r="GH20" s="64"/>
      <c r="GI20" s="64"/>
      <c r="GJ20" s="64"/>
      <c r="GK20" s="64"/>
      <c r="GL20" s="64"/>
      <c r="GM20" s="64"/>
      <c r="GN20" s="64"/>
      <c r="GO20" s="64"/>
      <c r="GP20" s="64"/>
      <c r="GQ20" s="64"/>
      <c r="GR20" s="64"/>
      <c r="GS20" s="64"/>
      <c r="GT20" s="64"/>
      <c r="GU20" s="64"/>
      <c r="GV20" s="64"/>
      <c r="GW20" s="64"/>
      <c r="GX20" s="64"/>
      <c r="GY20" s="64"/>
      <c r="GZ20" s="64"/>
      <c r="HA20" s="64"/>
      <c r="HB20" s="64"/>
      <c r="HC20" s="64"/>
      <c r="HD20" s="64"/>
      <c r="HE20" s="64"/>
      <c r="HF20" s="64"/>
      <c r="HG20" s="64"/>
      <c r="HH20" s="64"/>
      <c r="HI20" s="64"/>
      <c r="HJ20" s="64"/>
      <c r="HK20" s="64"/>
      <c r="HL20" s="64"/>
      <c r="HM20" s="64"/>
      <c r="HN20" s="64"/>
      <c r="HO20" s="64"/>
      <c r="HP20" s="64"/>
      <c r="HQ20" s="64"/>
      <c r="HR20" s="64"/>
      <c r="HS20" s="64"/>
      <c r="HT20" s="64"/>
      <c r="HU20" s="64"/>
      <c r="HV20" s="64"/>
      <c r="HW20" s="64"/>
      <c r="HX20" s="64"/>
      <c r="HY20" s="64"/>
      <c r="HZ20" s="64"/>
      <c r="IA20" s="64"/>
      <c r="IB20" s="64"/>
      <c r="IC20" s="64"/>
      <c r="ID20" s="64"/>
      <c r="IE20" s="64"/>
      <c r="IF20" s="64"/>
      <c r="IG20" s="64"/>
      <c r="IH20" s="64"/>
      <c r="II20" s="64"/>
      <c r="IJ20" s="64"/>
      <c r="IK20" s="64"/>
      <c r="IL20" s="64"/>
      <c r="IM20" s="64"/>
      <c r="IN20" s="64"/>
      <c r="IO20" s="64"/>
      <c r="IP20" s="64"/>
      <c r="IQ20" s="64"/>
      <c r="IR20" s="64"/>
      <c r="IS20" s="64"/>
      <c r="IT20" s="64"/>
      <c r="IU20" s="64"/>
      <c r="IV20" s="64"/>
      <c r="IW20" s="64"/>
      <c r="IX20" s="64"/>
      <c r="IY20" s="64"/>
      <c r="IZ20" s="64"/>
      <c r="JA20" s="64"/>
      <c r="JB20" s="64"/>
      <c r="JC20" s="64"/>
      <c r="JD20" s="64"/>
      <c r="JE20" s="64"/>
      <c r="JF20" s="64"/>
      <c r="JG20" s="64"/>
      <c r="JH20" s="64"/>
      <c r="JI20" s="64"/>
      <c r="JJ20" s="64"/>
      <c r="JK20" s="64"/>
      <c r="JL20" s="64"/>
      <c r="JM20" s="64"/>
      <c r="JN20" s="64"/>
      <c r="JO20" s="64"/>
      <c r="JP20" s="64"/>
      <c r="JQ20" s="64"/>
      <c r="JR20" s="64"/>
      <c r="JS20" s="64"/>
      <c r="JT20" s="64"/>
      <c r="JU20" s="64"/>
      <c r="JV20" s="64"/>
      <c r="JW20" s="64"/>
      <c r="JX20" s="64"/>
      <c r="JY20" s="64"/>
      <c r="JZ20" s="64"/>
      <c r="KA20" s="64"/>
      <c r="KB20" s="64"/>
      <c r="KC20" s="64"/>
      <c r="KD20" s="64"/>
      <c r="KE20" s="64"/>
      <c r="KF20" s="64"/>
      <c r="KG20" s="64"/>
      <c r="KH20" s="64"/>
      <c r="KI20" s="64"/>
      <c r="KJ20" s="64"/>
      <c r="KK20" s="64"/>
      <c r="KL20" s="64"/>
      <c r="KM20" s="64"/>
      <c r="KN20" s="64"/>
      <c r="KO20" s="64"/>
      <c r="KP20" s="64"/>
      <c r="KQ20" s="64"/>
      <c r="KR20" s="64"/>
      <c r="KS20" s="64"/>
      <c r="KT20" s="64"/>
      <c r="KU20" s="64"/>
      <c r="KV20" s="64"/>
      <c r="KW20" s="64"/>
      <c r="KX20" s="64"/>
      <c r="KY20" s="64"/>
      <c r="KZ20" s="64"/>
      <c r="LA20" s="64"/>
      <c r="LB20" s="64"/>
      <c r="LC20" s="64"/>
      <c r="LD20" s="64"/>
      <c r="LE20" s="64"/>
      <c r="LF20" s="64"/>
      <c r="LG20" s="64"/>
      <c r="LH20" s="64"/>
      <c r="LI20" s="64"/>
      <c r="LJ20" s="64"/>
      <c r="LK20" s="64"/>
      <c r="LL20" s="64"/>
      <c r="LM20" s="64"/>
      <c r="LN20" s="64"/>
      <c r="LO20" s="64"/>
      <c r="LP20" s="64"/>
      <c r="LQ20" s="64"/>
      <c r="LR20" s="64"/>
      <c r="LS20" s="64"/>
      <c r="LT20" s="64"/>
      <c r="LU20" s="64"/>
      <c r="LV20" s="64"/>
      <c r="LW20" s="64"/>
      <c r="LX20" s="64"/>
      <c r="LY20" s="64"/>
      <c r="LZ20" s="64"/>
      <c r="MA20" s="64"/>
      <c r="MB20" s="64"/>
      <c r="MC20" s="64"/>
      <c r="MD20" s="64"/>
      <c r="ME20" s="64"/>
      <c r="MF20" s="64"/>
      <c r="MG20" s="64"/>
      <c r="MH20" s="64"/>
      <c r="MI20" s="64"/>
      <c r="MJ20" s="64"/>
      <c r="MK20" s="64"/>
      <c r="ML20" s="64"/>
      <c r="MM20" s="64"/>
      <c r="MN20" s="64"/>
      <c r="MO20" s="64"/>
      <c r="MP20" s="64"/>
      <c r="MQ20" s="64"/>
      <c r="MR20" s="64"/>
      <c r="MS20" s="64"/>
      <c r="MT20" s="64"/>
      <c r="MU20" s="64"/>
      <c r="MV20" s="64"/>
      <c r="MW20" s="64"/>
      <c r="MX20" s="64"/>
      <c r="MY20" s="64"/>
      <c r="MZ20" s="64"/>
      <c r="NA20" s="64"/>
      <c r="NB20" s="64"/>
      <c r="NC20" s="64"/>
      <c r="ND20" s="64"/>
      <c r="NE20" s="64"/>
      <c r="NF20" s="64"/>
      <c r="NG20" s="64"/>
      <c r="NH20" s="64"/>
      <c r="NI20" s="64"/>
      <c r="NJ20" s="64"/>
      <c r="NK20" s="64"/>
      <c r="NL20" s="64"/>
      <c r="NM20" s="64"/>
      <c r="NN20" s="64"/>
      <c r="NO20" s="64"/>
      <c r="NP20" s="64"/>
      <c r="NQ20" s="64"/>
      <c r="NR20" s="64"/>
      <c r="NS20" s="64"/>
      <c r="NT20" s="64"/>
      <c r="NU20" s="64"/>
      <c r="NV20" s="64"/>
      <c r="NW20" s="64"/>
      <c r="NX20" s="64"/>
      <c r="NY20" s="64"/>
      <c r="NZ20" s="64"/>
      <c r="OA20" s="64"/>
      <c r="OB20" s="64"/>
      <c r="OC20" s="64"/>
      <c r="OD20" s="64"/>
      <c r="OE20" s="64"/>
      <c r="OF20" s="64"/>
      <c r="OG20" s="64"/>
      <c r="OH20" s="64"/>
      <c r="OI20" s="64"/>
      <c r="OJ20" s="64"/>
      <c r="OK20" s="64"/>
      <c r="OL20" s="64"/>
      <c r="OM20" s="64"/>
      <c r="ON20" s="64"/>
      <c r="OO20" s="64"/>
      <c r="OP20" s="64"/>
      <c r="OQ20" s="64"/>
      <c r="OR20" s="64"/>
      <c r="OS20" s="64"/>
      <c r="OT20" s="64"/>
      <c r="OU20" s="64"/>
      <c r="OV20" s="64"/>
      <c r="OW20" s="64"/>
      <c r="OX20" s="64"/>
      <c r="OY20" s="64"/>
      <c r="OZ20" s="64"/>
      <c r="PA20" s="64"/>
      <c r="PB20" s="64"/>
      <c r="PC20" s="64"/>
      <c r="PD20" s="64"/>
      <c r="PE20" s="64"/>
      <c r="PF20" s="64"/>
      <c r="PG20" s="64"/>
      <c r="PH20" s="64"/>
      <c r="PI20" s="64"/>
      <c r="PJ20" s="64"/>
      <c r="PK20" s="64"/>
      <c r="PL20" s="64"/>
      <c r="PM20" s="64"/>
      <c r="PN20" s="64"/>
      <c r="PO20" s="64"/>
      <c r="PP20" s="64"/>
      <c r="PQ20" s="64"/>
      <c r="PR20" s="64"/>
      <c r="PS20" s="64"/>
      <c r="PT20" s="64"/>
      <c r="PU20" s="64"/>
      <c r="PV20" s="64"/>
      <c r="PW20" s="64"/>
      <c r="PX20" s="64"/>
      <c r="PY20" s="64"/>
      <c r="PZ20" s="64"/>
      <c r="QA20" s="64"/>
      <c r="QB20" s="64"/>
      <c r="QC20" s="64"/>
      <c r="QD20" s="64"/>
      <c r="QE20" s="64"/>
      <c r="QF20" s="64"/>
      <c r="QG20" s="64"/>
      <c r="QH20" s="64"/>
      <c r="QI20" s="64"/>
      <c r="QJ20" s="64"/>
      <c r="QK20" s="64"/>
      <c r="QL20" s="64"/>
      <c r="QM20" s="64"/>
      <c r="QN20" s="64"/>
      <c r="QO20" s="64"/>
      <c r="QP20" s="64"/>
      <c r="QQ20" s="64"/>
      <c r="QR20" s="64"/>
      <c r="QS20" s="64"/>
      <c r="QT20" s="64"/>
      <c r="QU20" s="64"/>
      <c r="QV20" s="64"/>
      <c r="QW20" s="64"/>
      <c r="QX20" s="64"/>
      <c r="QY20" s="64"/>
      <c r="QZ20" s="64"/>
      <c r="RA20" s="64"/>
      <c r="RB20" s="64"/>
      <c r="RC20" s="64"/>
      <c r="RD20" s="64"/>
      <c r="RE20" s="64"/>
      <c r="RF20" s="64"/>
      <c r="RG20" s="64"/>
      <c r="RH20" s="64"/>
      <c r="RI20" s="64"/>
      <c r="RJ20" s="64"/>
      <c r="RK20" s="64"/>
      <c r="RL20" s="64"/>
      <c r="RM20" s="64"/>
      <c r="RN20" s="64"/>
      <c r="RO20" s="64"/>
      <c r="RP20" s="64"/>
      <c r="RQ20" s="64"/>
      <c r="RR20" s="64"/>
      <c r="RS20" s="64"/>
      <c r="RT20" s="64"/>
      <c r="RU20" s="64"/>
      <c r="RV20" s="64"/>
      <c r="RW20" s="64"/>
      <c r="RX20" s="64"/>
      <c r="RY20" s="64"/>
      <c r="RZ20" s="64"/>
      <c r="SA20" s="64"/>
      <c r="SB20" s="64"/>
      <c r="SC20" s="64"/>
      <c r="SD20" s="64"/>
      <c r="SE20" s="64"/>
      <c r="SF20" s="64"/>
      <c r="SG20" s="64"/>
      <c r="SH20" s="64"/>
      <c r="SI20" s="64"/>
      <c r="SJ20" s="64"/>
      <c r="SK20" s="64"/>
      <c r="SL20" s="64"/>
      <c r="SM20" s="64"/>
      <c r="SN20" s="64"/>
      <c r="SO20" s="64"/>
      <c r="SP20" s="64"/>
      <c r="SQ20" s="64"/>
      <c r="SR20" s="64"/>
      <c r="SS20" s="64"/>
      <c r="ST20" s="64"/>
      <c r="SU20" s="64"/>
      <c r="SV20" s="64"/>
      <c r="SW20" s="64"/>
      <c r="SX20" s="64"/>
      <c r="SY20" s="64"/>
      <c r="SZ20" s="64"/>
      <c r="TA20" s="64"/>
      <c r="TB20" s="64"/>
      <c r="TC20" s="64"/>
      <c r="TD20" s="64"/>
      <c r="TE20" s="64"/>
      <c r="TF20" s="64"/>
      <c r="TG20" s="64"/>
      <c r="TH20" s="64"/>
      <c r="TI20" s="64"/>
      <c r="TJ20" s="64"/>
      <c r="TK20" s="64"/>
      <c r="TL20" s="64"/>
      <c r="TM20" s="64"/>
      <c r="TN20" s="64"/>
      <c r="TO20" s="64"/>
      <c r="TP20" s="64"/>
      <c r="TQ20" s="64"/>
      <c r="TR20" s="64"/>
      <c r="TS20" s="64"/>
      <c r="TT20" s="64"/>
      <c r="TU20" s="64"/>
      <c r="TV20" s="64"/>
      <c r="TW20" s="64"/>
      <c r="TX20" s="64"/>
      <c r="TY20" s="64"/>
      <c r="TZ20" s="64"/>
      <c r="UA20" s="64"/>
      <c r="UB20" s="64"/>
      <c r="UC20" s="64"/>
      <c r="UD20" s="64"/>
      <c r="UE20" s="64"/>
      <c r="UF20" s="64"/>
      <c r="UG20" s="64"/>
      <c r="UH20" s="64"/>
      <c r="UI20" s="64"/>
      <c r="UJ20" s="64"/>
      <c r="UK20" s="64"/>
      <c r="UL20" s="64"/>
      <c r="UM20" s="64"/>
      <c r="UN20" s="64"/>
      <c r="UO20" s="64"/>
      <c r="UP20" s="64"/>
      <c r="UQ20" s="64"/>
      <c r="UR20" s="64"/>
      <c r="US20" s="64"/>
      <c r="UT20" s="64"/>
      <c r="UU20" s="64"/>
      <c r="UV20" s="64"/>
      <c r="UW20" s="64"/>
      <c r="UX20" s="64"/>
      <c r="UY20" s="64"/>
      <c r="UZ20" s="64"/>
      <c r="VA20" s="64"/>
      <c r="VB20" s="64"/>
      <c r="VC20" s="64"/>
      <c r="VD20" s="64"/>
      <c r="VE20" s="64"/>
      <c r="VF20" s="64"/>
      <c r="VG20" s="64"/>
      <c r="VH20" s="64"/>
      <c r="VI20" s="64"/>
      <c r="VJ20" s="64"/>
      <c r="VK20" s="64"/>
      <c r="VL20" s="64"/>
      <c r="VM20" s="64"/>
      <c r="VN20" s="64"/>
      <c r="VO20" s="64"/>
      <c r="VP20" s="64"/>
      <c r="VQ20" s="64"/>
      <c r="VR20" s="64"/>
      <c r="VS20" s="64"/>
      <c r="VT20" s="64"/>
      <c r="VU20" s="64"/>
      <c r="VV20" s="64"/>
      <c r="VW20" s="64"/>
      <c r="VX20" s="64"/>
      <c r="VY20" s="64"/>
      <c r="VZ20" s="64"/>
      <c r="WA20" s="64"/>
      <c r="WB20" s="64"/>
      <c r="WC20" s="64"/>
      <c r="WD20" s="64"/>
      <c r="WE20" s="64"/>
      <c r="WF20" s="64"/>
      <c r="WG20" s="64"/>
      <c r="WH20" s="64"/>
      <c r="WI20" s="64"/>
      <c r="WJ20" s="64"/>
      <c r="WK20" s="64"/>
      <c r="WL20" s="64"/>
      <c r="WM20" s="64"/>
      <c r="WN20" s="64"/>
      <c r="WO20" s="64"/>
      <c r="WP20" s="64"/>
      <c r="WQ20" s="64"/>
      <c r="WR20" s="64"/>
      <c r="WS20" s="64"/>
      <c r="WT20" s="64"/>
      <c r="WU20" s="64"/>
      <c r="WV20" s="64"/>
      <c r="WW20" s="64"/>
      <c r="WX20" s="64"/>
      <c r="WY20" s="64"/>
      <c r="WZ20" s="64"/>
      <c r="XA20" s="64"/>
      <c r="XB20" s="64"/>
      <c r="XC20" s="64"/>
      <c r="XD20" s="64"/>
      <c r="XE20" s="64"/>
      <c r="XF20" s="64"/>
      <c r="XG20" s="64"/>
      <c r="XH20" s="64"/>
      <c r="XI20" s="64"/>
      <c r="XJ20" s="64"/>
      <c r="XK20" s="64"/>
      <c r="XL20" s="64"/>
      <c r="XM20" s="64"/>
      <c r="XN20" s="64"/>
      <c r="XO20" s="64"/>
      <c r="XP20" s="64"/>
      <c r="XQ20" s="64"/>
      <c r="XR20" s="64"/>
      <c r="XS20" s="64"/>
      <c r="XT20" s="64"/>
      <c r="XU20" s="64"/>
      <c r="XV20" s="64"/>
      <c r="XW20" s="64"/>
      <c r="XX20" s="64"/>
      <c r="XY20" s="64"/>
      <c r="XZ20" s="64"/>
      <c r="YA20" s="64"/>
      <c r="YB20" s="64"/>
      <c r="YC20" s="64"/>
      <c r="YD20" s="64"/>
      <c r="YE20" s="64"/>
      <c r="YF20" s="64"/>
      <c r="YG20" s="64"/>
      <c r="YH20" s="64"/>
      <c r="YI20" s="64"/>
      <c r="YJ20" s="64"/>
      <c r="YK20" s="64"/>
      <c r="YL20" s="64"/>
      <c r="YM20" s="64"/>
      <c r="YN20" s="64"/>
      <c r="YO20" s="64"/>
      <c r="YP20" s="64"/>
      <c r="YQ20" s="64"/>
      <c r="YR20" s="64"/>
      <c r="YS20" s="64"/>
      <c r="YT20" s="64"/>
      <c r="YU20" s="64"/>
      <c r="YV20" s="64"/>
      <c r="YW20" s="64"/>
      <c r="YX20" s="64"/>
      <c r="YY20" s="64"/>
      <c r="YZ20" s="64"/>
      <c r="ZA20" s="64"/>
      <c r="ZB20" s="64"/>
      <c r="ZC20" s="64"/>
      <c r="ZD20" s="64"/>
      <c r="ZE20" s="64"/>
      <c r="ZF20" s="64"/>
      <c r="ZG20" s="64"/>
      <c r="ZH20" s="64"/>
      <c r="ZI20" s="64"/>
      <c r="ZJ20" s="64"/>
      <c r="ZK20" s="64"/>
      <c r="ZL20" s="64"/>
      <c r="ZM20" s="64"/>
      <c r="ZN20" s="64"/>
      <c r="ZO20" s="64"/>
      <c r="ZP20" s="64"/>
      <c r="ZQ20" s="64"/>
      <c r="ZR20" s="64"/>
      <c r="ZS20" s="64"/>
      <c r="ZT20" s="64"/>
      <c r="ZU20" s="64"/>
      <c r="ZV20" s="64"/>
      <c r="ZW20" s="64"/>
      <c r="ZX20" s="64"/>
      <c r="ZY20" s="64"/>
      <c r="ZZ20" s="64"/>
      <c r="AAA20" s="64"/>
      <c r="AAB20" s="64"/>
      <c r="AAC20" s="64"/>
      <c r="AAD20" s="64"/>
      <c r="AAE20" s="64"/>
      <c r="AAF20" s="64"/>
      <c r="AAG20" s="64"/>
      <c r="AAH20" s="64"/>
      <c r="AAI20" s="64"/>
      <c r="AAJ20" s="64"/>
      <c r="AAK20" s="64"/>
      <c r="AAL20" s="64"/>
      <c r="AAM20" s="64"/>
      <c r="AAN20" s="64"/>
      <c r="AAO20" s="64"/>
      <c r="AAP20" s="64"/>
      <c r="AAQ20" s="64"/>
      <c r="AAR20" s="64"/>
      <c r="AAS20" s="64"/>
      <c r="AAT20" s="64"/>
      <c r="AAU20" s="64"/>
      <c r="AAV20" s="64"/>
      <c r="AAW20" s="64"/>
      <c r="AAX20" s="64"/>
      <c r="AAY20" s="64"/>
      <c r="AAZ20" s="64"/>
      <c r="ABA20" s="64"/>
      <c r="ABB20" s="64"/>
      <c r="ABC20" s="64"/>
      <c r="ABD20" s="64"/>
      <c r="ABE20" s="64"/>
      <c r="ABF20" s="64"/>
      <c r="ABG20" s="64"/>
      <c r="ABH20" s="64"/>
      <c r="ABI20" s="64"/>
      <c r="ABJ20" s="64"/>
      <c r="ABK20" s="64"/>
      <c r="ABL20" s="64"/>
      <c r="ABM20" s="64"/>
      <c r="ABN20" s="64"/>
      <c r="ABO20" s="64"/>
      <c r="ABP20" s="64"/>
      <c r="ABQ20" s="64"/>
      <c r="ABR20" s="64"/>
      <c r="ABS20" s="64"/>
      <c r="ABT20" s="64"/>
      <c r="ABU20" s="64"/>
      <c r="ABV20" s="64"/>
      <c r="ABW20" s="64"/>
      <c r="ABX20" s="64"/>
      <c r="ABY20" s="64"/>
      <c r="ABZ20" s="64"/>
      <c r="ACA20" s="64"/>
      <c r="ACB20" s="64"/>
      <c r="ACC20" s="64"/>
      <c r="ACD20" s="64"/>
      <c r="ACE20" s="64"/>
      <c r="ACF20" s="64"/>
      <c r="ACG20" s="64"/>
      <c r="ACH20" s="64"/>
      <c r="ACI20" s="64"/>
      <c r="ACJ20" s="64"/>
      <c r="ACK20" s="64"/>
      <c r="ACL20" s="64"/>
      <c r="ACM20" s="64"/>
      <c r="ACN20" s="64"/>
      <c r="ACO20" s="64"/>
      <c r="ACP20" s="64"/>
      <c r="ACQ20" s="64"/>
      <c r="ACR20" s="64"/>
      <c r="ACS20" s="64"/>
      <c r="ACT20" s="64"/>
      <c r="ACU20" s="64"/>
      <c r="ACV20" s="64"/>
      <c r="ACW20" s="64"/>
      <c r="ACX20" s="64"/>
      <c r="ACY20" s="64"/>
      <c r="ACZ20" s="64"/>
      <c r="ADA20" s="64"/>
      <c r="ADB20" s="64"/>
      <c r="ADC20" s="64"/>
      <c r="ADD20" s="64"/>
      <c r="ADE20" s="64"/>
      <c r="ADF20" s="64"/>
      <c r="ADG20" s="64"/>
      <c r="ADH20" s="64"/>
      <c r="ADI20" s="64"/>
      <c r="ADJ20" s="64"/>
      <c r="ADK20" s="64"/>
      <c r="ADL20" s="64"/>
      <c r="ADM20" s="64"/>
      <c r="ADN20" s="64"/>
      <c r="ADO20" s="64"/>
      <c r="ADP20" s="64"/>
      <c r="ADQ20" s="64"/>
      <c r="ADR20" s="64"/>
      <c r="ADS20" s="64"/>
      <c r="ADT20" s="64"/>
      <c r="ADU20" s="64"/>
      <c r="ADV20" s="64"/>
      <c r="ADW20" s="64"/>
      <c r="ADX20" s="64"/>
      <c r="ADY20" s="64"/>
      <c r="ADZ20" s="64"/>
      <c r="AEA20" s="64"/>
      <c r="AEB20" s="64"/>
      <c r="AEC20" s="64"/>
      <c r="AED20" s="64"/>
      <c r="AEE20" s="64"/>
      <c r="AEF20" s="64"/>
      <c r="AEG20" s="64"/>
      <c r="AEH20" s="64"/>
      <c r="AEI20" s="64"/>
      <c r="AEJ20" s="64"/>
      <c r="AEK20" s="64"/>
      <c r="AEL20" s="64"/>
      <c r="AEM20" s="64"/>
      <c r="AEN20" s="64"/>
      <c r="AEO20" s="64"/>
      <c r="AEP20" s="64"/>
      <c r="AEQ20" s="64"/>
      <c r="AER20" s="64"/>
      <c r="AES20" s="64"/>
      <c r="AET20" s="64"/>
      <c r="AEU20" s="64"/>
      <c r="AEV20" s="64"/>
      <c r="AEW20" s="64"/>
      <c r="AEX20" s="64"/>
      <c r="AEY20" s="64"/>
      <c r="AEZ20" s="64"/>
      <c r="AFA20" s="64"/>
      <c r="AFB20" s="64"/>
      <c r="AFC20" s="64"/>
      <c r="AFD20" s="64"/>
      <c r="AFE20" s="64"/>
      <c r="AFF20" s="64"/>
      <c r="AFG20" s="64"/>
      <c r="AFH20" s="64"/>
      <c r="AFI20" s="64"/>
      <c r="AFJ20" s="64"/>
      <c r="AFK20" s="64"/>
      <c r="AFL20" s="64"/>
      <c r="AFM20" s="64"/>
      <c r="AFN20" s="64"/>
      <c r="AFO20" s="64"/>
      <c r="AFP20" s="64"/>
      <c r="AFQ20" s="64"/>
      <c r="AFR20" s="64"/>
      <c r="AFS20" s="64"/>
      <c r="AFT20" s="64"/>
      <c r="AFU20" s="64"/>
      <c r="AFV20" s="64"/>
      <c r="AFW20" s="64"/>
      <c r="AFX20" s="64"/>
      <c r="AFY20" s="64"/>
      <c r="AFZ20" s="64"/>
      <c r="AGA20" s="64"/>
      <c r="AGB20" s="64"/>
      <c r="AGC20" s="64"/>
      <c r="AGD20" s="64"/>
      <c r="AGE20" s="64"/>
      <c r="AGF20" s="64"/>
      <c r="AGG20" s="64"/>
      <c r="AGH20" s="64"/>
      <c r="AGI20" s="64"/>
      <c r="AGJ20" s="64"/>
      <c r="AGK20" s="64"/>
      <c r="AGL20" s="64"/>
      <c r="AGM20" s="64"/>
      <c r="AGN20" s="64"/>
      <c r="AGO20" s="64"/>
      <c r="AGP20" s="64"/>
      <c r="AGQ20" s="64"/>
      <c r="AGR20" s="64"/>
      <c r="AGS20" s="64"/>
      <c r="AGT20" s="64"/>
      <c r="AGU20" s="64"/>
      <c r="AGV20" s="64"/>
      <c r="AGW20" s="64"/>
      <c r="AGX20" s="64"/>
      <c r="AGY20" s="64"/>
      <c r="AGZ20" s="64"/>
      <c r="AHA20" s="64"/>
      <c r="AHB20" s="64"/>
      <c r="AHC20" s="64"/>
      <c r="AHD20" s="64"/>
      <c r="AHE20" s="64"/>
      <c r="AHF20" s="64"/>
      <c r="AHG20" s="64"/>
      <c r="AHH20" s="64"/>
      <c r="AHI20" s="64"/>
      <c r="AHJ20" s="64"/>
      <c r="AHK20" s="64"/>
      <c r="AHL20" s="64"/>
      <c r="AHM20" s="64"/>
      <c r="AHN20" s="64"/>
      <c r="AHO20" s="64"/>
      <c r="AHP20" s="64"/>
      <c r="AHQ20" s="64"/>
      <c r="AHR20" s="64"/>
      <c r="AHS20" s="64"/>
      <c r="AHT20" s="64"/>
      <c r="AHU20" s="64"/>
      <c r="AHV20" s="64"/>
      <c r="AHW20" s="64"/>
      <c r="AHX20" s="64"/>
      <c r="AHY20" s="64"/>
      <c r="AHZ20" s="64"/>
      <c r="AIA20" s="64"/>
      <c r="AIB20" s="64"/>
      <c r="AIC20" s="64"/>
      <c r="AID20" s="64"/>
      <c r="AIE20" s="64"/>
      <c r="AIF20" s="64"/>
      <c r="AIG20" s="64"/>
      <c r="AIH20" s="64"/>
      <c r="AII20" s="64"/>
      <c r="AIJ20" s="64"/>
      <c r="AIK20" s="64"/>
      <c r="AIL20" s="64"/>
      <c r="AIM20" s="64"/>
      <c r="AIN20" s="64"/>
      <c r="AIO20" s="64"/>
      <c r="AIP20" s="64"/>
      <c r="AIQ20" s="64"/>
      <c r="AIR20" s="64"/>
      <c r="AIS20" s="64"/>
      <c r="AIT20" s="64"/>
      <c r="AIU20" s="64"/>
      <c r="AIV20" s="64"/>
      <c r="AIW20" s="64"/>
      <c r="AIX20" s="64"/>
      <c r="AIY20" s="64"/>
      <c r="AIZ20" s="64"/>
      <c r="AJA20" s="64"/>
      <c r="AJB20" s="64"/>
      <c r="AJC20" s="64"/>
      <c r="AJD20" s="64"/>
      <c r="AJE20" s="64"/>
      <c r="AJF20" s="64"/>
      <c r="AJG20" s="64"/>
      <c r="AJH20" s="64"/>
      <c r="AJI20" s="64"/>
      <c r="AJJ20" s="64"/>
      <c r="AJK20" s="64"/>
      <c r="AJL20" s="64"/>
      <c r="AJM20" s="64"/>
      <c r="AJN20" s="64"/>
      <c r="AJO20" s="64"/>
      <c r="AJP20" s="64"/>
      <c r="AJQ20" s="64"/>
      <c r="AJR20" s="64"/>
      <c r="AJS20" s="64"/>
      <c r="AJT20" s="64"/>
      <c r="AJU20" s="64"/>
      <c r="AJV20" s="64"/>
      <c r="AJW20" s="64"/>
      <c r="AJX20" s="64"/>
      <c r="AJY20" s="64"/>
      <c r="AJZ20" s="64"/>
      <c r="AKA20" s="64"/>
      <c r="AKB20" s="64"/>
      <c r="AKC20" s="64"/>
      <c r="AKD20" s="64"/>
      <c r="AKE20" s="64"/>
      <c r="AKF20" s="64"/>
      <c r="AKG20" s="64"/>
      <c r="AKH20" s="64"/>
      <c r="AKI20" s="64"/>
      <c r="AKJ20" s="64"/>
      <c r="AKK20" s="64"/>
      <c r="AKL20" s="64"/>
      <c r="AKM20" s="64"/>
      <c r="AKN20" s="64"/>
      <c r="AKO20" s="64"/>
      <c r="AKP20" s="64"/>
      <c r="AKQ20" s="64"/>
      <c r="AKR20" s="64"/>
      <c r="AKS20" s="64"/>
      <c r="AKT20" s="64"/>
      <c r="AKU20" s="64"/>
      <c r="AKV20" s="64"/>
      <c r="AKW20" s="64"/>
      <c r="AKX20" s="64"/>
      <c r="AKY20" s="64"/>
      <c r="AKZ20" s="64"/>
      <c r="ALA20" s="64"/>
      <c r="ALB20" s="64"/>
      <c r="ALC20" s="64"/>
      <c r="ALD20" s="64"/>
      <c r="ALE20" s="64"/>
      <c r="ALF20" s="64"/>
      <c r="ALG20" s="64"/>
      <c r="ALH20" s="64"/>
      <c r="ALI20" s="64"/>
      <c r="ALJ20" s="64"/>
      <c r="ALK20" s="64"/>
      <c r="ALL20" s="64"/>
      <c r="ALM20" s="64"/>
      <c r="ALN20" s="64"/>
      <c r="ALO20" s="64"/>
      <c r="ALP20" s="64"/>
      <c r="ALQ20" s="64"/>
      <c r="ALR20" s="64"/>
      <c r="ALS20" s="64"/>
      <c r="ALT20" s="64"/>
      <c r="ALU20" s="64"/>
      <c r="ALV20" s="64"/>
      <c r="ALW20" s="64"/>
      <c r="ALX20" s="64"/>
      <c r="ALY20" s="64"/>
      <c r="ALZ20" s="64"/>
      <c r="AMA20" s="64"/>
      <c r="AMB20" s="64"/>
      <c r="AMC20" s="64"/>
      <c r="AMD20" s="64"/>
      <c r="AME20" s="64"/>
      <c r="AMF20" s="64"/>
      <c r="AMG20" s="64"/>
      <c r="AMH20" s="64"/>
      <c r="AMI20" s="64"/>
      <c r="AMJ20" s="64"/>
      <c r="AMK20" s="64"/>
      <c r="AML20" s="64"/>
      <c r="AMM20" s="64"/>
      <c r="AMN20" s="64"/>
      <c r="AMO20" s="64"/>
      <c r="AMP20" s="64"/>
      <c r="AMQ20" s="64"/>
      <c r="AMR20" s="64"/>
      <c r="AMS20" s="64"/>
      <c r="AMT20" s="64"/>
      <c r="AMU20" s="64"/>
      <c r="AMV20" s="64"/>
      <c r="AMW20" s="64"/>
      <c r="AMX20" s="64"/>
      <c r="AMY20" s="64"/>
      <c r="AMZ20" s="64"/>
      <c r="ANA20" s="64"/>
      <c r="ANB20" s="64"/>
      <c r="ANC20" s="64"/>
      <c r="AND20" s="64"/>
      <c r="ANE20" s="64"/>
      <c r="ANF20" s="64"/>
      <c r="ANG20" s="64"/>
      <c r="ANH20" s="64"/>
      <c r="ANI20" s="64"/>
      <c r="ANJ20" s="64"/>
      <c r="ANK20" s="64"/>
      <c r="ANL20" s="64"/>
      <c r="ANM20" s="64"/>
      <c r="ANN20" s="64"/>
      <c r="ANO20" s="64"/>
      <c r="ANP20" s="64"/>
      <c r="ANQ20" s="64"/>
      <c r="ANR20" s="64"/>
      <c r="ANS20" s="64"/>
      <c r="ANT20" s="64"/>
      <c r="ANU20" s="64"/>
      <c r="ANV20" s="64"/>
      <c r="ANW20" s="64"/>
      <c r="ANX20" s="64"/>
      <c r="ANY20" s="64"/>
      <c r="ANZ20" s="64"/>
      <c r="AOA20" s="64"/>
      <c r="AOB20" s="64"/>
      <c r="AOC20" s="64"/>
      <c r="AOD20" s="64"/>
      <c r="AOE20" s="64"/>
      <c r="AOF20" s="64"/>
      <c r="AOG20" s="64"/>
      <c r="AOH20" s="64"/>
      <c r="AOI20" s="64"/>
      <c r="AOJ20" s="64"/>
      <c r="AOK20" s="64"/>
      <c r="AOL20" s="64"/>
      <c r="AOM20" s="64"/>
      <c r="AON20" s="64"/>
      <c r="AOO20" s="64"/>
      <c r="AOP20" s="64"/>
      <c r="AOQ20" s="64"/>
      <c r="AOR20" s="64"/>
      <c r="AOS20" s="64"/>
      <c r="AOT20" s="64"/>
      <c r="AOU20" s="64"/>
      <c r="AOV20" s="64"/>
      <c r="AOW20" s="64"/>
      <c r="AOX20" s="64"/>
      <c r="AOY20" s="64"/>
      <c r="AOZ20" s="64"/>
      <c r="APA20" s="64"/>
      <c r="APB20" s="64"/>
      <c r="APC20" s="64"/>
      <c r="APD20" s="64"/>
      <c r="APE20" s="64"/>
      <c r="APF20" s="64"/>
      <c r="APG20" s="64"/>
      <c r="APH20" s="64"/>
      <c r="API20" s="64"/>
      <c r="APJ20" s="64"/>
      <c r="APK20" s="64"/>
      <c r="APL20" s="64"/>
      <c r="APM20" s="64"/>
      <c r="APN20" s="64"/>
      <c r="APO20" s="64"/>
      <c r="APP20" s="64"/>
      <c r="APQ20" s="64"/>
      <c r="APR20" s="64"/>
      <c r="APS20" s="64"/>
      <c r="APT20" s="64"/>
      <c r="APU20" s="64"/>
      <c r="APV20" s="64"/>
      <c r="APW20" s="64"/>
      <c r="APX20" s="64"/>
      <c r="APY20" s="64"/>
      <c r="APZ20" s="64"/>
      <c r="AQA20" s="64"/>
      <c r="AQB20" s="64"/>
      <c r="AQC20" s="64"/>
      <c r="AQD20" s="64"/>
      <c r="AQE20" s="64"/>
      <c r="AQF20" s="64"/>
      <c r="AQG20" s="64"/>
      <c r="AQH20" s="64"/>
      <c r="AQI20" s="64"/>
      <c r="AQJ20" s="64"/>
      <c r="AQK20" s="64"/>
      <c r="AQL20" s="64"/>
      <c r="AQM20" s="64"/>
      <c r="AQN20" s="64"/>
      <c r="AQO20" s="64"/>
      <c r="AQP20" s="64"/>
      <c r="AQQ20" s="64"/>
      <c r="AQR20" s="64"/>
      <c r="AQS20" s="64"/>
      <c r="AQT20" s="64"/>
      <c r="AQU20" s="64"/>
      <c r="AQV20" s="64"/>
      <c r="AQW20" s="64"/>
      <c r="AQX20" s="64"/>
      <c r="AQY20" s="64"/>
      <c r="AQZ20" s="64"/>
      <c r="ARA20" s="64"/>
      <c r="ARB20" s="64"/>
      <c r="ARC20" s="64"/>
      <c r="ARD20" s="64"/>
      <c r="ARE20" s="64"/>
      <c r="ARF20" s="64"/>
      <c r="ARG20" s="64"/>
      <c r="ARH20" s="64"/>
      <c r="ARI20" s="64"/>
      <c r="ARJ20" s="64"/>
      <c r="ARK20" s="64"/>
      <c r="ARL20" s="64"/>
      <c r="ARM20" s="64"/>
      <c r="ARN20" s="64"/>
      <c r="ARO20" s="64"/>
      <c r="ARP20" s="64"/>
      <c r="ARQ20" s="64"/>
      <c r="ARR20" s="64"/>
      <c r="ARS20" s="64"/>
      <c r="ART20" s="64"/>
      <c r="ARU20" s="64"/>
      <c r="ARV20" s="64"/>
      <c r="ARW20" s="64"/>
      <c r="ARX20" s="64"/>
      <c r="ARY20" s="64"/>
      <c r="ARZ20" s="64"/>
      <c r="ASA20" s="64"/>
      <c r="ASB20" s="64"/>
      <c r="ASC20" s="64"/>
      <c r="ASD20" s="64"/>
      <c r="ASE20" s="64"/>
      <c r="ASF20" s="64"/>
      <c r="ASG20" s="64"/>
      <c r="ASH20" s="64"/>
      <c r="ASI20" s="64"/>
      <c r="ASJ20" s="64"/>
      <c r="ASK20" s="64"/>
      <c r="ASL20" s="64"/>
      <c r="ASM20" s="64"/>
      <c r="ASN20" s="64"/>
      <c r="ASO20" s="64"/>
      <c r="ASP20" s="64"/>
      <c r="ASQ20" s="64"/>
      <c r="ASR20" s="64"/>
      <c r="ASS20" s="64"/>
      <c r="AST20" s="64"/>
      <c r="ASU20" s="64"/>
      <c r="ASV20" s="64"/>
      <c r="ASW20" s="64"/>
      <c r="ASX20" s="64"/>
      <c r="ASY20" s="64"/>
      <c r="ASZ20" s="64"/>
      <c r="ATA20" s="64"/>
      <c r="ATB20" s="64"/>
      <c r="ATC20" s="64"/>
      <c r="ATD20" s="64"/>
      <c r="ATE20" s="64"/>
      <c r="ATF20" s="64"/>
      <c r="ATG20" s="64"/>
      <c r="ATH20" s="64"/>
      <c r="ATI20" s="64"/>
      <c r="ATJ20" s="64"/>
      <c r="ATK20" s="64"/>
      <c r="ATL20" s="64"/>
      <c r="ATM20" s="64"/>
      <c r="ATN20" s="64"/>
      <c r="ATO20" s="64"/>
      <c r="ATP20" s="64"/>
      <c r="ATQ20" s="64"/>
      <c r="ATR20" s="64"/>
      <c r="ATS20" s="64"/>
      <c r="ATT20" s="64"/>
      <c r="ATU20" s="64"/>
      <c r="ATV20" s="64"/>
      <c r="ATW20" s="64"/>
      <c r="ATX20" s="64"/>
      <c r="ATY20" s="64"/>
      <c r="ATZ20" s="64"/>
      <c r="AUA20" s="64"/>
      <c r="AUB20" s="64"/>
      <c r="AUC20" s="64"/>
      <c r="AUD20" s="64"/>
      <c r="AUE20" s="64"/>
      <c r="AUF20" s="64"/>
      <c r="AUG20" s="64"/>
      <c r="AUH20" s="64"/>
      <c r="AUI20" s="64"/>
      <c r="AUJ20" s="64"/>
      <c r="AUK20" s="64"/>
      <c r="AUL20" s="64"/>
      <c r="AUM20" s="64"/>
      <c r="AUN20" s="64"/>
      <c r="AUO20" s="64"/>
      <c r="AUP20" s="64"/>
      <c r="AUQ20" s="64"/>
      <c r="AUR20" s="64"/>
      <c r="AUS20" s="64"/>
      <c r="AUT20" s="64"/>
      <c r="AUU20" s="64"/>
      <c r="AUV20" s="64"/>
      <c r="AUW20" s="64"/>
      <c r="AUX20" s="64"/>
      <c r="AUY20" s="64"/>
      <c r="AUZ20" s="64"/>
      <c r="AVA20" s="64"/>
      <c r="AVB20" s="64"/>
      <c r="AVC20" s="64"/>
      <c r="AVD20" s="64"/>
      <c r="AVE20" s="64"/>
      <c r="AVF20" s="64"/>
      <c r="AVG20" s="64"/>
      <c r="AVH20" s="64"/>
      <c r="AVI20" s="64"/>
      <c r="AVJ20" s="64"/>
      <c r="AVK20" s="64"/>
      <c r="AVL20" s="64"/>
      <c r="AVM20" s="64"/>
      <c r="AVN20" s="64"/>
      <c r="AVO20" s="64"/>
      <c r="AVP20" s="64"/>
      <c r="AVQ20" s="64"/>
      <c r="AVR20" s="64"/>
      <c r="AVS20" s="64"/>
      <c r="AVT20" s="64"/>
      <c r="AVU20" s="64"/>
      <c r="AVV20" s="64"/>
      <c r="AVW20" s="64"/>
      <c r="AVX20" s="64"/>
      <c r="AVY20" s="64"/>
      <c r="AVZ20" s="64"/>
      <c r="AWA20" s="64"/>
      <c r="AWB20" s="64"/>
      <c r="AWC20" s="64"/>
      <c r="AWD20" s="64"/>
      <c r="AWE20" s="64"/>
      <c r="AWF20" s="64"/>
      <c r="AWG20" s="64"/>
      <c r="AWH20" s="64"/>
      <c r="AWI20" s="64"/>
      <c r="AWJ20" s="64"/>
      <c r="AWK20" s="64"/>
      <c r="AWL20" s="64"/>
      <c r="AWM20" s="64"/>
      <c r="AWN20" s="64"/>
      <c r="AWO20" s="64"/>
      <c r="AWP20" s="64"/>
      <c r="AWQ20" s="64"/>
      <c r="AWR20" s="64"/>
      <c r="AWS20" s="64"/>
      <c r="AWT20" s="64"/>
      <c r="AWU20" s="64"/>
      <c r="AWV20" s="64"/>
      <c r="AWW20" s="64"/>
      <c r="AWX20" s="64"/>
      <c r="AWY20" s="64"/>
      <c r="AWZ20" s="64"/>
      <c r="AXA20" s="64"/>
      <c r="AXB20" s="64"/>
      <c r="AXC20" s="64"/>
      <c r="AXD20" s="64"/>
      <c r="AXE20" s="64"/>
      <c r="AXF20" s="64"/>
      <c r="AXG20" s="64"/>
      <c r="AXH20" s="64"/>
      <c r="AXI20" s="64"/>
      <c r="AXJ20" s="64"/>
      <c r="AXK20" s="64"/>
      <c r="AXL20" s="64"/>
      <c r="AXM20" s="64"/>
      <c r="AXN20" s="64"/>
      <c r="AXO20" s="64"/>
      <c r="AXP20" s="64"/>
      <c r="AXQ20" s="64"/>
      <c r="AXR20" s="64"/>
      <c r="AXS20" s="64"/>
      <c r="AXT20" s="64"/>
      <c r="AXU20" s="64"/>
      <c r="AXV20" s="64"/>
      <c r="AXW20" s="64"/>
      <c r="AXX20" s="64"/>
      <c r="AXY20" s="64"/>
      <c r="AXZ20" s="64"/>
      <c r="AYA20" s="64"/>
      <c r="AYB20" s="64"/>
      <c r="AYC20" s="64"/>
      <c r="AYD20" s="64"/>
      <c r="AYE20" s="64"/>
      <c r="AYF20" s="64"/>
      <c r="AYG20" s="64"/>
      <c r="AYH20" s="64"/>
      <c r="AYI20" s="64"/>
      <c r="AYJ20" s="64"/>
      <c r="AYK20" s="64"/>
      <c r="AYL20" s="64"/>
      <c r="AYM20" s="64"/>
      <c r="AYN20" s="64"/>
      <c r="AYO20" s="64"/>
      <c r="AYP20" s="64"/>
      <c r="AYQ20" s="64"/>
      <c r="AYR20" s="64"/>
      <c r="AYS20" s="64"/>
      <c r="AYT20" s="64"/>
      <c r="AYU20" s="64"/>
      <c r="AYV20" s="64"/>
      <c r="AYW20" s="64"/>
      <c r="AYX20" s="64"/>
      <c r="AYY20" s="64"/>
      <c r="AYZ20" s="64"/>
      <c r="AZA20" s="64"/>
      <c r="AZB20" s="64"/>
      <c r="AZC20" s="64"/>
      <c r="AZD20" s="64"/>
      <c r="AZE20" s="64"/>
      <c r="AZF20" s="64"/>
      <c r="AZG20" s="64"/>
      <c r="AZH20" s="64"/>
      <c r="AZI20" s="64"/>
      <c r="AZJ20" s="64"/>
      <c r="AZK20" s="64"/>
      <c r="AZL20" s="64"/>
      <c r="AZM20" s="64"/>
      <c r="AZN20" s="64"/>
      <c r="AZO20" s="64"/>
      <c r="AZP20" s="64"/>
      <c r="AZQ20" s="64"/>
      <c r="AZR20" s="64"/>
      <c r="AZS20" s="64"/>
      <c r="AZT20" s="64"/>
      <c r="AZU20" s="64"/>
      <c r="AZV20" s="64"/>
      <c r="AZW20" s="64"/>
      <c r="AZX20" s="64"/>
      <c r="AZY20" s="64"/>
      <c r="AZZ20" s="64"/>
      <c r="BAA20" s="64"/>
      <c r="BAB20" s="64"/>
      <c r="BAC20" s="64"/>
      <c r="BAD20" s="64"/>
      <c r="BAE20" s="64"/>
      <c r="BAF20" s="64"/>
      <c r="BAG20" s="64"/>
      <c r="BAH20" s="64"/>
      <c r="BAI20" s="64"/>
      <c r="BAJ20" s="64"/>
      <c r="BAK20" s="64"/>
      <c r="BAL20" s="64"/>
      <c r="BAM20" s="64"/>
      <c r="BAN20" s="64"/>
      <c r="BAO20" s="64"/>
      <c r="BAP20" s="64"/>
      <c r="BAQ20" s="64"/>
      <c r="BAR20" s="64"/>
      <c r="BAS20" s="64"/>
      <c r="BAT20" s="64"/>
      <c r="BAU20" s="64"/>
      <c r="BAV20" s="64"/>
      <c r="BAW20" s="64"/>
      <c r="BAX20" s="64"/>
      <c r="BAY20" s="64"/>
      <c r="BAZ20" s="64"/>
      <c r="BBA20" s="64"/>
      <c r="BBB20" s="64"/>
      <c r="BBC20" s="64"/>
      <c r="BBD20" s="64"/>
      <c r="BBE20" s="64"/>
      <c r="BBF20" s="64"/>
      <c r="BBG20" s="64"/>
      <c r="BBH20" s="64"/>
      <c r="BBI20" s="64"/>
      <c r="BBJ20" s="64"/>
      <c r="BBK20" s="64"/>
      <c r="BBL20" s="64"/>
      <c r="BBM20" s="64"/>
      <c r="BBN20" s="64"/>
      <c r="BBO20" s="64"/>
      <c r="BBP20" s="64"/>
      <c r="BBQ20" s="64"/>
      <c r="BBR20" s="64"/>
      <c r="BBS20" s="64"/>
      <c r="BBT20" s="64"/>
      <c r="BBU20" s="64"/>
      <c r="BBV20" s="64"/>
      <c r="BBW20" s="64"/>
      <c r="BBX20" s="64"/>
      <c r="BBY20" s="64"/>
      <c r="BBZ20" s="64"/>
      <c r="BCA20" s="64"/>
      <c r="BCB20" s="64"/>
      <c r="BCC20" s="64"/>
      <c r="BCD20" s="64"/>
      <c r="BCE20" s="64"/>
      <c r="BCF20" s="64"/>
      <c r="BCG20" s="64"/>
      <c r="BCH20" s="64"/>
      <c r="BCI20" s="64"/>
      <c r="BCJ20" s="64"/>
      <c r="BCK20" s="64"/>
      <c r="BCL20" s="64"/>
      <c r="BCM20" s="64"/>
      <c r="BCN20" s="64"/>
      <c r="BCO20" s="64"/>
      <c r="BCP20" s="64"/>
      <c r="BCQ20" s="64"/>
      <c r="BCR20" s="64"/>
      <c r="BCS20" s="64"/>
      <c r="BCT20" s="64"/>
      <c r="BCU20" s="64"/>
      <c r="BCV20" s="64"/>
      <c r="BCW20" s="64"/>
      <c r="BCX20" s="64"/>
      <c r="BCY20" s="64"/>
      <c r="BCZ20" s="64"/>
      <c r="BDA20" s="64"/>
      <c r="BDB20" s="64"/>
      <c r="BDC20" s="64"/>
      <c r="BDD20" s="64"/>
      <c r="BDE20" s="64"/>
      <c r="BDF20" s="64"/>
      <c r="BDG20" s="64"/>
      <c r="BDH20" s="64"/>
      <c r="BDI20" s="64"/>
      <c r="BDJ20" s="64"/>
      <c r="BDK20" s="64"/>
      <c r="BDL20" s="64"/>
      <c r="BDM20" s="64"/>
      <c r="BDN20" s="64"/>
      <c r="BDO20" s="64"/>
      <c r="BDP20" s="64"/>
      <c r="BDQ20" s="64"/>
      <c r="BDR20" s="64"/>
      <c r="BDS20" s="64"/>
      <c r="BDT20" s="64"/>
      <c r="BDU20" s="64"/>
      <c r="BDV20" s="64"/>
      <c r="BDW20" s="64"/>
      <c r="BDX20" s="64"/>
      <c r="BDY20" s="64"/>
      <c r="BDZ20" s="64"/>
      <c r="BEA20" s="64"/>
      <c r="BEB20" s="64"/>
      <c r="BEC20" s="64"/>
      <c r="BED20" s="64"/>
      <c r="BEE20" s="64"/>
      <c r="BEF20" s="64"/>
      <c r="BEG20" s="64"/>
      <c r="BEH20" s="64"/>
      <c r="BEI20" s="64"/>
      <c r="BEJ20" s="64"/>
      <c r="BEK20" s="64"/>
      <c r="BEL20" s="64"/>
      <c r="BEM20" s="64"/>
      <c r="BEN20" s="64"/>
      <c r="BEO20" s="64"/>
      <c r="BEP20" s="64"/>
      <c r="BEQ20" s="64"/>
      <c r="BER20" s="64"/>
      <c r="BES20" s="64"/>
      <c r="BET20" s="64"/>
      <c r="BEU20" s="64"/>
      <c r="BEV20" s="64"/>
      <c r="BEW20" s="64"/>
      <c r="BEX20" s="64"/>
      <c r="BEY20" s="64"/>
      <c r="BEZ20" s="64"/>
      <c r="BFA20" s="64"/>
      <c r="BFB20" s="64"/>
      <c r="BFC20" s="64"/>
      <c r="BFD20" s="64"/>
      <c r="BFE20" s="64"/>
      <c r="BFF20" s="64"/>
      <c r="BFG20" s="64"/>
      <c r="BFH20" s="64"/>
      <c r="BFI20" s="64"/>
      <c r="BFJ20" s="64"/>
      <c r="BFK20" s="64"/>
      <c r="BFL20" s="64"/>
      <c r="BFM20" s="64"/>
      <c r="BFN20" s="64"/>
      <c r="BFO20" s="64"/>
      <c r="BFP20" s="64"/>
      <c r="BFQ20" s="64"/>
      <c r="BFR20" s="64"/>
      <c r="BFS20" s="64"/>
      <c r="BFT20" s="64"/>
      <c r="BFU20" s="64"/>
      <c r="BFV20" s="64"/>
      <c r="BFW20" s="64"/>
      <c r="BFX20" s="64"/>
      <c r="BFY20" s="64"/>
      <c r="BFZ20" s="64"/>
      <c r="BGA20" s="64"/>
      <c r="BGB20" s="64"/>
      <c r="BGC20" s="64"/>
      <c r="BGD20" s="64"/>
      <c r="BGE20" s="64"/>
      <c r="BGF20" s="64"/>
      <c r="BGG20" s="64"/>
      <c r="BGH20" s="64"/>
      <c r="BGI20" s="64"/>
      <c r="BGJ20" s="64"/>
      <c r="BGK20" s="64"/>
      <c r="BGL20" s="64"/>
      <c r="BGM20" s="64"/>
      <c r="BGN20" s="64"/>
      <c r="BGO20" s="64"/>
      <c r="BGP20" s="64"/>
      <c r="BGQ20" s="64"/>
      <c r="BGR20" s="64"/>
      <c r="BGS20" s="64"/>
      <c r="BGT20" s="64"/>
      <c r="BGU20" s="64"/>
      <c r="BGV20" s="64"/>
      <c r="BGW20" s="64"/>
      <c r="BGX20" s="64"/>
      <c r="BGY20" s="64"/>
      <c r="BGZ20" s="64"/>
      <c r="BHA20" s="64"/>
      <c r="BHB20" s="64"/>
      <c r="BHC20" s="64"/>
      <c r="BHD20" s="64"/>
      <c r="BHE20" s="64"/>
      <c r="BHF20" s="64"/>
      <c r="BHG20" s="64"/>
      <c r="BHH20" s="64"/>
      <c r="BHI20" s="64"/>
      <c r="BHJ20" s="64"/>
      <c r="BHK20" s="64"/>
      <c r="BHL20" s="64"/>
      <c r="BHM20" s="64"/>
      <c r="BHN20" s="64"/>
      <c r="BHO20" s="64"/>
      <c r="BHP20" s="64"/>
      <c r="BHQ20" s="64"/>
      <c r="BHR20" s="64"/>
      <c r="BHS20" s="64"/>
      <c r="BHT20" s="64"/>
      <c r="BHU20" s="64"/>
      <c r="BHV20" s="64"/>
      <c r="BHW20" s="64"/>
      <c r="BHX20" s="64"/>
      <c r="BHY20" s="64"/>
      <c r="BHZ20" s="64"/>
      <c r="BIA20" s="64"/>
      <c r="BIB20" s="64"/>
      <c r="BIC20" s="64"/>
      <c r="BID20" s="64"/>
      <c r="BIE20" s="64"/>
      <c r="BIF20" s="64"/>
      <c r="BIG20" s="64"/>
      <c r="BIH20" s="64"/>
      <c r="BII20" s="64"/>
      <c r="BIJ20" s="64"/>
      <c r="BIK20" s="64"/>
      <c r="BIL20" s="64"/>
      <c r="BIM20" s="64"/>
      <c r="BIN20" s="64"/>
      <c r="BIO20" s="64"/>
      <c r="BIP20" s="64"/>
      <c r="BIQ20" s="64"/>
      <c r="BIR20" s="64"/>
      <c r="BIS20" s="64"/>
      <c r="BIT20" s="64"/>
      <c r="BIU20" s="64"/>
      <c r="BIV20" s="64"/>
      <c r="BIW20" s="64"/>
      <c r="BIX20" s="64"/>
      <c r="BIY20" s="64"/>
      <c r="BIZ20" s="64"/>
      <c r="BJA20" s="64"/>
      <c r="BJB20" s="64"/>
      <c r="BJC20" s="64"/>
      <c r="BJD20" s="64"/>
      <c r="BJE20" s="64"/>
      <c r="BJF20" s="64"/>
      <c r="BJG20" s="64"/>
      <c r="BJH20" s="64"/>
      <c r="BJI20" s="64"/>
      <c r="BJJ20" s="64"/>
      <c r="BJK20" s="64"/>
      <c r="BJL20" s="64"/>
      <c r="BJM20" s="64"/>
      <c r="BJN20" s="64"/>
      <c r="BJO20" s="64"/>
      <c r="BJP20" s="64"/>
      <c r="BJQ20" s="64"/>
      <c r="BJR20" s="64"/>
      <c r="BJS20" s="64"/>
      <c r="BJT20" s="64"/>
      <c r="BJU20" s="64"/>
      <c r="BJV20" s="64"/>
      <c r="BJW20" s="64"/>
      <c r="BJX20" s="64"/>
      <c r="BJY20" s="64"/>
      <c r="BJZ20" s="64"/>
      <c r="BKA20" s="64"/>
      <c r="BKB20" s="64"/>
      <c r="BKC20" s="64"/>
      <c r="BKD20" s="64"/>
      <c r="BKE20" s="64"/>
      <c r="BKF20" s="64"/>
      <c r="BKG20" s="64"/>
      <c r="BKH20" s="64"/>
      <c r="BKI20" s="64"/>
      <c r="BKJ20" s="64"/>
      <c r="BKK20" s="64"/>
      <c r="BKL20" s="64"/>
      <c r="BKM20" s="64"/>
      <c r="BKN20" s="64"/>
      <c r="BKO20" s="64"/>
      <c r="BKP20" s="64"/>
      <c r="BKQ20" s="64"/>
      <c r="BKR20" s="64"/>
      <c r="BKS20" s="64"/>
      <c r="BKT20" s="64"/>
      <c r="BKU20" s="64"/>
      <c r="BKV20" s="64"/>
      <c r="BKW20" s="64"/>
      <c r="BKX20" s="64"/>
      <c r="BKY20" s="64"/>
      <c r="BKZ20" s="64"/>
      <c r="BLA20" s="64"/>
      <c r="BLB20" s="64"/>
      <c r="BLC20" s="64"/>
      <c r="BLD20" s="64"/>
      <c r="BLE20" s="64"/>
      <c r="BLF20" s="64"/>
      <c r="BLG20" s="64"/>
      <c r="BLH20" s="64"/>
      <c r="BLI20" s="64"/>
      <c r="BLJ20" s="64"/>
      <c r="BLK20" s="64"/>
      <c r="BLL20" s="64"/>
      <c r="BLM20" s="64"/>
      <c r="BLN20" s="64"/>
      <c r="BLO20" s="64"/>
      <c r="BLP20" s="64"/>
      <c r="BLQ20" s="64"/>
      <c r="BLR20" s="64"/>
      <c r="BLS20" s="64"/>
      <c r="BLT20" s="64"/>
      <c r="BLU20" s="64"/>
      <c r="BLV20" s="64"/>
      <c r="BLW20" s="64"/>
      <c r="BLX20" s="64"/>
      <c r="BLY20" s="64"/>
      <c r="BLZ20" s="64"/>
      <c r="BMA20" s="64"/>
      <c r="BMB20" s="64"/>
      <c r="BMC20" s="64"/>
      <c r="BMD20" s="64"/>
      <c r="BME20" s="64"/>
      <c r="BMF20" s="64"/>
      <c r="BMG20" s="64"/>
      <c r="BMH20" s="64"/>
      <c r="BMI20" s="64"/>
      <c r="BMJ20" s="64"/>
      <c r="BMK20" s="64"/>
      <c r="BML20" s="64"/>
      <c r="BMM20" s="64"/>
      <c r="BMN20" s="64"/>
      <c r="BMO20" s="64"/>
      <c r="BMP20" s="64"/>
      <c r="BMQ20" s="64"/>
      <c r="BMR20" s="64"/>
      <c r="BMS20" s="64"/>
      <c r="BMT20" s="64"/>
      <c r="BMU20" s="64"/>
      <c r="BMV20" s="64"/>
      <c r="BMW20" s="64"/>
      <c r="BMX20" s="64"/>
      <c r="BMY20" s="64"/>
      <c r="BMZ20" s="64"/>
      <c r="BNA20" s="64"/>
      <c r="BNB20" s="64"/>
      <c r="BNC20" s="64"/>
      <c r="BND20" s="64"/>
      <c r="BNE20" s="64"/>
      <c r="BNF20" s="64"/>
      <c r="BNG20" s="64"/>
      <c r="BNH20" s="64"/>
      <c r="BNI20" s="64"/>
      <c r="BNJ20" s="64"/>
      <c r="BNK20" s="64"/>
      <c r="BNL20" s="64"/>
      <c r="BNM20" s="64"/>
      <c r="BNN20" s="64"/>
      <c r="BNO20" s="64"/>
      <c r="BNP20" s="64"/>
      <c r="BNQ20" s="64"/>
      <c r="BNR20" s="64"/>
      <c r="BNS20" s="64"/>
      <c r="BNT20" s="64"/>
      <c r="BNU20" s="64"/>
      <c r="BNV20" s="64"/>
      <c r="BNW20" s="64"/>
      <c r="BNX20" s="64"/>
      <c r="BNY20" s="64"/>
      <c r="BNZ20" s="64"/>
      <c r="BOA20" s="64"/>
      <c r="BOB20" s="64"/>
      <c r="BOC20" s="64"/>
      <c r="BOD20" s="64"/>
      <c r="BOE20" s="64"/>
      <c r="BOF20" s="64"/>
      <c r="BOG20" s="64"/>
      <c r="BOH20" s="64"/>
      <c r="BOI20" s="64"/>
      <c r="BOJ20" s="64"/>
      <c r="BOK20" s="64"/>
      <c r="BOL20" s="64"/>
      <c r="BOM20" s="64"/>
      <c r="BON20" s="64"/>
      <c r="BOO20" s="64"/>
      <c r="BOP20" s="64"/>
      <c r="BOQ20" s="64"/>
      <c r="BOR20" s="64"/>
      <c r="BOS20" s="64"/>
      <c r="BOT20" s="64"/>
      <c r="BOU20" s="64"/>
      <c r="BOV20" s="64"/>
      <c r="BOW20" s="64"/>
      <c r="BOX20" s="64"/>
      <c r="BOY20" s="64"/>
      <c r="BOZ20" s="64"/>
      <c r="BPA20" s="64"/>
      <c r="BPB20" s="64"/>
      <c r="BPC20" s="64"/>
      <c r="BPD20" s="64"/>
      <c r="BPE20" s="64"/>
      <c r="BPF20" s="64"/>
      <c r="BPG20" s="64"/>
      <c r="BPH20" s="64"/>
      <c r="BPI20" s="64"/>
      <c r="BPJ20" s="64"/>
      <c r="BPK20" s="64"/>
      <c r="BPL20" s="64"/>
      <c r="BPM20" s="64"/>
      <c r="BPN20" s="64"/>
      <c r="BPO20" s="64"/>
      <c r="BPP20" s="64"/>
      <c r="BPQ20" s="64"/>
      <c r="BPR20" s="64"/>
      <c r="BPS20" s="64"/>
      <c r="BPT20" s="64"/>
      <c r="BPU20" s="64"/>
      <c r="BPV20" s="64"/>
      <c r="BPW20" s="64"/>
      <c r="BPX20" s="64"/>
      <c r="BPY20" s="64"/>
      <c r="BPZ20" s="64"/>
      <c r="BQA20" s="64"/>
      <c r="BQB20" s="64"/>
      <c r="BQC20" s="64"/>
      <c r="BQD20" s="64"/>
      <c r="BQE20" s="64"/>
      <c r="BQF20" s="64"/>
      <c r="BQG20" s="64"/>
      <c r="BQH20" s="64"/>
      <c r="BQI20" s="64"/>
      <c r="BQJ20" s="64"/>
      <c r="BQK20" s="64"/>
      <c r="BQL20" s="64"/>
      <c r="BQM20" s="64"/>
      <c r="BQN20" s="64"/>
      <c r="BQO20" s="64"/>
      <c r="BQP20" s="64"/>
      <c r="BQQ20" s="64"/>
      <c r="BQR20" s="64"/>
      <c r="BQS20" s="64"/>
      <c r="BQT20" s="64"/>
      <c r="BQU20" s="64"/>
      <c r="BQV20" s="64"/>
      <c r="BQW20" s="64"/>
      <c r="BQX20" s="64"/>
      <c r="BQY20" s="64"/>
      <c r="BQZ20" s="64"/>
      <c r="BRA20" s="64"/>
      <c r="BRB20" s="64"/>
      <c r="BRC20" s="64"/>
      <c r="BRD20" s="64"/>
      <c r="BRE20" s="64"/>
      <c r="BRF20" s="64"/>
      <c r="BRG20" s="64"/>
      <c r="BRH20" s="64"/>
      <c r="BRI20" s="64"/>
      <c r="BRJ20" s="64"/>
      <c r="BRK20" s="64"/>
      <c r="BRL20" s="64"/>
      <c r="BRM20" s="64"/>
      <c r="BRN20" s="64"/>
      <c r="BRO20" s="64"/>
      <c r="BRP20" s="64"/>
      <c r="BRQ20" s="64"/>
      <c r="BRR20" s="64"/>
      <c r="BRS20" s="64"/>
      <c r="BRT20" s="64"/>
      <c r="BRU20" s="64"/>
      <c r="BRV20" s="64"/>
      <c r="BRW20" s="64"/>
      <c r="BRX20" s="64"/>
      <c r="BRY20" s="64"/>
      <c r="BRZ20" s="64"/>
      <c r="BSA20" s="64"/>
      <c r="BSB20" s="64"/>
      <c r="BSC20" s="64"/>
      <c r="BSD20" s="64"/>
      <c r="BSE20" s="64"/>
      <c r="BSF20" s="64"/>
      <c r="BSG20" s="64"/>
      <c r="BSH20" s="64"/>
      <c r="BSI20" s="64"/>
      <c r="BSJ20" s="64"/>
      <c r="BSK20" s="64"/>
      <c r="BSL20" s="64"/>
      <c r="BSM20" s="64"/>
      <c r="BSN20" s="64"/>
      <c r="BSO20" s="64"/>
      <c r="BSP20" s="64"/>
      <c r="BSQ20" s="64"/>
      <c r="BSR20" s="64"/>
      <c r="BSS20" s="64"/>
      <c r="BST20" s="64"/>
      <c r="BSU20" s="64"/>
      <c r="BSV20" s="64"/>
      <c r="BSW20" s="64"/>
      <c r="BSX20" s="64"/>
      <c r="BSY20" s="64"/>
      <c r="BSZ20" s="64"/>
      <c r="BTA20" s="64"/>
      <c r="BTB20" s="64"/>
      <c r="BTC20" s="64"/>
      <c r="BTD20" s="64"/>
      <c r="BTE20" s="64"/>
      <c r="BTF20" s="64"/>
      <c r="BTG20" s="64"/>
      <c r="BTH20" s="64"/>
      <c r="BTI20" s="64"/>
      <c r="BTJ20" s="64"/>
      <c r="BTK20" s="64"/>
      <c r="BTL20" s="64"/>
      <c r="BTM20" s="64"/>
      <c r="BTN20" s="64"/>
      <c r="BTO20" s="64"/>
      <c r="BTP20" s="64"/>
      <c r="BTQ20" s="64"/>
      <c r="BTR20" s="64"/>
      <c r="BTS20" s="64"/>
      <c r="BTT20" s="64"/>
      <c r="BTU20" s="64"/>
      <c r="BTV20" s="64"/>
      <c r="BTW20" s="64"/>
      <c r="BTX20" s="64"/>
      <c r="BTY20" s="64"/>
      <c r="BTZ20" s="64"/>
      <c r="BUA20" s="64"/>
      <c r="BUB20" s="64"/>
      <c r="BUC20" s="64"/>
      <c r="BUD20" s="64"/>
      <c r="BUE20" s="64"/>
      <c r="BUF20" s="64"/>
      <c r="BUG20" s="64"/>
      <c r="BUH20" s="64"/>
      <c r="BUI20" s="64"/>
      <c r="BUJ20" s="64"/>
      <c r="BUK20" s="64"/>
      <c r="BUL20" s="64"/>
      <c r="BUM20" s="64"/>
      <c r="BUN20" s="64"/>
      <c r="BUO20" s="64"/>
      <c r="BUP20" s="64"/>
      <c r="BUQ20" s="64"/>
      <c r="BUR20" s="64"/>
      <c r="BUS20" s="64"/>
      <c r="BUT20" s="64"/>
      <c r="BUU20" s="64"/>
      <c r="BUV20" s="64"/>
      <c r="BUW20" s="64"/>
      <c r="BUX20" s="64"/>
      <c r="BUY20" s="64"/>
      <c r="BUZ20" s="64"/>
      <c r="BVA20" s="64"/>
      <c r="BVB20" s="64"/>
      <c r="BVC20" s="64"/>
      <c r="BVD20" s="64"/>
      <c r="BVE20" s="64"/>
      <c r="BVF20" s="64"/>
      <c r="BVG20" s="64"/>
      <c r="BVH20" s="64"/>
      <c r="BVI20" s="64"/>
      <c r="BVJ20" s="64"/>
      <c r="BVK20" s="64"/>
      <c r="BVL20" s="64"/>
      <c r="BVM20" s="64"/>
      <c r="BVN20" s="64"/>
      <c r="BVO20" s="64"/>
      <c r="BVP20" s="64"/>
      <c r="BVQ20" s="64"/>
      <c r="BVR20" s="64"/>
      <c r="BVS20" s="64"/>
      <c r="BVT20" s="64"/>
      <c r="BVU20" s="64"/>
      <c r="BVV20" s="64"/>
      <c r="BVW20" s="64"/>
      <c r="BVX20" s="64"/>
      <c r="BVY20" s="64"/>
      <c r="BVZ20" s="64"/>
      <c r="BWA20" s="64"/>
      <c r="BWB20" s="64"/>
      <c r="BWC20" s="64"/>
      <c r="BWD20" s="64"/>
      <c r="BWE20" s="64"/>
      <c r="BWF20" s="64"/>
      <c r="BWG20" s="64"/>
      <c r="BWH20" s="64"/>
      <c r="BWI20" s="64"/>
      <c r="BWJ20" s="64"/>
      <c r="BWK20" s="64"/>
      <c r="BWL20" s="64"/>
      <c r="BWM20" s="64"/>
      <c r="BWN20" s="64"/>
      <c r="BWO20" s="64"/>
      <c r="BWP20" s="64"/>
      <c r="BWQ20" s="64"/>
      <c r="BWR20" s="64"/>
      <c r="BWS20" s="64"/>
      <c r="BWT20" s="64"/>
      <c r="BWU20" s="64"/>
      <c r="BWV20" s="64"/>
      <c r="BWW20" s="64"/>
      <c r="BWX20" s="64"/>
      <c r="BWY20" s="64"/>
      <c r="BWZ20" s="64"/>
      <c r="BXA20" s="64"/>
      <c r="BXB20" s="64"/>
      <c r="BXC20" s="64"/>
      <c r="BXD20" s="64"/>
      <c r="BXE20" s="64"/>
      <c r="BXF20" s="64"/>
      <c r="BXG20" s="64"/>
      <c r="BXH20" s="64"/>
      <c r="BXI20" s="64"/>
      <c r="BXJ20" s="64"/>
      <c r="BXK20" s="64"/>
      <c r="BXL20" s="64"/>
      <c r="BXM20" s="64"/>
      <c r="BXN20" s="64"/>
      <c r="BXO20" s="64"/>
      <c r="BXP20" s="64"/>
      <c r="BXQ20" s="64"/>
      <c r="BXR20" s="64"/>
      <c r="BXS20" s="64"/>
      <c r="BXT20" s="64"/>
      <c r="BXU20" s="64"/>
      <c r="BXV20" s="64"/>
      <c r="BXW20" s="64"/>
      <c r="BXX20" s="64"/>
      <c r="BXY20" s="64"/>
      <c r="BXZ20" s="64"/>
      <c r="BYA20" s="64"/>
      <c r="BYB20" s="64"/>
      <c r="BYC20" s="64"/>
      <c r="BYD20" s="64"/>
      <c r="BYE20" s="64"/>
      <c r="BYF20" s="64"/>
      <c r="BYG20" s="64"/>
      <c r="BYH20" s="64"/>
      <c r="BYI20" s="64"/>
      <c r="BYJ20" s="64"/>
      <c r="BYK20" s="64"/>
      <c r="BYL20" s="64"/>
      <c r="BYM20" s="64"/>
      <c r="BYN20" s="64"/>
      <c r="BYO20" s="64"/>
      <c r="BYP20" s="64"/>
      <c r="BYQ20" s="64"/>
      <c r="BYR20" s="64"/>
      <c r="BYS20" s="64"/>
      <c r="BYT20" s="64"/>
      <c r="BYU20" s="64"/>
      <c r="BYV20" s="64"/>
      <c r="BYW20" s="64"/>
      <c r="BYX20" s="64"/>
      <c r="BYY20" s="64"/>
      <c r="BYZ20" s="64"/>
      <c r="BZA20" s="64"/>
      <c r="BZB20" s="64"/>
      <c r="BZC20" s="64"/>
      <c r="BZD20" s="64"/>
      <c r="BZE20" s="64"/>
      <c r="BZF20" s="64"/>
      <c r="BZG20" s="64"/>
      <c r="BZH20" s="64"/>
      <c r="BZI20" s="64"/>
      <c r="BZJ20" s="64"/>
      <c r="BZK20" s="64"/>
      <c r="BZL20" s="64"/>
      <c r="BZM20" s="64"/>
      <c r="BZN20" s="64"/>
      <c r="BZO20" s="64"/>
      <c r="BZP20" s="64"/>
      <c r="BZQ20" s="64"/>
      <c r="BZR20" s="64"/>
      <c r="BZS20" s="64"/>
      <c r="BZT20" s="64"/>
      <c r="BZU20" s="64"/>
      <c r="BZV20" s="64"/>
      <c r="BZW20" s="64"/>
      <c r="BZX20" s="64"/>
      <c r="BZY20" s="64"/>
      <c r="BZZ20" s="64"/>
      <c r="CAA20" s="64"/>
      <c r="CAB20" s="64"/>
      <c r="CAC20" s="64"/>
      <c r="CAD20" s="64"/>
      <c r="CAE20" s="64"/>
      <c r="CAF20" s="64"/>
      <c r="CAG20" s="64"/>
      <c r="CAH20" s="64"/>
      <c r="CAI20" s="64"/>
      <c r="CAJ20" s="64"/>
      <c r="CAK20" s="64"/>
      <c r="CAL20" s="64"/>
      <c r="CAM20" s="64"/>
      <c r="CAN20" s="64"/>
      <c r="CAO20" s="64"/>
      <c r="CAP20" s="64"/>
      <c r="CAQ20" s="64"/>
      <c r="CAR20" s="64"/>
      <c r="CAS20" s="64"/>
      <c r="CAT20" s="64"/>
      <c r="CAU20" s="64"/>
      <c r="CAV20" s="64"/>
      <c r="CAW20" s="64"/>
      <c r="CAX20" s="64"/>
      <c r="CAY20" s="64"/>
      <c r="CAZ20" s="64"/>
      <c r="CBA20" s="64"/>
      <c r="CBB20" s="64"/>
      <c r="CBC20" s="64"/>
      <c r="CBD20" s="64"/>
      <c r="CBE20" s="64"/>
      <c r="CBF20" s="64"/>
      <c r="CBG20" s="64"/>
      <c r="CBH20" s="64"/>
      <c r="CBI20" s="64"/>
      <c r="CBJ20" s="64"/>
      <c r="CBK20" s="64"/>
      <c r="CBL20" s="64"/>
      <c r="CBM20" s="64"/>
      <c r="CBN20" s="64"/>
      <c r="CBO20" s="64"/>
      <c r="CBP20" s="64"/>
      <c r="CBQ20" s="64"/>
      <c r="CBR20" s="64"/>
      <c r="CBS20" s="64"/>
      <c r="CBT20" s="64"/>
      <c r="CBU20" s="64"/>
      <c r="CBV20" s="64"/>
      <c r="CBW20" s="64"/>
      <c r="CBX20" s="64"/>
      <c r="CBY20" s="64"/>
      <c r="CBZ20" s="64"/>
      <c r="CCA20" s="64"/>
      <c r="CCB20" s="64"/>
      <c r="CCC20" s="64"/>
      <c r="CCD20" s="64"/>
      <c r="CCE20" s="64"/>
      <c r="CCF20" s="64"/>
      <c r="CCG20" s="64"/>
      <c r="CCH20" s="64"/>
      <c r="CCI20" s="64"/>
      <c r="CCJ20" s="64"/>
      <c r="CCK20" s="64"/>
      <c r="CCL20" s="64"/>
      <c r="CCM20" s="64"/>
      <c r="CCN20" s="64"/>
      <c r="CCO20" s="64"/>
      <c r="CCP20" s="64"/>
      <c r="CCQ20" s="64"/>
      <c r="CCR20" s="64"/>
      <c r="CCS20" s="64"/>
      <c r="CCT20" s="64"/>
      <c r="CCU20" s="64"/>
      <c r="CCV20" s="64"/>
      <c r="CCW20" s="64"/>
      <c r="CCX20" s="64"/>
      <c r="CCY20" s="64"/>
      <c r="CCZ20" s="64"/>
      <c r="CDA20" s="64"/>
      <c r="CDB20" s="64"/>
      <c r="CDC20" s="64"/>
      <c r="CDD20" s="64"/>
      <c r="CDE20" s="64"/>
      <c r="CDF20" s="64"/>
      <c r="CDG20" s="64"/>
      <c r="CDH20" s="64"/>
      <c r="CDI20" s="64"/>
      <c r="CDJ20" s="64"/>
      <c r="CDK20" s="64"/>
      <c r="CDL20" s="64"/>
      <c r="CDM20" s="64"/>
      <c r="CDN20" s="64"/>
      <c r="CDO20" s="64"/>
      <c r="CDP20" s="64"/>
      <c r="CDQ20" s="64"/>
      <c r="CDR20" s="64"/>
      <c r="CDS20" s="64"/>
      <c r="CDT20" s="64"/>
      <c r="CDU20" s="64"/>
      <c r="CDV20" s="64"/>
      <c r="CDW20" s="64"/>
      <c r="CDX20" s="64"/>
      <c r="CDY20" s="64"/>
      <c r="CDZ20" s="64"/>
      <c r="CEA20" s="64"/>
      <c r="CEB20" s="64"/>
      <c r="CEC20" s="64"/>
      <c r="CED20" s="64"/>
      <c r="CEE20" s="64"/>
      <c r="CEF20" s="64"/>
      <c r="CEG20" s="64"/>
      <c r="CEH20" s="64"/>
      <c r="CEI20" s="64"/>
      <c r="CEJ20" s="64"/>
      <c r="CEK20" s="64"/>
      <c r="CEL20" s="64"/>
      <c r="CEM20" s="64"/>
      <c r="CEN20" s="64"/>
      <c r="CEO20" s="64"/>
      <c r="CEP20" s="64"/>
      <c r="CEQ20" s="64"/>
      <c r="CER20" s="64"/>
      <c r="CES20" s="64"/>
      <c r="CET20" s="64"/>
      <c r="CEU20" s="64"/>
      <c r="CEV20" s="64"/>
      <c r="CEW20" s="64"/>
      <c r="CEX20" s="64"/>
      <c r="CEY20" s="64"/>
      <c r="CEZ20" s="64"/>
      <c r="CFA20" s="64"/>
      <c r="CFB20" s="64"/>
      <c r="CFC20" s="64"/>
      <c r="CFD20" s="64"/>
      <c r="CFE20" s="64"/>
      <c r="CFF20" s="64"/>
      <c r="CFG20" s="64"/>
      <c r="CFH20" s="64"/>
      <c r="CFI20" s="64"/>
      <c r="CFJ20" s="64"/>
      <c r="CFK20" s="64"/>
      <c r="CFL20" s="64"/>
      <c r="CFM20" s="64"/>
      <c r="CFN20" s="64"/>
      <c r="CFO20" s="64"/>
      <c r="CFP20" s="64"/>
      <c r="CFQ20" s="64"/>
      <c r="CFR20" s="64"/>
      <c r="CFS20" s="64"/>
      <c r="CFT20" s="64"/>
      <c r="CFU20" s="64"/>
      <c r="CFV20" s="64"/>
      <c r="CFW20" s="64"/>
      <c r="CFX20" s="64"/>
      <c r="CFY20" s="64"/>
      <c r="CFZ20" s="64"/>
      <c r="CGA20" s="64"/>
      <c r="CGB20" s="64"/>
      <c r="CGC20" s="64"/>
      <c r="CGD20" s="64"/>
      <c r="CGE20" s="64"/>
      <c r="CGF20" s="64"/>
      <c r="CGG20" s="64"/>
      <c r="CGH20" s="64"/>
      <c r="CGI20" s="64"/>
      <c r="CGJ20" s="64"/>
      <c r="CGK20" s="64"/>
      <c r="CGL20" s="64"/>
      <c r="CGM20" s="64"/>
      <c r="CGN20" s="64"/>
      <c r="CGO20" s="64"/>
      <c r="CGP20" s="64"/>
      <c r="CGQ20" s="64"/>
      <c r="CGR20" s="64"/>
      <c r="CGS20" s="64"/>
      <c r="CGT20" s="64"/>
      <c r="CGU20" s="64"/>
      <c r="CGV20" s="64"/>
      <c r="CGW20" s="64"/>
      <c r="CGX20" s="64"/>
      <c r="CGY20" s="64"/>
      <c r="CGZ20" s="64"/>
      <c r="CHA20" s="64"/>
      <c r="CHB20" s="64"/>
      <c r="CHC20" s="64"/>
      <c r="CHD20" s="64"/>
      <c r="CHE20" s="64"/>
      <c r="CHF20" s="64"/>
      <c r="CHG20" s="64"/>
      <c r="CHH20" s="64"/>
      <c r="CHI20" s="64"/>
      <c r="CHJ20" s="64"/>
      <c r="CHK20" s="64"/>
      <c r="CHL20" s="64"/>
      <c r="CHM20" s="64"/>
      <c r="CHN20" s="64"/>
      <c r="CHO20" s="64"/>
      <c r="CHP20" s="64"/>
      <c r="CHQ20" s="64"/>
      <c r="CHR20" s="64"/>
      <c r="CHS20" s="64"/>
      <c r="CHT20" s="64"/>
      <c r="CHU20" s="64"/>
      <c r="CHV20" s="64"/>
      <c r="CHW20" s="64"/>
      <c r="CHX20" s="64"/>
      <c r="CHY20" s="64"/>
      <c r="CHZ20" s="64"/>
      <c r="CIA20" s="64"/>
      <c r="CIB20" s="64"/>
      <c r="CIC20" s="64"/>
      <c r="CID20" s="64"/>
      <c r="CIE20" s="64"/>
      <c r="CIF20" s="64"/>
      <c r="CIG20" s="64"/>
      <c r="CIH20" s="64"/>
      <c r="CII20" s="64"/>
      <c r="CIJ20" s="64"/>
      <c r="CIK20" s="64"/>
      <c r="CIL20" s="64"/>
      <c r="CIM20" s="64"/>
      <c r="CIN20" s="64"/>
      <c r="CIO20" s="64"/>
      <c r="CIP20" s="64"/>
      <c r="CIQ20" s="64"/>
      <c r="CIR20" s="64"/>
      <c r="CIS20" s="64"/>
      <c r="CIT20" s="64"/>
      <c r="CIU20" s="64"/>
      <c r="CIV20" s="64"/>
      <c r="CIW20" s="64"/>
      <c r="CIX20" s="64"/>
      <c r="CIY20" s="64"/>
      <c r="CIZ20" s="64"/>
      <c r="CJA20" s="64"/>
      <c r="CJB20" s="64"/>
      <c r="CJC20" s="64"/>
      <c r="CJD20" s="64"/>
      <c r="CJE20" s="64"/>
      <c r="CJF20" s="64"/>
      <c r="CJG20" s="64"/>
      <c r="CJH20" s="64"/>
      <c r="CJI20" s="64"/>
      <c r="CJJ20" s="64"/>
      <c r="CJK20" s="64"/>
      <c r="CJL20" s="64"/>
      <c r="CJM20" s="64"/>
      <c r="CJN20" s="64"/>
      <c r="CJO20" s="64"/>
      <c r="CJP20" s="64"/>
      <c r="CJQ20" s="64"/>
      <c r="CJR20" s="64"/>
      <c r="CJS20" s="64"/>
      <c r="CJT20" s="64"/>
      <c r="CJU20" s="64"/>
      <c r="CJV20" s="64"/>
      <c r="CJW20" s="64"/>
      <c r="CJX20" s="64"/>
      <c r="CJY20" s="64"/>
      <c r="CJZ20" s="64"/>
      <c r="CKA20" s="64"/>
      <c r="CKB20" s="64"/>
      <c r="CKC20" s="64"/>
      <c r="CKD20" s="64"/>
      <c r="CKE20" s="64"/>
      <c r="CKF20" s="64"/>
      <c r="CKG20" s="64"/>
      <c r="CKH20" s="64"/>
      <c r="CKI20" s="64"/>
      <c r="CKJ20" s="64"/>
      <c r="CKK20" s="64"/>
      <c r="CKL20" s="64"/>
      <c r="CKM20" s="64"/>
      <c r="CKN20" s="64"/>
      <c r="CKO20" s="64"/>
      <c r="CKP20" s="64"/>
      <c r="CKQ20" s="64"/>
      <c r="CKR20" s="64"/>
      <c r="CKS20" s="64"/>
      <c r="CKT20" s="64"/>
      <c r="CKU20" s="64"/>
      <c r="CKV20" s="64"/>
      <c r="CKW20" s="64"/>
      <c r="CKX20" s="64"/>
      <c r="CKY20" s="64"/>
      <c r="CKZ20" s="64"/>
      <c r="CLA20" s="64"/>
      <c r="CLB20" s="64"/>
      <c r="CLC20" s="64"/>
      <c r="CLD20" s="64"/>
      <c r="CLE20" s="64"/>
      <c r="CLF20" s="64"/>
      <c r="CLG20" s="64"/>
      <c r="CLH20" s="64"/>
      <c r="CLI20" s="64"/>
      <c r="CLJ20" s="64"/>
      <c r="CLK20" s="64"/>
      <c r="CLL20" s="64"/>
      <c r="CLM20" s="64"/>
      <c r="CLN20" s="64"/>
      <c r="CLO20" s="64"/>
      <c r="CLP20" s="64"/>
      <c r="CLQ20" s="64"/>
      <c r="CLR20" s="64"/>
      <c r="CLS20" s="64"/>
      <c r="CLT20" s="64"/>
      <c r="CLU20" s="64"/>
      <c r="CLV20" s="64"/>
      <c r="CLW20" s="64"/>
      <c r="CLX20" s="64"/>
      <c r="CLY20" s="64"/>
      <c r="CLZ20" s="64"/>
      <c r="CMA20" s="64"/>
      <c r="CMB20" s="64"/>
      <c r="CMC20" s="64"/>
      <c r="CMD20" s="64"/>
      <c r="CME20" s="64"/>
      <c r="CMF20" s="64"/>
      <c r="CMG20" s="64"/>
      <c r="CMH20" s="64"/>
      <c r="CMI20" s="64"/>
      <c r="CMJ20" s="64"/>
      <c r="CMK20" s="64"/>
      <c r="CML20" s="64"/>
      <c r="CMM20" s="64"/>
      <c r="CMN20" s="64"/>
      <c r="CMO20" s="64"/>
      <c r="CMP20" s="64"/>
      <c r="CMQ20" s="64"/>
      <c r="CMR20" s="64"/>
      <c r="CMS20" s="64"/>
      <c r="CMT20" s="64"/>
      <c r="CMU20" s="64"/>
      <c r="CMV20" s="64"/>
      <c r="CMW20" s="64"/>
      <c r="CMX20" s="64"/>
      <c r="CMY20" s="64"/>
      <c r="CMZ20" s="64"/>
      <c r="CNA20" s="64"/>
      <c r="CNB20" s="64"/>
      <c r="CNC20" s="64"/>
      <c r="CND20" s="64"/>
      <c r="CNE20" s="64"/>
      <c r="CNF20" s="64"/>
      <c r="CNG20" s="64"/>
      <c r="CNH20" s="64"/>
      <c r="CNI20" s="64"/>
      <c r="CNJ20" s="64"/>
      <c r="CNK20" s="64"/>
      <c r="CNL20" s="64"/>
      <c r="CNM20" s="64"/>
      <c r="CNN20" s="64"/>
      <c r="CNO20" s="64"/>
      <c r="CNP20" s="64"/>
      <c r="CNQ20" s="64"/>
      <c r="CNR20" s="64"/>
      <c r="CNS20" s="64"/>
      <c r="CNT20" s="64"/>
      <c r="CNU20" s="64"/>
      <c r="CNV20" s="64"/>
      <c r="CNW20" s="64"/>
      <c r="CNX20" s="64"/>
      <c r="CNY20" s="64"/>
      <c r="CNZ20" s="64"/>
      <c r="COA20" s="64"/>
      <c r="COB20" s="64"/>
      <c r="COC20" s="64"/>
      <c r="COD20" s="64"/>
      <c r="COE20" s="64"/>
      <c r="COF20" s="64"/>
      <c r="COG20" s="64"/>
      <c r="COH20" s="64"/>
      <c r="COI20" s="64"/>
      <c r="COJ20" s="64"/>
      <c r="COK20" s="64"/>
      <c r="COL20" s="64"/>
      <c r="COM20" s="64"/>
      <c r="CON20" s="64"/>
      <c r="COO20" s="64"/>
      <c r="COP20" s="64"/>
      <c r="COQ20" s="64"/>
      <c r="COR20" s="64"/>
      <c r="COS20" s="64"/>
      <c r="COT20" s="64"/>
      <c r="COU20" s="64"/>
      <c r="COV20" s="64"/>
      <c r="COW20" s="64"/>
      <c r="COX20" s="64"/>
      <c r="COY20" s="64"/>
      <c r="COZ20" s="64"/>
      <c r="CPA20" s="64"/>
      <c r="CPB20" s="64"/>
      <c r="CPC20" s="64"/>
      <c r="CPD20" s="64"/>
      <c r="CPE20" s="64"/>
      <c r="CPF20" s="64"/>
      <c r="CPG20" s="64"/>
      <c r="CPH20" s="64"/>
      <c r="CPI20" s="64"/>
      <c r="CPJ20" s="64"/>
      <c r="CPK20" s="64"/>
      <c r="CPL20" s="64"/>
      <c r="CPM20" s="64"/>
      <c r="CPN20" s="64"/>
      <c r="CPO20" s="64"/>
      <c r="CPP20" s="64"/>
      <c r="CPQ20" s="64"/>
      <c r="CPR20" s="64"/>
      <c r="CPS20" s="64"/>
      <c r="CPT20" s="64"/>
      <c r="CPU20" s="64"/>
      <c r="CPV20" s="64"/>
      <c r="CPW20" s="64"/>
      <c r="CPX20" s="64"/>
      <c r="CPY20" s="64"/>
      <c r="CPZ20" s="64"/>
      <c r="CQA20" s="64"/>
      <c r="CQB20" s="64"/>
      <c r="CQC20" s="64"/>
      <c r="CQD20" s="64"/>
      <c r="CQE20" s="64"/>
      <c r="CQF20" s="64"/>
      <c r="CQG20" s="64"/>
      <c r="CQH20" s="64"/>
      <c r="CQI20" s="64"/>
      <c r="CQJ20" s="64"/>
      <c r="CQK20" s="64"/>
      <c r="CQL20" s="64"/>
      <c r="CQM20" s="64"/>
      <c r="CQN20" s="64"/>
      <c r="CQO20" s="64"/>
      <c r="CQP20" s="64"/>
      <c r="CQQ20" s="64"/>
      <c r="CQR20" s="64"/>
      <c r="CQS20" s="64"/>
      <c r="CQT20" s="64"/>
      <c r="CQU20" s="64"/>
      <c r="CQV20" s="64"/>
      <c r="CQW20" s="64"/>
      <c r="CQX20" s="64"/>
      <c r="CQY20" s="64"/>
      <c r="CQZ20" s="64"/>
      <c r="CRA20" s="64"/>
      <c r="CRB20" s="64"/>
      <c r="CRC20" s="64"/>
      <c r="CRD20" s="64"/>
      <c r="CRE20" s="64"/>
      <c r="CRF20" s="64"/>
      <c r="CRG20" s="64"/>
      <c r="CRH20" s="64"/>
      <c r="CRI20" s="64"/>
      <c r="CRJ20" s="64"/>
      <c r="CRK20" s="64"/>
      <c r="CRL20" s="64"/>
      <c r="CRM20" s="64"/>
      <c r="CRN20" s="64"/>
      <c r="CRO20" s="64"/>
      <c r="CRP20" s="64"/>
      <c r="CRQ20" s="64"/>
      <c r="CRR20" s="64"/>
      <c r="CRS20" s="64"/>
      <c r="CRT20" s="64"/>
      <c r="CRU20" s="64"/>
      <c r="CRV20" s="64"/>
      <c r="CRW20" s="64"/>
      <c r="CRX20" s="64"/>
      <c r="CRY20" s="64"/>
      <c r="CRZ20" s="64"/>
      <c r="CSA20" s="64"/>
      <c r="CSB20" s="64"/>
      <c r="CSC20" s="64"/>
      <c r="CSD20" s="64"/>
      <c r="CSE20" s="64"/>
      <c r="CSF20" s="64"/>
      <c r="CSG20" s="64"/>
      <c r="CSH20" s="64"/>
      <c r="CSI20" s="64"/>
      <c r="CSJ20" s="64"/>
      <c r="CSK20" s="64"/>
      <c r="CSL20" s="64"/>
      <c r="CSM20" s="64"/>
      <c r="CSN20" s="64"/>
      <c r="CSO20" s="64"/>
      <c r="CSP20" s="64"/>
      <c r="CSQ20" s="64"/>
      <c r="CSR20" s="64"/>
      <c r="CSS20" s="64"/>
      <c r="CST20" s="64"/>
      <c r="CSU20" s="64"/>
      <c r="CSV20" s="64"/>
      <c r="CSW20" s="64"/>
      <c r="CSX20" s="64"/>
      <c r="CSY20" s="64"/>
      <c r="CSZ20" s="64"/>
      <c r="CTA20" s="64"/>
      <c r="CTB20" s="64"/>
      <c r="CTC20" s="64"/>
      <c r="CTD20" s="64"/>
      <c r="CTE20" s="64"/>
      <c r="CTF20" s="64"/>
      <c r="CTG20" s="64"/>
      <c r="CTH20" s="64"/>
      <c r="CTI20" s="64"/>
      <c r="CTJ20" s="64"/>
      <c r="CTK20" s="64"/>
      <c r="CTL20" s="64"/>
      <c r="CTM20" s="64"/>
      <c r="CTN20" s="64"/>
      <c r="CTO20" s="64"/>
      <c r="CTP20" s="64"/>
      <c r="CTQ20" s="64"/>
      <c r="CTR20" s="64"/>
      <c r="CTS20" s="64"/>
      <c r="CTT20" s="64"/>
      <c r="CTU20" s="64"/>
      <c r="CTV20" s="64"/>
      <c r="CTW20" s="64"/>
      <c r="CTX20" s="64"/>
      <c r="CTY20" s="64"/>
      <c r="CTZ20" s="64"/>
      <c r="CUA20" s="64"/>
      <c r="CUB20" s="64"/>
      <c r="CUC20" s="64"/>
      <c r="CUD20" s="64"/>
      <c r="CUE20" s="64"/>
      <c r="CUF20" s="64"/>
      <c r="CUG20" s="64"/>
      <c r="CUH20" s="64"/>
      <c r="CUI20" s="64"/>
      <c r="CUJ20" s="64"/>
      <c r="CUK20" s="64"/>
      <c r="CUL20" s="64"/>
      <c r="CUM20" s="64"/>
      <c r="CUN20" s="64"/>
      <c r="CUO20" s="64"/>
      <c r="CUP20" s="64"/>
      <c r="CUQ20" s="64"/>
      <c r="CUR20" s="64"/>
      <c r="CUS20" s="64"/>
      <c r="CUT20" s="64"/>
      <c r="CUU20" s="64"/>
      <c r="CUV20" s="64"/>
      <c r="CUW20" s="64"/>
      <c r="CUX20" s="64"/>
      <c r="CUY20" s="64"/>
      <c r="CUZ20" s="64"/>
      <c r="CVA20" s="64"/>
      <c r="CVB20" s="64"/>
      <c r="CVC20" s="64"/>
      <c r="CVD20" s="64"/>
      <c r="CVE20" s="64"/>
      <c r="CVF20" s="64"/>
      <c r="CVG20" s="64"/>
      <c r="CVH20" s="64"/>
      <c r="CVI20" s="64"/>
      <c r="CVJ20" s="64"/>
      <c r="CVK20" s="64"/>
      <c r="CVL20" s="64"/>
      <c r="CVM20" s="64"/>
      <c r="CVN20" s="64"/>
      <c r="CVO20" s="64"/>
      <c r="CVP20" s="64"/>
      <c r="CVQ20" s="64"/>
      <c r="CVR20" s="64"/>
      <c r="CVS20" s="64"/>
      <c r="CVT20" s="64"/>
      <c r="CVU20" s="64"/>
      <c r="CVV20" s="64"/>
      <c r="CVW20" s="64"/>
      <c r="CVX20" s="64"/>
      <c r="CVY20" s="64"/>
      <c r="CVZ20" s="64"/>
      <c r="CWA20" s="64"/>
      <c r="CWB20" s="64"/>
      <c r="CWC20" s="64"/>
      <c r="CWD20" s="64"/>
      <c r="CWE20" s="64"/>
      <c r="CWF20" s="64"/>
      <c r="CWG20" s="64"/>
      <c r="CWH20" s="64"/>
      <c r="CWI20" s="64"/>
      <c r="CWJ20" s="64"/>
      <c r="CWK20" s="64"/>
      <c r="CWL20" s="64"/>
      <c r="CWM20" s="64"/>
      <c r="CWN20" s="64"/>
      <c r="CWO20" s="64"/>
      <c r="CWP20" s="64"/>
      <c r="CWQ20" s="64"/>
      <c r="CWR20" s="64"/>
      <c r="CWS20" s="64"/>
      <c r="CWT20" s="64"/>
      <c r="CWU20" s="64"/>
      <c r="CWV20" s="64"/>
      <c r="CWW20" s="64"/>
      <c r="CWX20" s="64"/>
      <c r="CWY20" s="64"/>
      <c r="CWZ20" s="64"/>
      <c r="CXA20" s="64"/>
      <c r="CXB20" s="64"/>
      <c r="CXC20" s="64"/>
      <c r="CXD20" s="64"/>
      <c r="CXE20" s="64"/>
      <c r="CXF20" s="64"/>
      <c r="CXG20" s="64"/>
      <c r="CXH20" s="64"/>
      <c r="CXI20" s="64"/>
      <c r="CXJ20" s="64"/>
      <c r="CXK20" s="64"/>
      <c r="CXL20" s="64"/>
      <c r="CXM20" s="64"/>
      <c r="CXN20" s="64"/>
      <c r="CXO20" s="64"/>
      <c r="CXP20" s="64"/>
      <c r="CXQ20" s="64"/>
      <c r="CXR20" s="64"/>
      <c r="CXS20" s="64"/>
      <c r="CXT20" s="64"/>
      <c r="CXU20" s="64"/>
      <c r="CXV20" s="64"/>
      <c r="CXW20" s="64"/>
      <c r="CXX20" s="64"/>
      <c r="CXY20" s="64"/>
      <c r="CXZ20" s="64"/>
      <c r="CYA20" s="64"/>
      <c r="CYB20" s="64"/>
      <c r="CYC20" s="64"/>
      <c r="CYD20" s="64"/>
      <c r="CYE20" s="64"/>
      <c r="CYF20" s="64"/>
      <c r="CYG20" s="64"/>
      <c r="CYH20" s="64"/>
      <c r="CYI20" s="64"/>
      <c r="CYJ20" s="64"/>
      <c r="CYK20" s="64"/>
      <c r="CYL20" s="64"/>
      <c r="CYM20" s="64"/>
      <c r="CYN20" s="64"/>
      <c r="CYO20" s="64"/>
      <c r="CYP20" s="64"/>
      <c r="CYQ20" s="64"/>
      <c r="CYR20" s="64"/>
      <c r="CYS20" s="64"/>
      <c r="CYT20" s="64"/>
      <c r="CYU20" s="64"/>
      <c r="CYV20" s="64"/>
      <c r="CYW20" s="64"/>
      <c r="CYX20" s="64"/>
      <c r="CYY20" s="64"/>
      <c r="CYZ20" s="64"/>
      <c r="CZA20" s="64"/>
      <c r="CZB20" s="64"/>
      <c r="CZC20" s="64"/>
      <c r="CZD20" s="64"/>
      <c r="CZE20" s="64"/>
      <c r="CZF20" s="64"/>
      <c r="CZG20" s="64"/>
      <c r="CZH20" s="64"/>
      <c r="CZI20" s="64"/>
      <c r="CZJ20" s="64"/>
      <c r="CZK20" s="64"/>
      <c r="CZL20" s="64"/>
      <c r="CZM20" s="64"/>
      <c r="CZN20" s="64"/>
      <c r="CZO20" s="64"/>
      <c r="CZP20" s="64"/>
      <c r="CZQ20" s="64"/>
      <c r="CZR20" s="64"/>
      <c r="CZS20" s="64"/>
      <c r="CZT20" s="64"/>
      <c r="CZU20" s="64"/>
      <c r="CZV20" s="64"/>
      <c r="CZW20" s="64"/>
      <c r="CZX20" s="64"/>
      <c r="CZY20" s="64"/>
      <c r="CZZ20" s="64"/>
      <c r="DAA20" s="64"/>
      <c r="DAB20" s="64"/>
      <c r="DAC20" s="64"/>
      <c r="DAD20" s="64"/>
      <c r="DAE20" s="64"/>
      <c r="DAF20" s="64"/>
      <c r="DAG20" s="64"/>
      <c r="DAH20" s="64"/>
      <c r="DAI20" s="64"/>
      <c r="DAJ20" s="64"/>
      <c r="DAK20" s="64"/>
      <c r="DAL20" s="64"/>
      <c r="DAM20" s="64"/>
      <c r="DAN20" s="64"/>
      <c r="DAO20" s="64"/>
      <c r="DAP20" s="64"/>
      <c r="DAQ20" s="64"/>
      <c r="DAR20" s="64"/>
      <c r="DAS20" s="64"/>
      <c r="DAT20" s="64"/>
      <c r="DAU20" s="64"/>
      <c r="DAV20" s="64"/>
      <c r="DAW20" s="64"/>
      <c r="DAX20" s="64"/>
      <c r="DAY20" s="64"/>
      <c r="DAZ20" s="64"/>
      <c r="DBA20" s="64"/>
      <c r="DBB20" s="64"/>
      <c r="DBC20" s="64"/>
      <c r="DBD20" s="64"/>
      <c r="DBE20" s="64"/>
      <c r="DBF20" s="64"/>
      <c r="DBG20" s="64"/>
      <c r="DBH20" s="64"/>
      <c r="DBI20" s="64"/>
      <c r="DBJ20" s="64"/>
      <c r="DBK20" s="64"/>
      <c r="DBL20" s="64"/>
      <c r="DBM20" s="64"/>
      <c r="DBN20" s="64"/>
      <c r="DBO20" s="64"/>
      <c r="DBP20" s="64"/>
      <c r="DBQ20" s="64"/>
      <c r="DBR20" s="64"/>
      <c r="DBS20" s="64"/>
      <c r="DBT20" s="64"/>
      <c r="DBU20" s="64"/>
      <c r="DBV20" s="64"/>
      <c r="DBW20" s="64"/>
      <c r="DBX20" s="64"/>
      <c r="DBY20" s="64"/>
      <c r="DBZ20" s="64"/>
      <c r="DCA20" s="64"/>
      <c r="DCB20" s="64"/>
      <c r="DCC20" s="64"/>
      <c r="DCD20" s="64"/>
      <c r="DCE20" s="64"/>
      <c r="DCF20" s="64"/>
      <c r="DCG20" s="64"/>
      <c r="DCH20" s="64"/>
      <c r="DCI20" s="64"/>
      <c r="DCJ20" s="64"/>
      <c r="DCK20" s="64"/>
      <c r="DCL20" s="64"/>
      <c r="DCM20" s="64"/>
      <c r="DCN20" s="64"/>
      <c r="DCO20" s="64"/>
      <c r="DCP20" s="64"/>
      <c r="DCQ20" s="64"/>
      <c r="DCR20" s="64"/>
      <c r="DCS20" s="64"/>
      <c r="DCT20" s="64"/>
      <c r="DCU20" s="64"/>
      <c r="DCV20" s="64"/>
      <c r="DCW20" s="64"/>
      <c r="DCX20" s="64"/>
      <c r="DCY20" s="64"/>
      <c r="DCZ20" s="64"/>
      <c r="DDA20" s="64"/>
      <c r="DDB20" s="64"/>
      <c r="DDC20" s="64"/>
      <c r="DDD20" s="64"/>
      <c r="DDE20" s="64"/>
      <c r="DDF20" s="64"/>
      <c r="DDG20" s="64"/>
      <c r="DDH20" s="64"/>
      <c r="DDI20" s="64"/>
      <c r="DDJ20" s="64"/>
      <c r="DDK20" s="64"/>
      <c r="DDL20" s="64"/>
      <c r="DDM20" s="64"/>
      <c r="DDN20" s="64"/>
      <c r="DDO20" s="64"/>
      <c r="DDP20" s="64"/>
      <c r="DDQ20" s="64"/>
      <c r="DDR20" s="64"/>
      <c r="DDS20" s="64"/>
      <c r="DDT20" s="64"/>
      <c r="DDU20" s="64"/>
      <c r="DDV20" s="64"/>
      <c r="DDW20" s="64"/>
      <c r="DDX20" s="64"/>
      <c r="DDY20" s="64"/>
      <c r="DDZ20" s="64"/>
      <c r="DEA20" s="64"/>
      <c r="DEB20" s="64"/>
      <c r="DEC20" s="64"/>
      <c r="DED20" s="64"/>
      <c r="DEE20" s="64"/>
      <c r="DEF20" s="64"/>
      <c r="DEG20" s="64"/>
      <c r="DEH20" s="64"/>
      <c r="DEI20" s="64"/>
      <c r="DEJ20" s="64"/>
      <c r="DEK20" s="64"/>
      <c r="DEL20" s="64"/>
      <c r="DEM20" s="64"/>
      <c r="DEN20" s="64"/>
      <c r="DEO20" s="64"/>
      <c r="DEP20" s="64"/>
      <c r="DEQ20" s="64"/>
      <c r="DER20" s="64"/>
      <c r="DES20" s="64"/>
      <c r="DET20" s="64"/>
      <c r="DEU20" s="64"/>
      <c r="DEV20" s="64"/>
      <c r="DEW20" s="64"/>
      <c r="DEX20" s="64"/>
      <c r="DEY20" s="64"/>
      <c r="DEZ20" s="64"/>
      <c r="DFA20" s="64"/>
      <c r="DFB20" s="64"/>
      <c r="DFC20" s="64"/>
      <c r="DFD20" s="64"/>
      <c r="DFE20" s="64"/>
      <c r="DFF20" s="64"/>
      <c r="DFG20" s="64"/>
      <c r="DFH20" s="64"/>
      <c r="DFI20" s="64"/>
      <c r="DFJ20" s="64"/>
      <c r="DFK20" s="64"/>
      <c r="DFL20" s="64"/>
      <c r="DFM20" s="64"/>
      <c r="DFN20" s="64"/>
      <c r="DFO20" s="64"/>
      <c r="DFP20" s="64"/>
      <c r="DFQ20" s="64"/>
      <c r="DFR20" s="64"/>
      <c r="DFS20" s="64"/>
      <c r="DFT20" s="64"/>
      <c r="DFU20" s="64"/>
      <c r="DFV20" s="64"/>
      <c r="DFW20" s="64"/>
      <c r="DFX20" s="64"/>
      <c r="DFY20" s="64"/>
      <c r="DFZ20" s="64"/>
      <c r="DGA20" s="64"/>
      <c r="DGB20" s="64"/>
      <c r="DGC20" s="64"/>
      <c r="DGD20" s="64"/>
      <c r="DGE20" s="64"/>
      <c r="DGF20" s="64"/>
      <c r="DGG20" s="64"/>
      <c r="DGH20" s="64"/>
      <c r="DGI20" s="64"/>
      <c r="DGJ20" s="64"/>
      <c r="DGK20" s="64"/>
      <c r="DGL20" s="64"/>
      <c r="DGM20" s="64"/>
      <c r="DGN20" s="64"/>
      <c r="DGO20" s="64"/>
      <c r="DGP20" s="64"/>
      <c r="DGQ20" s="64"/>
      <c r="DGR20" s="64"/>
      <c r="DGS20" s="64"/>
      <c r="DGT20" s="64"/>
      <c r="DGU20" s="64"/>
      <c r="DGV20" s="64"/>
      <c r="DGW20" s="64"/>
      <c r="DGX20" s="64"/>
      <c r="DGY20" s="64"/>
      <c r="DGZ20" s="64"/>
      <c r="DHA20" s="64"/>
      <c r="DHB20" s="64"/>
      <c r="DHC20" s="64"/>
      <c r="DHD20" s="64"/>
      <c r="DHE20" s="64"/>
      <c r="DHF20" s="64"/>
      <c r="DHG20" s="64"/>
      <c r="DHH20" s="64"/>
      <c r="DHI20" s="64"/>
      <c r="DHJ20" s="64"/>
      <c r="DHK20" s="64"/>
      <c r="DHL20" s="64"/>
      <c r="DHM20" s="64"/>
      <c r="DHN20" s="64"/>
      <c r="DHO20" s="64"/>
      <c r="DHP20" s="64"/>
      <c r="DHQ20" s="64"/>
      <c r="DHR20" s="64"/>
      <c r="DHS20" s="64"/>
      <c r="DHT20" s="64"/>
      <c r="DHU20" s="64"/>
      <c r="DHV20" s="64"/>
      <c r="DHW20" s="64"/>
      <c r="DHX20" s="64"/>
      <c r="DHY20" s="64"/>
      <c r="DHZ20" s="64"/>
      <c r="DIA20" s="64"/>
      <c r="DIB20" s="64"/>
      <c r="DIC20" s="64"/>
      <c r="DID20" s="64"/>
      <c r="DIE20" s="64"/>
      <c r="DIF20" s="64"/>
      <c r="DIG20" s="64"/>
      <c r="DIH20" s="64"/>
      <c r="DII20" s="64"/>
      <c r="DIJ20" s="64"/>
      <c r="DIK20" s="64"/>
      <c r="DIL20" s="64"/>
      <c r="DIM20" s="64"/>
      <c r="DIN20" s="64"/>
      <c r="DIO20" s="64"/>
      <c r="DIP20" s="64"/>
      <c r="DIQ20" s="64"/>
      <c r="DIR20" s="64"/>
      <c r="DIS20" s="64"/>
      <c r="DIT20" s="64"/>
      <c r="DIU20" s="64"/>
      <c r="DIV20" s="64"/>
      <c r="DIW20" s="64"/>
      <c r="DIX20" s="64"/>
      <c r="DIY20" s="64"/>
      <c r="DIZ20" s="64"/>
      <c r="DJA20" s="64"/>
      <c r="DJB20" s="64"/>
      <c r="DJC20" s="64"/>
      <c r="DJD20" s="64"/>
      <c r="DJE20" s="64"/>
      <c r="DJF20" s="64"/>
      <c r="DJG20" s="64"/>
      <c r="DJH20" s="64"/>
      <c r="DJI20" s="64"/>
      <c r="DJJ20" s="64"/>
      <c r="DJK20" s="64"/>
      <c r="DJL20" s="64"/>
      <c r="DJM20" s="64"/>
      <c r="DJN20" s="64"/>
      <c r="DJO20" s="64"/>
      <c r="DJP20" s="64"/>
      <c r="DJQ20" s="64"/>
      <c r="DJR20" s="64"/>
      <c r="DJS20" s="64"/>
      <c r="DJT20" s="64"/>
      <c r="DJU20" s="64"/>
      <c r="DJV20" s="64"/>
      <c r="DJW20" s="64"/>
      <c r="DJX20" s="64"/>
      <c r="DJY20" s="64"/>
      <c r="DJZ20" s="64"/>
      <c r="DKA20" s="64"/>
      <c r="DKB20" s="64"/>
      <c r="DKC20" s="64"/>
      <c r="DKD20" s="64"/>
      <c r="DKE20" s="64"/>
      <c r="DKF20" s="64"/>
      <c r="DKG20" s="64"/>
      <c r="DKH20" s="64"/>
      <c r="DKI20" s="64"/>
      <c r="DKJ20" s="64"/>
      <c r="DKK20" s="64"/>
      <c r="DKL20" s="64"/>
      <c r="DKM20" s="64"/>
      <c r="DKN20" s="64"/>
      <c r="DKO20" s="64"/>
      <c r="DKP20" s="64"/>
      <c r="DKQ20" s="64"/>
      <c r="DKR20" s="64"/>
      <c r="DKS20" s="64"/>
      <c r="DKT20" s="64"/>
      <c r="DKU20" s="64"/>
      <c r="DKV20" s="64"/>
      <c r="DKW20" s="64"/>
      <c r="DKX20" s="64"/>
      <c r="DKY20" s="64"/>
      <c r="DKZ20" s="64"/>
      <c r="DLA20" s="64"/>
      <c r="DLB20" s="64"/>
      <c r="DLC20" s="64"/>
      <c r="DLD20" s="64"/>
      <c r="DLE20" s="64"/>
      <c r="DLF20" s="64"/>
      <c r="DLG20" s="64"/>
      <c r="DLH20" s="64"/>
      <c r="DLI20" s="64"/>
      <c r="DLJ20" s="64"/>
      <c r="DLK20" s="64"/>
      <c r="DLL20" s="64"/>
      <c r="DLM20" s="64"/>
      <c r="DLN20" s="64"/>
      <c r="DLO20" s="64"/>
      <c r="DLP20" s="64"/>
      <c r="DLQ20" s="64"/>
      <c r="DLR20" s="64"/>
      <c r="DLS20" s="64"/>
      <c r="DLT20" s="64"/>
      <c r="DLU20" s="64"/>
      <c r="DLV20" s="64"/>
      <c r="DLW20" s="64"/>
      <c r="DLX20" s="64"/>
      <c r="DLY20" s="64"/>
      <c r="DLZ20" s="64"/>
      <c r="DMA20" s="64"/>
      <c r="DMB20" s="64"/>
      <c r="DMC20" s="64"/>
      <c r="DMD20" s="64"/>
      <c r="DME20" s="64"/>
      <c r="DMF20" s="64"/>
      <c r="DMG20" s="64"/>
      <c r="DMH20" s="64"/>
      <c r="DMI20" s="64"/>
      <c r="DMJ20" s="64"/>
      <c r="DMK20" s="64"/>
      <c r="DML20" s="64"/>
      <c r="DMM20" s="64"/>
      <c r="DMN20" s="64"/>
      <c r="DMO20" s="64"/>
      <c r="DMP20" s="64"/>
      <c r="DMQ20" s="64"/>
      <c r="DMR20" s="64"/>
      <c r="DMS20" s="64"/>
      <c r="DMT20" s="64"/>
      <c r="DMU20" s="64"/>
      <c r="DMV20" s="64"/>
      <c r="DMW20" s="64"/>
      <c r="DMX20" s="64"/>
      <c r="DMY20" s="64"/>
      <c r="DMZ20" s="64"/>
      <c r="DNA20" s="64"/>
      <c r="DNB20" s="64"/>
      <c r="DNC20" s="64"/>
      <c r="DND20" s="64"/>
      <c r="DNE20" s="64"/>
      <c r="DNF20" s="64"/>
      <c r="DNG20" s="64"/>
      <c r="DNH20" s="64"/>
      <c r="DNI20" s="64"/>
      <c r="DNJ20" s="64"/>
      <c r="DNK20" s="64"/>
      <c r="DNL20" s="64"/>
      <c r="DNM20" s="64"/>
      <c r="DNN20" s="64"/>
      <c r="DNO20" s="64"/>
      <c r="DNP20" s="64"/>
      <c r="DNQ20" s="64"/>
      <c r="DNR20" s="64"/>
      <c r="DNS20" s="64"/>
      <c r="DNT20" s="64"/>
      <c r="DNU20" s="64"/>
      <c r="DNV20" s="64"/>
      <c r="DNW20" s="64"/>
      <c r="DNX20" s="64"/>
      <c r="DNY20" s="64"/>
      <c r="DNZ20" s="64"/>
      <c r="DOA20" s="64"/>
      <c r="DOB20" s="64"/>
      <c r="DOC20" s="64"/>
      <c r="DOD20" s="64"/>
      <c r="DOE20" s="64"/>
      <c r="DOF20" s="64"/>
      <c r="DOG20" s="64"/>
      <c r="DOH20" s="64"/>
      <c r="DOI20" s="64"/>
      <c r="DOJ20" s="64"/>
      <c r="DOK20" s="64"/>
      <c r="DOL20" s="64"/>
      <c r="DOM20" s="64"/>
      <c r="DON20" s="64"/>
      <c r="DOO20" s="64"/>
      <c r="DOP20" s="64"/>
      <c r="DOQ20" s="64"/>
      <c r="DOR20" s="64"/>
      <c r="DOS20" s="64"/>
      <c r="DOT20" s="64"/>
      <c r="DOU20" s="64"/>
      <c r="DOV20" s="64"/>
      <c r="DOW20" s="64"/>
      <c r="DOX20" s="64"/>
      <c r="DOY20" s="64"/>
      <c r="DOZ20" s="64"/>
      <c r="DPA20" s="64"/>
      <c r="DPB20" s="64"/>
      <c r="DPC20" s="64"/>
      <c r="DPD20" s="64"/>
      <c r="DPE20" s="64"/>
      <c r="DPF20" s="64"/>
      <c r="DPG20" s="64"/>
      <c r="DPH20" s="64"/>
      <c r="DPI20" s="64"/>
      <c r="DPJ20" s="64"/>
      <c r="DPK20" s="64"/>
      <c r="DPL20" s="64"/>
      <c r="DPM20" s="64"/>
      <c r="DPN20" s="64"/>
      <c r="DPO20" s="64"/>
      <c r="DPP20" s="64"/>
      <c r="DPQ20" s="64"/>
      <c r="DPR20" s="64"/>
      <c r="DPS20" s="64"/>
      <c r="DPT20" s="64"/>
      <c r="DPU20" s="64"/>
      <c r="DPV20" s="64"/>
      <c r="DPW20" s="64"/>
      <c r="DPX20" s="64"/>
      <c r="DPY20" s="64"/>
      <c r="DPZ20" s="64"/>
      <c r="DQA20" s="64"/>
      <c r="DQB20" s="64"/>
      <c r="DQC20" s="64"/>
      <c r="DQD20" s="64"/>
      <c r="DQE20" s="64"/>
      <c r="DQF20" s="64"/>
      <c r="DQG20" s="64"/>
      <c r="DQH20" s="64"/>
      <c r="DQI20" s="64"/>
      <c r="DQJ20" s="64"/>
      <c r="DQK20" s="64"/>
      <c r="DQL20" s="64"/>
      <c r="DQM20" s="64"/>
      <c r="DQN20" s="64"/>
      <c r="DQO20" s="64"/>
      <c r="DQP20" s="64"/>
      <c r="DQQ20" s="64"/>
      <c r="DQR20" s="64"/>
      <c r="DQS20" s="64"/>
      <c r="DQT20" s="64"/>
      <c r="DQU20" s="64"/>
      <c r="DQV20" s="64"/>
      <c r="DQW20" s="64"/>
      <c r="DQX20" s="64"/>
      <c r="DQY20" s="64"/>
      <c r="DQZ20" s="64"/>
      <c r="DRA20" s="64"/>
      <c r="DRB20" s="64"/>
      <c r="DRC20" s="64"/>
      <c r="DRD20" s="64"/>
      <c r="DRE20" s="64"/>
      <c r="DRF20" s="64"/>
      <c r="DRG20" s="64"/>
      <c r="DRH20" s="64"/>
      <c r="DRI20" s="64"/>
      <c r="DRJ20" s="64"/>
      <c r="DRK20" s="64"/>
      <c r="DRL20" s="64"/>
      <c r="DRM20" s="64"/>
      <c r="DRN20" s="64"/>
      <c r="DRO20" s="64"/>
      <c r="DRP20" s="64"/>
      <c r="DRQ20" s="64"/>
      <c r="DRR20" s="64"/>
      <c r="DRS20" s="64"/>
      <c r="DRT20" s="64"/>
      <c r="DRU20" s="64"/>
      <c r="DRV20" s="64"/>
      <c r="DRW20" s="64"/>
      <c r="DRX20" s="64"/>
      <c r="DRY20" s="64"/>
      <c r="DRZ20" s="64"/>
      <c r="DSA20" s="64"/>
      <c r="DSB20" s="64"/>
      <c r="DSC20" s="64"/>
      <c r="DSD20" s="64"/>
      <c r="DSE20" s="64"/>
      <c r="DSF20" s="64"/>
      <c r="DSG20" s="64"/>
      <c r="DSH20" s="64"/>
      <c r="DSI20" s="64"/>
      <c r="DSJ20" s="64"/>
      <c r="DSK20" s="64"/>
      <c r="DSL20" s="64"/>
      <c r="DSM20" s="64"/>
      <c r="DSN20" s="64"/>
      <c r="DSO20" s="64"/>
      <c r="DSP20" s="64"/>
      <c r="DSQ20" s="64"/>
      <c r="DSR20" s="64"/>
      <c r="DSS20" s="64"/>
      <c r="DST20" s="64"/>
      <c r="DSU20" s="64"/>
      <c r="DSV20" s="64"/>
      <c r="DSW20" s="64"/>
      <c r="DSX20" s="64"/>
      <c r="DSY20" s="64"/>
      <c r="DSZ20" s="64"/>
      <c r="DTA20" s="64"/>
      <c r="DTB20" s="64"/>
      <c r="DTC20" s="64"/>
      <c r="DTD20" s="64"/>
      <c r="DTE20" s="64"/>
      <c r="DTF20" s="64"/>
      <c r="DTG20" s="64"/>
      <c r="DTH20" s="64"/>
      <c r="DTI20" s="64"/>
      <c r="DTJ20" s="64"/>
      <c r="DTK20" s="64"/>
      <c r="DTL20" s="64"/>
      <c r="DTM20" s="64"/>
      <c r="DTN20" s="64"/>
      <c r="DTO20" s="64"/>
      <c r="DTP20" s="64"/>
      <c r="DTQ20" s="64"/>
      <c r="DTR20" s="64"/>
      <c r="DTS20" s="64"/>
      <c r="DTT20" s="64"/>
      <c r="DTU20" s="64"/>
      <c r="DTV20" s="64"/>
      <c r="DTW20" s="64"/>
      <c r="DTX20" s="64"/>
      <c r="DTY20" s="64"/>
      <c r="DTZ20" s="64"/>
      <c r="DUA20" s="64"/>
      <c r="DUB20" s="64"/>
      <c r="DUC20" s="64"/>
      <c r="DUD20" s="64"/>
      <c r="DUE20" s="64"/>
      <c r="DUF20" s="64"/>
      <c r="DUG20" s="64"/>
      <c r="DUH20" s="64"/>
      <c r="DUI20" s="64"/>
      <c r="DUJ20" s="64"/>
      <c r="DUK20" s="64"/>
      <c r="DUL20" s="64"/>
      <c r="DUM20" s="64"/>
      <c r="DUN20" s="64"/>
      <c r="DUO20" s="64"/>
      <c r="DUP20" s="64"/>
      <c r="DUQ20" s="64"/>
      <c r="DUR20" s="64"/>
      <c r="DUS20" s="64"/>
      <c r="DUT20" s="64"/>
      <c r="DUU20" s="64"/>
      <c r="DUV20" s="64"/>
      <c r="DUW20" s="64"/>
      <c r="DUX20" s="64"/>
      <c r="DUY20" s="64"/>
      <c r="DUZ20" s="64"/>
      <c r="DVA20" s="64"/>
      <c r="DVB20" s="64"/>
      <c r="DVC20" s="64"/>
      <c r="DVD20" s="64"/>
      <c r="DVE20" s="64"/>
      <c r="DVF20" s="64"/>
      <c r="DVG20" s="64"/>
      <c r="DVH20" s="64"/>
      <c r="DVI20" s="64"/>
      <c r="DVJ20" s="64"/>
      <c r="DVK20" s="64"/>
      <c r="DVL20" s="64"/>
      <c r="DVM20" s="64"/>
      <c r="DVN20" s="64"/>
      <c r="DVO20" s="64"/>
      <c r="DVP20" s="64"/>
      <c r="DVQ20" s="64"/>
      <c r="DVR20" s="64"/>
      <c r="DVS20" s="64"/>
      <c r="DVT20" s="64"/>
      <c r="DVU20" s="64"/>
      <c r="DVV20" s="64"/>
      <c r="DVW20" s="64"/>
      <c r="DVX20" s="64"/>
      <c r="DVY20" s="64"/>
      <c r="DVZ20" s="64"/>
      <c r="DWA20" s="64"/>
      <c r="DWB20" s="64"/>
      <c r="DWC20" s="64"/>
      <c r="DWD20" s="64"/>
      <c r="DWE20" s="64"/>
      <c r="DWF20" s="64"/>
      <c r="DWG20" s="64"/>
      <c r="DWH20" s="64"/>
      <c r="DWI20" s="64"/>
      <c r="DWJ20" s="64"/>
      <c r="DWK20" s="64"/>
      <c r="DWL20" s="64"/>
      <c r="DWM20" s="64"/>
      <c r="DWN20" s="64"/>
      <c r="DWO20" s="64"/>
      <c r="DWP20" s="64"/>
      <c r="DWQ20" s="64"/>
      <c r="DWR20" s="64"/>
      <c r="DWS20" s="64"/>
      <c r="DWT20" s="64"/>
      <c r="DWU20" s="64"/>
      <c r="DWV20" s="64"/>
      <c r="DWW20" s="64"/>
      <c r="DWX20" s="64"/>
      <c r="DWY20" s="64"/>
      <c r="DWZ20" s="64"/>
      <c r="DXA20" s="64"/>
      <c r="DXB20" s="64"/>
      <c r="DXC20" s="64"/>
      <c r="DXD20" s="64"/>
      <c r="DXE20" s="64"/>
      <c r="DXF20" s="64"/>
      <c r="DXG20" s="64"/>
      <c r="DXH20" s="64"/>
      <c r="DXI20" s="64"/>
      <c r="DXJ20" s="64"/>
      <c r="DXK20" s="64"/>
      <c r="DXL20" s="64"/>
      <c r="DXM20" s="64"/>
      <c r="DXN20" s="64"/>
      <c r="DXO20" s="64"/>
      <c r="DXP20" s="64"/>
      <c r="DXQ20" s="64"/>
      <c r="DXR20" s="64"/>
      <c r="DXS20" s="64"/>
      <c r="DXT20" s="64"/>
      <c r="DXU20" s="64"/>
      <c r="DXV20" s="64"/>
      <c r="DXW20" s="64"/>
      <c r="DXX20" s="64"/>
      <c r="DXY20" s="64"/>
      <c r="DXZ20" s="64"/>
      <c r="DYA20" s="64"/>
      <c r="DYB20" s="64"/>
      <c r="DYC20" s="64"/>
      <c r="DYD20" s="64"/>
      <c r="DYE20" s="64"/>
      <c r="DYF20" s="64"/>
      <c r="DYG20" s="64"/>
      <c r="DYH20" s="64"/>
      <c r="DYI20" s="64"/>
      <c r="DYJ20" s="64"/>
      <c r="DYK20" s="64"/>
      <c r="DYL20" s="64"/>
      <c r="DYM20" s="64"/>
      <c r="DYN20" s="64"/>
      <c r="DYO20" s="64"/>
      <c r="DYP20" s="64"/>
      <c r="DYQ20" s="64"/>
      <c r="DYR20" s="64"/>
      <c r="DYS20" s="64"/>
      <c r="DYT20" s="64"/>
      <c r="DYU20" s="64"/>
      <c r="DYV20" s="64"/>
      <c r="DYW20" s="64"/>
      <c r="DYX20" s="64"/>
      <c r="DYY20" s="64"/>
      <c r="DYZ20" s="64"/>
      <c r="DZA20" s="64"/>
      <c r="DZB20" s="64"/>
      <c r="DZC20" s="64"/>
      <c r="DZD20" s="64"/>
      <c r="DZE20" s="64"/>
      <c r="DZF20" s="64"/>
      <c r="DZG20" s="64"/>
      <c r="DZH20" s="64"/>
      <c r="DZI20" s="64"/>
      <c r="DZJ20" s="64"/>
      <c r="DZK20" s="64"/>
      <c r="DZL20" s="64"/>
      <c r="DZM20" s="64"/>
      <c r="DZN20" s="64"/>
      <c r="DZO20" s="64"/>
      <c r="DZP20" s="64"/>
      <c r="DZQ20" s="64"/>
      <c r="DZR20" s="64"/>
      <c r="DZS20" s="64"/>
      <c r="DZT20" s="64"/>
      <c r="DZU20" s="64"/>
      <c r="DZV20" s="64"/>
      <c r="DZW20" s="64"/>
      <c r="DZX20" s="64"/>
      <c r="DZY20" s="64"/>
      <c r="DZZ20" s="64"/>
      <c r="EAA20" s="64"/>
      <c r="EAB20" s="64"/>
      <c r="EAC20" s="64"/>
      <c r="EAD20" s="64"/>
      <c r="EAE20" s="64"/>
      <c r="EAF20" s="64"/>
      <c r="EAG20" s="64"/>
      <c r="EAH20" s="64"/>
      <c r="EAI20" s="64"/>
      <c r="EAJ20" s="64"/>
      <c r="EAK20" s="64"/>
      <c r="EAL20" s="64"/>
      <c r="EAM20" s="64"/>
      <c r="EAN20" s="64"/>
      <c r="EAO20" s="64"/>
      <c r="EAP20" s="64"/>
      <c r="EAQ20" s="64"/>
      <c r="EAR20" s="64"/>
      <c r="EAS20" s="64"/>
      <c r="EAT20" s="64"/>
      <c r="EAU20" s="64"/>
      <c r="EAV20" s="64"/>
      <c r="EAW20" s="64"/>
      <c r="EAX20" s="64"/>
      <c r="EAY20" s="64"/>
      <c r="EAZ20" s="64"/>
      <c r="EBA20" s="64"/>
      <c r="EBB20" s="64"/>
      <c r="EBC20" s="64"/>
      <c r="EBD20" s="64"/>
      <c r="EBE20" s="64"/>
      <c r="EBF20" s="64"/>
      <c r="EBG20" s="64"/>
      <c r="EBH20" s="64"/>
      <c r="EBI20" s="64"/>
      <c r="EBJ20" s="64"/>
      <c r="EBK20" s="64"/>
      <c r="EBL20" s="64"/>
      <c r="EBM20" s="64"/>
      <c r="EBN20" s="64"/>
      <c r="EBO20" s="64"/>
      <c r="EBP20" s="64"/>
      <c r="EBQ20" s="64"/>
      <c r="EBR20" s="64"/>
      <c r="EBS20" s="64"/>
      <c r="EBT20" s="64"/>
      <c r="EBU20" s="64"/>
      <c r="EBV20" s="64"/>
      <c r="EBW20" s="64"/>
      <c r="EBX20" s="64"/>
      <c r="EBY20" s="64"/>
      <c r="EBZ20" s="64"/>
      <c r="ECA20" s="64"/>
      <c r="ECB20" s="64"/>
      <c r="ECC20" s="64"/>
      <c r="ECD20" s="64"/>
      <c r="ECE20" s="64"/>
      <c r="ECF20" s="64"/>
      <c r="ECG20" s="64"/>
      <c r="ECH20" s="64"/>
      <c r="ECI20" s="64"/>
      <c r="ECJ20" s="64"/>
      <c r="ECK20" s="64"/>
      <c r="ECL20" s="64"/>
      <c r="ECM20" s="64"/>
      <c r="ECN20" s="64"/>
      <c r="ECO20" s="64"/>
      <c r="ECP20" s="64"/>
      <c r="ECQ20" s="64"/>
      <c r="ECR20" s="64"/>
      <c r="ECS20" s="64"/>
      <c r="ECT20" s="64"/>
      <c r="ECU20" s="64"/>
      <c r="ECV20" s="64"/>
      <c r="ECW20" s="64"/>
      <c r="ECX20" s="64"/>
      <c r="ECY20" s="64"/>
      <c r="ECZ20" s="64"/>
      <c r="EDA20" s="64"/>
      <c r="EDB20" s="64"/>
      <c r="EDC20" s="64"/>
      <c r="EDD20" s="64"/>
      <c r="EDE20" s="64"/>
      <c r="EDF20" s="64"/>
      <c r="EDG20" s="64"/>
      <c r="EDH20" s="64"/>
      <c r="EDI20" s="64"/>
      <c r="EDJ20" s="64"/>
      <c r="EDK20" s="64"/>
      <c r="EDL20" s="64"/>
      <c r="EDM20" s="64"/>
      <c r="EDN20" s="64"/>
      <c r="EDO20" s="64"/>
      <c r="EDP20" s="64"/>
      <c r="EDQ20" s="64"/>
      <c r="EDR20" s="64"/>
      <c r="EDS20" s="64"/>
      <c r="EDT20" s="64"/>
      <c r="EDU20" s="64"/>
      <c r="EDV20" s="64"/>
      <c r="EDW20" s="64"/>
      <c r="EDX20" s="64"/>
      <c r="EDY20" s="64"/>
      <c r="EDZ20" s="64"/>
      <c r="EEA20" s="64"/>
      <c r="EEB20" s="64"/>
      <c r="EEC20" s="64"/>
      <c r="EED20" s="64"/>
      <c r="EEE20" s="64"/>
      <c r="EEF20" s="64"/>
      <c r="EEG20" s="64"/>
      <c r="EEH20" s="64"/>
      <c r="EEI20" s="64"/>
      <c r="EEJ20" s="64"/>
      <c r="EEK20" s="64"/>
      <c r="EEL20" s="64"/>
      <c r="EEM20" s="64"/>
      <c r="EEN20" s="64"/>
      <c r="EEO20" s="64"/>
      <c r="EEP20" s="64"/>
      <c r="EEQ20" s="64"/>
      <c r="EER20" s="64"/>
      <c r="EES20" s="64"/>
      <c r="EET20" s="64"/>
      <c r="EEU20" s="64"/>
      <c r="EEV20" s="64"/>
      <c r="EEW20" s="64"/>
      <c r="EEX20" s="64"/>
      <c r="EEY20" s="64"/>
      <c r="EEZ20" s="64"/>
      <c r="EFA20" s="64"/>
      <c r="EFB20" s="64"/>
      <c r="EFC20" s="64"/>
      <c r="EFD20" s="64"/>
      <c r="EFE20" s="64"/>
      <c r="EFF20" s="64"/>
      <c r="EFG20" s="64"/>
      <c r="EFH20" s="64"/>
      <c r="EFI20" s="64"/>
      <c r="EFJ20" s="64"/>
      <c r="EFK20" s="64"/>
      <c r="EFL20" s="64"/>
      <c r="EFM20" s="64"/>
      <c r="EFN20" s="64"/>
      <c r="EFO20" s="64"/>
      <c r="EFP20" s="64"/>
      <c r="EFQ20" s="64"/>
      <c r="EFR20" s="64"/>
      <c r="EFS20" s="64"/>
      <c r="EFT20" s="64"/>
      <c r="EFU20" s="64"/>
      <c r="EFV20" s="64"/>
      <c r="EFW20" s="64"/>
      <c r="EFX20" s="64"/>
      <c r="EFY20" s="64"/>
      <c r="EFZ20" s="64"/>
      <c r="EGA20" s="64"/>
      <c r="EGB20" s="64"/>
      <c r="EGC20" s="64"/>
      <c r="EGD20" s="64"/>
      <c r="EGE20" s="64"/>
      <c r="EGF20" s="64"/>
      <c r="EGG20" s="64"/>
      <c r="EGH20" s="64"/>
      <c r="EGI20" s="64"/>
      <c r="EGJ20" s="64"/>
      <c r="EGK20" s="64"/>
      <c r="EGL20" s="64"/>
      <c r="EGM20" s="64"/>
      <c r="EGN20" s="64"/>
      <c r="EGO20" s="64"/>
      <c r="EGP20" s="64"/>
      <c r="EGQ20" s="64"/>
      <c r="EGR20" s="64"/>
      <c r="EGS20" s="64"/>
      <c r="EGT20" s="64"/>
      <c r="EGU20" s="64"/>
      <c r="EGV20" s="64"/>
      <c r="EGW20" s="64"/>
      <c r="EGX20" s="64"/>
      <c r="EGY20" s="64"/>
      <c r="EGZ20" s="64"/>
      <c r="EHA20" s="64"/>
      <c r="EHB20" s="64"/>
      <c r="EHC20" s="64"/>
      <c r="EHD20" s="64"/>
      <c r="EHE20" s="64"/>
      <c r="EHF20" s="64"/>
      <c r="EHG20" s="64"/>
      <c r="EHH20" s="64"/>
      <c r="EHI20" s="64"/>
      <c r="EHJ20" s="64"/>
      <c r="EHK20" s="64"/>
      <c r="EHL20" s="64"/>
      <c r="EHM20" s="64"/>
      <c r="EHN20" s="64"/>
      <c r="EHO20" s="64"/>
      <c r="EHP20" s="64"/>
      <c r="EHQ20" s="64"/>
      <c r="EHR20" s="64"/>
      <c r="EHS20" s="64"/>
      <c r="EHT20" s="64"/>
      <c r="EHU20" s="64"/>
      <c r="EHV20" s="64"/>
      <c r="EHW20" s="64"/>
      <c r="EHX20" s="64"/>
      <c r="EHY20" s="64"/>
      <c r="EHZ20" s="64"/>
      <c r="EIA20" s="64"/>
      <c r="EIB20" s="64"/>
      <c r="EIC20" s="64"/>
      <c r="EID20" s="64"/>
      <c r="EIE20" s="64"/>
      <c r="EIF20" s="64"/>
      <c r="EIG20" s="64"/>
      <c r="EIH20" s="64"/>
      <c r="EII20" s="64"/>
      <c r="EIJ20" s="64"/>
      <c r="EIK20" s="64"/>
      <c r="EIL20" s="64"/>
      <c r="EIM20" s="64"/>
      <c r="EIN20" s="64"/>
      <c r="EIO20" s="64"/>
      <c r="EIP20" s="64"/>
      <c r="EIQ20" s="64"/>
      <c r="EIR20" s="64"/>
      <c r="EIS20" s="64"/>
      <c r="EIT20" s="64"/>
      <c r="EIU20" s="64"/>
      <c r="EIV20" s="64"/>
      <c r="EIW20" s="64"/>
      <c r="EIX20" s="64"/>
      <c r="EIY20" s="64"/>
      <c r="EIZ20" s="64"/>
      <c r="EJA20" s="64"/>
      <c r="EJB20" s="64"/>
      <c r="EJC20" s="64"/>
      <c r="EJD20" s="64"/>
      <c r="EJE20" s="64"/>
      <c r="EJF20" s="64"/>
      <c r="EJG20" s="64"/>
      <c r="EJH20" s="64"/>
      <c r="EJI20" s="64"/>
      <c r="EJJ20" s="64"/>
      <c r="EJK20" s="64"/>
      <c r="EJL20" s="64"/>
      <c r="EJM20" s="64"/>
      <c r="EJN20" s="64"/>
      <c r="EJO20" s="64"/>
      <c r="EJP20" s="64"/>
      <c r="EJQ20" s="64"/>
      <c r="EJR20" s="64"/>
      <c r="EJS20" s="64"/>
      <c r="EJT20" s="64"/>
      <c r="EJU20" s="64"/>
      <c r="EJV20" s="64"/>
      <c r="EJW20" s="64"/>
      <c r="EJX20" s="64"/>
      <c r="EJY20" s="64"/>
      <c r="EJZ20" s="64"/>
      <c r="EKA20" s="64"/>
      <c r="EKB20" s="64"/>
      <c r="EKC20" s="64"/>
      <c r="EKD20" s="64"/>
      <c r="EKE20" s="64"/>
      <c r="EKF20" s="64"/>
      <c r="EKG20" s="64"/>
      <c r="EKH20" s="64"/>
      <c r="EKI20" s="64"/>
      <c r="EKJ20" s="64"/>
      <c r="EKK20" s="64"/>
      <c r="EKL20" s="64"/>
      <c r="EKM20" s="64"/>
      <c r="EKN20" s="64"/>
      <c r="EKO20" s="64"/>
      <c r="EKP20" s="64"/>
      <c r="EKQ20" s="64"/>
      <c r="EKR20" s="64"/>
      <c r="EKS20" s="64"/>
      <c r="EKT20" s="64"/>
      <c r="EKU20" s="64"/>
      <c r="EKV20" s="64"/>
      <c r="EKW20" s="64"/>
      <c r="EKX20" s="64"/>
      <c r="EKY20" s="64"/>
      <c r="EKZ20" s="64"/>
      <c r="ELA20" s="64"/>
      <c r="ELB20" s="64"/>
      <c r="ELC20" s="64"/>
      <c r="ELD20" s="64"/>
      <c r="ELE20" s="64"/>
      <c r="ELF20" s="64"/>
      <c r="ELG20" s="64"/>
      <c r="ELH20" s="64"/>
      <c r="ELI20" s="64"/>
      <c r="ELJ20" s="64"/>
      <c r="ELK20" s="64"/>
      <c r="ELL20" s="64"/>
      <c r="ELM20" s="64"/>
      <c r="ELN20" s="64"/>
      <c r="ELO20" s="64"/>
      <c r="ELP20" s="64"/>
      <c r="ELQ20" s="64"/>
      <c r="ELR20" s="64"/>
      <c r="ELS20" s="64"/>
      <c r="ELT20" s="64"/>
      <c r="ELU20" s="64"/>
      <c r="ELV20" s="64"/>
      <c r="ELW20" s="64"/>
      <c r="ELX20" s="64"/>
      <c r="ELY20" s="64"/>
      <c r="ELZ20" s="64"/>
      <c r="EMA20" s="64"/>
      <c r="EMB20" s="64"/>
      <c r="EMC20" s="64"/>
      <c r="EMD20" s="64"/>
      <c r="EME20" s="64"/>
      <c r="EMF20" s="64"/>
      <c r="EMG20" s="64"/>
      <c r="EMH20" s="64"/>
      <c r="EMI20" s="64"/>
      <c r="EMJ20" s="64"/>
      <c r="EMK20" s="64"/>
      <c r="EML20" s="64"/>
      <c r="EMM20" s="64"/>
      <c r="EMN20" s="64"/>
      <c r="EMO20" s="64"/>
      <c r="EMP20" s="64"/>
      <c r="EMQ20" s="64"/>
      <c r="EMR20" s="64"/>
      <c r="EMS20" s="64"/>
      <c r="EMT20" s="64"/>
      <c r="EMU20" s="64"/>
      <c r="EMV20" s="64"/>
      <c r="EMW20" s="64"/>
      <c r="EMX20" s="64"/>
      <c r="EMY20" s="64"/>
      <c r="EMZ20" s="64"/>
      <c r="ENA20" s="64"/>
      <c r="ENB20" s="64"/>
      <c r="ENC20" s="64"/>
      <c r="END20" s="64"/>
      <c r="ENE20" s="64"/>
      <c r="ENF20" s="64"/>
      <c r="ENG20" s="64"/>
      <c r="ENH20" s="64"/>
      <c r="ENI20" s="64"/>
      <c r="ENJ20" s="64"/>
      <c r="ENK20" s="64"/>
      <c r="ENL20" s="64"/>
      <c r="ENM20" s="64"/>
      <c r="ENN20" s="64"/>
      <c r="ENO20" s="64"/>
      <c r="ENP20" s="64"/>
      <c r="ENQ20" s="64"/>
      <c r="ENR20" s="64"/>
      <c r="ENS20" s="64"/>
      <c r="ENT20" s="64"/>
      <c r="ENU20" s="64"/>
      <c r="ENV20" s="64"/>
      <c r="ENW20" s="64"/>
      <c r="ENX20" s="64"/>
      <c r="ENY20" s="64"/>
      <c r="ENZ20" s="64"/>
      <c r="EOA20" s="64"/>
      <c r="EOB20" s="64"/>
      <c r="EOC20" s="64"/>
      <c r="EOD20" s="64"/>
      <c r="EOE20" s="64"/>
      <c r="EOF20" s="64"/>
      <c r="EOG20" s="64"/>
      <c r="EOH20" s="64"/>
      <c r="EOI20" s="64"/>
      <c r="EOJ20" s="64"/>
      <c r="EOK20" s="64"/>
      <c r="EOL20" s="64"/>
      <c r="EOM20" s="64"/>
      <c r="EON20" s="64"/>
      <c r="EOO20" s="64"/>
      <c r="EOP20" s="64"/>
      <c r="EOQ20" s="64"/>
      <c r="EOR20" s="64"/>
      <c r="EOS20" s="64"/>
      <c r="EOT20" s="64"/>
      <c r="EOU20" s="64"/>
      <c r="EOV20" s="64"/>
      <c r="EOW20" s="64"/>
      <c r="EOX20" s="64"/>
      <c r="EOY20" s="64"/>
      <c r="EOZ20" s="64"/>
      <c r="EPA20" s="64"/>
      <c r="EPB20" s="64"/>
      <c r="EPC20" s="64"/>
      <c r="EPD20" s="64"/>
      <c r="EPE20" s="64"/>
      <c r="EPF20" s="64"/>
      <c r="EPG20" s="64"/>
      <c r="EPH20" s="64"/>
      <c r="EPI20" s="64"/>
      <c r="EPJ20" s="64"/>
      <c r="EPK20" s="64"/>
      <c r="EPL20" s="64"/>
      <c r="EPM20" s="64"/>
      <c r="EPN20" s="64"/>
      <c r="EPO20" s="64"/>
      <c r="EPP20" s="64"/>
      <c r="EPQ20" s="64"/>
      <c r="EPR20" s="64"/>
      <c r="EPS20" s="64"/>
      <c r="EPT20" s="64"/>
      <c r="EPU20" s="64"/>
      <c r="EPV20" s="64"/>
      <c r="EPW20" s="64"/>
      <c r="EPX20" s="64"/>
      <c r="EPY20" s="64"/>
      <c r="EPZ20" s="64"/>
      <c r="EQA20" s="64"/>
      <c r="EQB20" s="64"/>
      <c r="EQC20" s="64"/>
      <c r="EQD20" s="64"/>
      <c r="EQE20" s="64"/>
      <c r="EQF20" s="64"/>
      <c r="EQG20" s="64"/>
      <c r="EQH20" s="64"/>
      <c r="EQI20" s="64"/>
      <c r="EQJ20" s="64"/>
      <c r="EQK20" s="64"/>
      <c r="EQL20" s="64"/>
      <c r="EQM20" s="64"/>
      <c r="EQN20" s="64"/>
      <c r="EQO20" s="64"/>
      <c r="EQP20" s="64"/>
      <c r="EQQ20" s="64"/>
      <c r="EQR20" s="64"/>
      <c r="EQS20" s="64"/>
      <c r="EQT20" s="64"/>
      <c r="EQU20" s="64"/>
      <c r="EQV20" s="64"/>
      <c r="EQW20" s="64"/>
      <c r="EQX20" s="64"/>
      <c r="EQY20" s="64"/>
      <c r="EQZ20" s="64"/>
      <c r="ERA20" s="64"/>
      <c r="ERB20" s="64"/>
      <c r="ERC20" s="64"/>
      <c r="ERD20" s="64"/>
      <c r="ERE20" s="64"/>
      <c r="ERF20" s="64"/>
      <c r="ERG20" s="64"/>
      <c r="ERH20" s="64"/>
      <c r="ERI20" s="64"/>
      <c r="ERJ20" s="64"/>
      <c r="ERK20" s="64"/>
      <c r="ERL20" s="64"/>
      <c r="ERM20" s="64"/>
      <c r="ERN20" s="64"/>
      <c r="ERO20" s="64"/>
      <c r="ERP20" s="64"/>
      <c r="ERQ20" s="64"/>
      <c r="ERR20" s="64"/>
      <c r="ERS20" s="64"/>
      <c r="ERT20" s="64"/>
      <c r="ERU20" s="64"/>
      <c r="ERV20" s="64"/>
      <c r="ERW20" s="64"/>
      <c r="ERX20" s="64"/>
      <c r="ERY20" s="64"/>
      <c r="ERZ20" s="64"/>
      <c r="ESA20" s="64"/>
      <c r="ESB20" s="64"/>
      <c r="ESC20" s="64"/>
      <c r="ESD20" s="64"/>
      <c r="ESE20" s="64"/>
      <c r="ESF20" s="64"/>
      <c r="ESG20" s="64"/>
      <c r="ESH20" s="64"/>
      <c r="ESI20" s="64"/>
      <c r="ESJ20" s="64"/>
      <c r="ESK20" s="64"/>
      <c r="ESL20" s="64"/>
      <c r="ESM20" s="64"/>
      <c r="ESN20" s="64"/>
      <c r="ESO20" s="64"/>
      <c r="ESP20" s="64"/>
      <c r="ESQ20" s="64"/>
      <c r="ESR20" s="64"/>
      <c r="ESS20" s="64"/>
      <c r="EST20" s="64"/>
      <c r="ESU20" s="64"/>
      <c r="ESV20" s="64"/>
      <c r="ESW20" s="64"/>
      <c r="ESX20" s="64"/>
      <c r="ESY20" s="64"/>
      <c r="ESZ20" s="64"/>
      <c r="ETA20" s="64"/>
      <c r="ETB20" s="64"/>
      <c r="ETC20" s="64"/>
      <c r="ETD20" s="64"/>
      <c r="ETE20" s="64"/>
      <c r="ETF20" s="64"/>
      <c r="ETG20" s="64"/>
      <c r="ETH20" s="64"/>
      <c r="ETI20" s="64"/>
      <c r="ETJ20" s="64"/>
      <c r="ETK20" s="64"/>
      <c r="ETL20" s="64"/>
      <c r="ETM20" s="64"/>
      <c r="ETN20" s="64"/>
      <c r="ETO20" s="64"/>
      <c r="ETP20" s="64"/>
      <c r="ETQ20" s="64"/>
      <c r="ETR20" s="64"/>
      <c r="ETS20" s="64"/>
      <c r="ETT20" s="64"/>
      <c r="ETU20" s="64"/>
      <c r="ETV20" s="64"/>
      <c r="ETW20" s="64"/>
      <c r="ETX20" s="64"/>
      <c r="ETY20" s="64"/>
      <c r="ETZ20" s="64"/>
      <c r="EUA20" s="64"/>
      <c r="EUB20" s="64"/>
      <c r="EUC20" s="64"/>
      <c r="EUD20" s="64"/>
      <c r="EUE20" s="64"/>
      <c r="EUF20" s="64"/>
      <c r="EUG20" s="64"/>
      <c r="EUH20" s="64"/>
      <c r="EUI20" s="64"/>
      <c r="EUJ20" s="64"/>
      <c r="EUK20" s="64"/>
      <c r="EUL20" s="64"/>
      <c r="EUM20" s="64"/>
      <c r="EUN20" s="64"/>
      <c r="EUO20" s="64"/>
      <c r="EUP20" s="64"/>
      <c r="EUQ20" s="64"/>
      <c r="EUR20" s="64"/>
      <c r="EUS20" s="64"/>
      <c r="EUT20" s="64"/>
      <c r="EUU20" s="64"/>
      <c r="EUV20" s="64"/>
      <c r="EUW20" s="64"/>
      <c r="EUX20" s="64"/>
      <c r="EUY20" s="64"/>
      <c r="EUZ20" s="64"/>
      <c r="EVA20" s="64"/>
      <c r="EVB20" s="64"/>
      <c r="EVC20" s="64"/>
      <c r="EVD20" s="64"/>
      <c r="EVE20" s="64"/>
      <c r="EVF20" s="64"/>
      <c r="EVG20" s="64"/>
      <c r="EVH20" s="64"/>
      <c r="EVI20" s="64"/>
      <c r="EVJ20" s="64"/>
      <c r="EVK20" s="64"/>
      <c r="EVL20" s="64"/>
      <c r="EVM20" s="64"/>
      <c r="EVN20" s="64"/>
      <c r="EVO20" s="64"/>
      <c r="EVP20" s="64"/>
      <c r="EVQ20" s="64"/>
      <c r="EVR20" s="64"/>
      <c r="EVS20" s="64"/>
      <c r="EVT20" s="64"/>
      <c r="EVU20" s="64"/>
      <c r="EVV20" s="64"/>
      <c r="EVW20" s="64"/>
      <c r="EVX20" s="64"/>
      <c r="EVY20" s="64"/>
      <c r="EVZ20" s="64"/>
      <c r="EWA20" s="64"/>
      <c r="EWB20" s="64"/>
      <c r="EWC20" s="64"/>
      <c r="EWD20" s="64"/>
      <c r="EWE20" s="64"/>
      <c r="EWF20" s="64"/>
      <c r="EWG20" s="64"/>
      <c r="EWH20" s="64"/>
      <c r="EWI20" s="64"/>
      <c r="EWJ20" s="64"/>
      <c r="EWK20" s="64"/>
      <c r="EWL20" s="64"/>
      <c r="EWM20" s="64"/>
      <c r="EWN20" s="64"/>
      <c r="EWO20" s="64"/>
      <c r="EWP20" s="64"/>
      <c r="EWQ20" s="64"/>
      <c r="EWR20" s="64"/>
      <c r="EWS20" s="64"/>
      <c r="EWT20" s="64"/>
      <c r="EWU20" s="64"/>
      <c r="EWV20" s="64"/>
      <c r="EWW20" s="64"/>
      <c r="EWX20" s="64"/>
      <c r="EWY20" s="64"/>
      <c r="EWZ20" s="64"/>
      <c r="EXA20" s="64"/>
      <c r="EXB20" s="64"/>
      <c r="EXC20" s="64"/>
      <c r="EXD20" s="64"/>
      <c r="EXE20" s="64"/>
      <c r="EXF20" s="64"/>
      <c r="EXG20" s="64"/>
      <c r="EXH20" s="64"/>
      <c r="EXI20" s="64"/>
      <c r="EXJ20" s="64"/>
      <c r="EXK20" s="64"/>
      <c r="EXL20" s="64"/>
      <c r="EXM20" s="64"/>
      <c r="EXN20" s="64"/>
      <c r="EXO20" s="64"/>
      <c r="EXP20" s="64"/>
      <c r="EXQ20" s="64"/>
      <c r="EXR20" s="64"/>
      <c r="EXS20" s="64"/>
      <c r="EXT20" s="64"/>
      <c r="EXU20" s="64"/>
      <c r="EXV20" s="64"/>
      <c r="EXW20" s="64"/>
      <c r="EXX20" s="64"/>
      <c r="EXY20" s="64"/>
      <c r="EXZ20" s="64"/>
      <c r="EYA20" s="64"/>
      <c r="EYB20" s="64"/>
      <c r="EYC20" s="64"/>
      <c r="EYD20" s="64"/>
      <c r="EYE20" s="64"/>
      <c r="EYF20" s="64"/>
      <c r="EYG20" s="64"/>
      <c r="EYH20" s="64"/>
      <c r="EYI20" s="64"/>
      <c r="EYJ20" s="64"/>
      <c r="EYK20" s="64"/>
      <c r="EYL20" s="64"/>
      <c r="EYM20" s="64"/>
      <c r="EYN20" s="64"/>
      <c r="EYO20" s="64"/>
      <c r="EYP20" s="64"/>
      <c r="EYQ20" s="64"/>
      <c r="EYR20" s="64"/>
      <c r="EYS20" s="64"/>
      <c r="EYT20" s="64"/>
      <c r="EYU20" s="64"/>
      <c r="EYV20" s="64"/>
      <c r="EYW20" s="64"/>
      <c r="EYX20" s="64"/>
      <c r="EYY20" s="64"/>
      <c r="EYZ20" s="64"/>
      <c r="EZA20" s="64"/>
      <c r="EZB20" s="64"/>
      <c r="EZC20" s="64"/>
      <c r="EZD20" s="64"/>
      <c r="EZE20" s="64"/>
      <c r="EZF20" s="64"/>
      <c r="EZG20" s="64"/>
      <c r="EZH20" s="64"/>
      <c r="EZI20" s="64"/>
      <c r="EZJ20" s="64"/>
      <c r="EZK20" s="64"/>
      <c r="EZL20" s="64"/>
      <c r="EZM20" s="64"/>
      <c r="EZN20" s="64"/>
      <c r="EZO20" s="64"/>
      <c r="EZP20" s="64"/>
      <c r="EZQ20" s="64"/>
      <c r="EZR20" s="64"/>
      <c r="EZS20" s="64"/>
      <c r="EZT20" s="64"/>
      <c r="EZU20" s="64"/>
      <c r="EZV20" s="64"/>
      <c r="EZW20" s="64"/>
      <c r="EZX20" s="64"/>
      <c r="EZY20" s="64"/>
      <c r="EZZ20" s="64"/>
      <c r="FAA20" s="64"/>
      <c r="FAB20" s="64"/>
      <c r="FAC20" s="64"/>
      <c r="FAD20" s="64"/>
      <c r="FAE20" s="64"/>
      <c r="FAF20" s="64"/>
      <c r="FAG20" s="64"/>
      <c r="FAH20" s="64"/>
      <c r="FAI20" s="64"/>
      <c r="FAJ20" s="64"/>
      <c r="FAK20" s="64"/>
      <c r="FAL20" s="64"/>
      <c r="FAM20" s="64"/>
      <c r="FAN20" s="64"/>
      <c r="FAO20" s="64"/>
      <c r="FAP20" s="64"/>
      <c r="FAQ20" s="64"/>
      <c r="FAR20" s="64"/>
      <c r="FAS20" s="64"/>
      <c r="FAT20" s="64"/>
      <c r="FAU20" s="64"/>
      <c r="FAV20" s="64"/>
      <c r="FAW20" s="64"/>
      <c r="FAX20" s="64"/>
      <c r="FAY20" s="64"/>
      <c r="FAZ20" s="64"/>
      <c r="FBA20" s="64"/>
      <c r="FBB20" s="64"/>
      <c r="FBC20" s="64"/>
      <c r="FBD20" s="64"/>
      <c r="FBE20" s="64"/>
      <c r="FBF20" s="64"/>
      <c r="FBG20" s="64"/>
      <c r="FBH20" s="64"/>
      <c r="FBI20" s="64"/>
      <c r="FBJ20" s="64"/>
      <c r="FBK20" s="64"/>
      <c r="FBL20" s="64"/>
      <c r="FBM20" s="64"/>
      <c r="FBN20" s="64"/>
      <c r="FBO20" s="64"/>
      <c r="FBP20" s="64"/>
      <c r="FBQ20" s="64"/>
      <c r="FBR20" s="64"/>
      <c r="FBS20" s="64"/>
      <c r="FBT20" s="64"/>
      <c r="FBU20" s="64"/>
      <c r="FBV20" s="64"/>
      <c r="FBW20" s="64"/>
      <c r="FBX20" s="64"/>
      <c r="FBY20" s="64"/>
      <c r="FBZ20" s="64"/>
      <c r="FCA20" s="64"/>
      <c r="FCB20" s="64"/>
      <c r="FCC20" s="64"/>
      <c r="FCD20" s="64"/>
      <c r="FCE20" s="64"/>
      <c r="FCF20" s="64"/>
      <c r="FCG20" s="64"/>
      <c r="FCH20" s="64"/>
      <c r="FCI20" s="64"/>
      <c r="FCJ20" s="64"/>
      <c r="FCK20" s="64"/>
      <c r="FCL20" s="64"/>
      <c r="FCM20" s="64"/>
      <c r="FCN20" s="64"/>
      <c r="FCO20" s="64"/>
      <c r="FCP20" s="64"/>
      <c r="FCQ20" s="64"/>
      <c r="FCR20" s="64"/>
      <c r="FCS20" s="64"/>
      <c r="FCT20" s="64"/>
      <c r="FCU20" s="64"/>
      <c r="FCV20" s="64"/>
      <c r="FCW20" s="64"/>
      <c r="FCX20" s="64"/>
      <c r="FCY20" s="64"/>
      <c r="FCZ20" s="64"/>
      <c r="FDA20" s="64"/>
      <c r="FDB20" s="64"/>
      <c r="FDC20" s="64"/>
      <c r="FDD20" s="64"/>
      <c r="FDE20" s="64"/>
      <c r="FDF20" s="64"/>
      <c r="FDG20" s="64"/>
      <c r="FDH20" s="64"/>
      <c r="FDI20" s="64"/>
      <c r="FDJ20" s="64"/>
      <c r="FDK20" s="64"/>
      <c r="FDL20" s="64"/>
      <c r="FDM20" s="64"/>
      <c r="FDN20" s="64"/>
      <c r="FDO20" s="64"/>
      <c r="FDP20" s="64"/>
      <c r="FDQ20" s="64"/>
      <c r="FDR20" s="64"/>
      <c r="FDS20" s="64"/>
      <c r="FDT20" s="64"/>
      <c r="FDU20" s="64"/>
      <c r="FDV20" s="64"/>
      <c r="FDW20" s="64"/>
      <c r="FDX20" s="64"/>
      <c r="FDY20" s="64"/>
      <c r="FDZ20" s="64"/>
      <c r="FEA20" s="64"/>
      <c r="FEB20" s="64"/>
      <c r="FEC20" s="64"/>
      <c r="FED20" s="64"/>
      <c r="FEE20" s="64"/>
      <c r="FEF20" s="64"/>
      <c r="FEG20" s="64"/>
      <c r="FEH20" s="64"/>
      <c r="FEI20" s="64"/>
      <c r="FEJ20" s="64"/>
      <c r="FEK20" s="64"/>
      <c r="FEL20" s="64"/>
      <c r="FEM20" s="64"/>
      <c r="FEN20" s="64"/>
      <c r="FEO20" s="64"/>
      <c r="FEP20" s="64"/>
      <c r="FEQ20" s="64"/>
      <c r="FER20" s="64"/>
      <c r="FES20" s="64"/>
      <c r="FET20" s="64"/>
      <c r="FEU20" s="64"/>
      <c r="FEV20" s="64"/>
      <c r="FEW20" s="64"/>
      <c r="FEX20" s="64"/>
      <c r="FEY20" s="64"/>
      <c r="FEZ20" s="64"/>
      <c r="FFA20" s="64"/>
      <c r="FFB20" s="64"/>
      <c r="FFC20" s="64"/>
      <c r="FFD20" s="64"/>
      <c r="FFE20" s="64"/>
      <c r="FFF20" s="64"/>
      <c r="FFG20" s="64"/>
      <c r="FFH20" s="64"/>
      <c r="FFI20" s="64"/>
      <c r="FFJ20" s="64"/>
      <c r="FFK20" s="64"/>
      <c r="FFL20" s="64"/>
      <c r="FFM20" s="64"/>
      <c r="FFN20" s="64"/>
      <c r="FFO20" s="64"/>
      <c r="FFP20" s="64"/>
      <c r="FFQ20" s="64"/>
      <c r="FFR20" s="64"/>
      <c r="FFS20" s="64"/>
      <c r="FFT20" s="64"/>
      <c r="FFU20" s="64"/>
      <c r="FFV20" s="64"/>
      <c r="FFW20" s="64"/>
      <c r="FFX20" s="64"/>
      <c r="FFY20" s="64"/>
      <c r="FFZ20" s="64"/>
      <c r="FGA20" s="64"/>
      <c r="FGB20" s="64"/>
      <c r="FGC20" s="64"/>
      <c r="FGD20" s="64"/>
      <c r="FGE20" s="64"/>
      <c r="FGF20" s="64"/>
      <c r="FGG20" s="64"/>
      <c r="FGH20" s="64"/>
      <c r="FGI20" s="64"/>
      <c r="FGJ20" s="64"/>
      <c r="FGK20" s="64"/>
      <c r="FGL20" s="64"/>
      <c r="FGM20" s="64"/>
      <c r="FGN20" s="64"/>
      <c r="FGO20" s="64"/>
      <c r="FGP20" s="64"/>
      <c r="FGQ20" s="64"/>
      <c r="FGR20" s="64"/>
      <c r="FGS20" s="64"/>
      <c r="FGT20" s="64"/>
      <c r="FGU20" s="64"/>
      <c r="FGV20" s="64"/>
      <c r="FGW20" s="64"/>
      <c r="FGX20" s="64"/>
      <c r="FGY20" s="64"/>
      <c r="FGZ20" s="64"/>
      <c r="FHA20" s="64"/>
      <c r="FHB20" s="64"/>
      <c r="FHC20" s="64"/>
      <c r="FHD20" s="64"/>
      <c r="FHE20" s="64"/>
      <c r="FHF20" s="64"/>
      <c r="FHG20" s="64"/>
      <c r="FHH20" s="64"/>
      <c r="FHI20" s="64"/>
      <c r="FHJ20" s="64"/>
      <c r="FHK20" s="64"/>
      <c r="FHL20" s="64"/>
      <c r="FHM20" s="64"/>
      <c r="FHN20" s="64"/>
      <c r="FHO20" s="64"/>
      <c r="FHP20" s="64"/>
      <c r="FHQ20" s="64"/>
      <c r="FHR20" s="64"/>
      <c r="FHS20" s="64"/>
      <c r="FHT20" s="64"/>
      <c r="FHU20" s="64"/>
      <c r="FHV20" s="64"/>
      <c r="FHW20" s="64"/>
      <c r="FHX20" s="64"/>
      <c r="FHY20" s="64"/>
      <c r="FHZ20" s="64"/>
      <c r="FIA20" s="64"/>
      <c r="FIB20" s="64"/>
      <c r="FIC20" s="64"/>
      <c r="FID20" s="64"/>
      <c r="FIE20" s="64"/>
      <c r="FIF20" s="64"/>
      <c r="FIG20" s="64"/>
      <c r="FIH20" s="64"/>
      <c r="FII20" s="64"/>
      <c r="FIJ20" s="64"/>
      <c r="FIK20" s="64"/>
      <c r="FIL20" s="64"/>
      <c r="FIM20" s="64"/>
      <c r="FIN20" s="64"/>
      <c r="FIO20" s="64"/>
      <c r="FIP20" s="64"/>
      <c r="FIQ20" s="64"/>
      <c r="FIR20" s="64"/>
      <c r="FIS20" s="64"/>
      <c r="FIT20" s="64"/>
      <c r="FIU20" s="64"/>
      <c r="FIV20" s="64"/>
      <c r="FIW20" s="64"/>
      <c r="FIX20" s="64"/>
      <c r="FIY20" s="64"/>
      <c r="FIZ20" s="64"/>
      <c r="FJA20" s="64"/>
      <c r="FJB20" s="64"/>
      <c r="FJC20" s="64"/>
      <c r="FJD20" s="64"/>
      <c r="FJE20" s="64"/>
      <c r="FJF20" s="64"/>
      <c r="FJG20" s="64"/>
      <c r="FJH20" s="64"/>
      <c r="FJI20" s="64"/>
      <c r="FJJ20" s="64"/>
      <c r="FJK20" s="64"/>
      <c r="FJL20" s="64"/>
      <c r="FJM20" s="64"/>
      <c r="FJN20" s="64"/>
      <c r="FJO20" s="64"/>
      <c r="FJP20" s="64"/>
      <c r="FJQ20" s="64"/>
      <c r="FJR20" s="64"/>
      <c r="FJS20" s="64"/>
      <c r="FJT20" s="64"/>
      <c r="FJU20" s="64"/>
      <c r="FJV20" s="64"/>
      <c r="FJW20" s="64"/>
      <c r="FJX20" s="64"/>
      <c r="FJY20" s="64"/>
      <c r="FJZ20" s="64"/>
      <c r="FKA20" s="64"/>
      <c r="FKB20" s="64"/>
      <c r="FKC20" s="64"/>
      <c r="FKD20" s="64"/>
      <c r="FKE20" s="64"/>
      <c r="FKF20" s="64"/>
      <c r="FKG20" s="64"/>
      <c r="FKH20" s="64"/>
      <c r="FKI20" s="64"/>
      <c r="FKJ20" s="64"/>
      <c r="FKK20" s="64"/>
      <c r="FKL20" s="64"/>
      <c r="FKM20" s="64"/>
      <c r="FKN20" s="64"/>
      <c r="FKO20" s="64"/>
      <c r="FKP20" s="64"/>
      <c r="FKQ20" s="64"/>
      <c r="FKR20" s="64"/>
      <c r="FKS20" s="64"/>
      <c r="FKT20" s="64"/>
      <c r="FKU20" s="64"/>
      <c r="FKV20" s="64"/>
      <c r="FKW20" s="64"/>
      <c r="FKX20" s="64"/>
      <c r="FKY20" s="64"/>
      <c r="FKZ20" s="64"/>
      <c r="FLA20" s="64"/>
      <c r="FLB20" s="64"/>
      <c r="FLC20" s="64"/>
      <c r="FLD20" s="64"/>
      <c r="FLE20" s="64"/>
      <c r="FLF20" s="64"/>
      <c r="FLG20" s="64"/>
      <c r="FLH20" s="64"/>
      <c r="FLI20" s="64"/>
      <c r="FLJ20" s="64"/>
      <c r="FLK20" s="64"/>
      <c r="FLL20" s="64"/>
      <c r="FLM20" s="64"/>
      <c r="FLN20" s="64"/>
      <c r="FLO20" s="64"/>
      <c r="FLP20" s="64"/>
      <c r="FLQ20" s="64"/>
      <c r="FLR20" s="64"/>
      <c r="FLS20" s="64"/>
      <c r="FLT20" s="64"/>
      <c r="FLU20" s="64"/>
      <c r="FLV20" s="64"/>
      <c r="FLW20" s="64"/>
      <c r="FLX20" s="64"/>
      <c r="FLY20" s="64"/>
      <c r="FLZ20" s="64"/>
      <c r="FMA20" s="64"/>
      <c r="FMB20" s="64"/>
      <c r="FMC20" s="64"/>
      <c r="FMD20" s="64"/>
      <c r="FME20" s="64"/>
      <c r="FMF20" s="64"/>
      <c r="FMG20" s="64"/>
      <c r="FMH20" s="64"/>
      <c r="FMI20" s="64"/>
      <c r="FMJ20" s="64"/>
      <c r="FMK20" s="64"/>
      <c r="FML20" s="64"/>
      <c r="FMM20" s="64"/>
      <c r="FMN20" s="64"/>
      <c r="FMO20" s="64"/>
      <c r="FMP20" s="64"/>
      <c r="FMQ20" s="64"/>
      <c r="FMR20" s="64"/>
      <c r="FMS20" s="64"/>
      <c r="FMT20" s="64"/>
      <c r="FMU20" s="64"/>
      <c r="FMV20" s="64"/>
      <c r="FMW20" s="64"/>
      <c r="FMX20" s="64"/>
      <c r="FMY20" s="64"/>
      <c r="FMZ20" s="64"/>
      <c r="FNA20" s="64"/>
      <c r="FNB20" s="64"/>
      <c r="FNC20" s="64"/>
      <c r="FND20" s="64"/>
      <c r="FNE20" s="64"/>
      <c r="FNF20" s="64"/>
      <c r="FNG20" s="64"/>
      <c r="FNH20" s="64"/>
      <c r="FNI20" s="64"/>
      <c r="FNJ20" s="64"/>
      <c r="FNK20" s="64"/>
      <c r="FNL20" s="64"/>
      <c r="FNM20" s="64"/>
      <c r="FNN20" s="64"/>
      <c r="FNO20" s="64"/>
      <c r="FNP20" s="64"/>
      <c r="FNQ20" s="64"/>
      <c r="FNR20" s="64"/>
      <c r="FNS20" s="64"/>
      <c r="FNT20" s="64"/>
      <c r="FNU20" s="64"/>
      <c r="FNV20" s="64"/>
      <c r="FNW20" s="64"/>
      <c r="FNX20" s="64"/>
      <c r="FNY20" s="64"/>
      <c r="FNZ20" s="64"/>
      <c r="FOA20" s="64"/>
      <c r="FOB20" s="64"/>
      <c r="FOC20" s="64"/>
      <c r="FOD20" s="64"/>
      <c r="FOE20" s="64"/>
      <c r="FOF20" s="64"/>
      <c r="FOG20" s="64"/>
      <c r="FOH20" s="64"/>
      <c r="FOI20" s="64"/>
      <c r="FOJ20" s="64"/>
      <c r="FOK20" s="64"/>
      <c r="FOL20" s="64"/>
      <c r="FOM20" s="64"/>
      <c r="FON20" s="64"/>
      <c r="FOO20" s="64"/>
      <c r="FOP20" s="64"/>
      <c r="FOQ20" s="64"/>
      <c r="FOR20" s="64"/>
      <c r="FOS20" s="64"/>
      <c r="FOT20" s="64"/>
      <c r="FOU20" s="64"/>
      <c r="FOV20" s="64"/>
      <c r="FOW20" s="64"/>
      <c r="FOX20" s="64"/>
      <c r="FOY20" s="64"/>
      <c r="FOZ20" s="64"/>
      <c r="FPA20" s="64"/>
      <c r="FPB20" s="64"/>
      <c r="FPC20" s="64"/>
      <c r="FPD20" s="64"/>
      <c r="FPE20" s="64"/>
      <c r="FPF20" s="64"/>
      <c r="FPG20" s="64"/>
      <c r="FPH20" s="64"/>
      <c r="FPI20" s="64"/>
      <c r="FPJ20" s="64"/>
      <c r="FPK20" s="64"/>
      <c r="FPL20" s="64"/>
      <c r="FPM20" s="64"/>
      <c r="FPN20" s="64"/>
      <c r="FPO20" s="64"/>
      <c r="FPP20" s="64"/>
      <c r="FPQ20" s="64"/>
      <c r="FPR20" s="64"/>
      <c r="FPS20" s="64"/>
      <c r="FPT20" s="64"/>
      <c r="FPU20" s="64"/>
      <c r="FPV20" s="64"/>
      <c r="FPW20" s="64"/>
      <c r="FPX20" s="64"/>
      <c r="FPY20" s="64"/>
      <c r="FPZ20" s="64"/>
      <c r="FQA20" s="64"/>
      <c r="FQB20" s="64"/>
      <c r="FQC20" s="64"/>
      <c r="FQD20" s="64"/>
      <c r="FQE20" s="64"/>
      <c r="FQF20" s="64"/>
      <c r="FQG20" s="64"/>
      <c r="FQH20" s="64"/>
      <c r="FQI20" s="64"/>
      <c r="FQJ20" s="64"/>
      <c r="FQK20" s="64"/>
      <c r="FQL20" s="64"/>
      <c r="FQM20" s="64"/>
      <c r="FQN20" s="64"/>
      <c r="FQO20" s="64"/>
      <c r="FQP20" s="64"/>
      <c r="FQQ20" s="64"/>
      <c r="FQR20" s="64"/>
      <c r="FQS20" s="64"/>
      <c r="FQT20" s="64"/>
      <c r="FQU20" s="64"/>
      <c r="FQV20" s="64"/>
      <c r="FQW20" s="64"/>
      <c r="FQX20" s="64"/>
      <c r="FQY20" s="64"/>
      <c r="FQZ20" s="64"/>
      <c r="FRA20" s="64"/>
      <c r="FRB20" s="64"/>
      <c r="FRC20" s="64"/>
      <c r="FRD20" s="64"/>
      <c r="FRE20" s="64"/>
      <c r="FRF20" s="64"/>
      <c r="FRG20" s="64"/>
      <c r="FRH20" s="64"/>
      <c r="FRI20" s="64"/>
      <c r="FRJ20" s="64"/>
      <c r="FRK20" s="64"/>
      <c r="FRL20" s="64"/>
      <c r="FRM20" s="64"/>
      <c r="FRN20" s="64"/>
      <c r="FRO20" s="64"/>
      <c r="FRP20" s="64"/>
      <c r="FRQ20" s="64"/>
      <c r="FRR20" s="64"/>
      <c r="FRS20" s="64"/>
      <c r="FRT20" s="64"/>
      <c r="FRU20" s="64"/>
      <c r="FRV20" s="64"/>
      <c r="FRW20" s="64"/>
      <c r="FRX20" s="64"/>
      <c r="FRY20" s="64"/>
      <c r="FRZ20" s="64"/>
      <c r="FSA20" s="64"/>
      <c r="FSB20" s="64"/>
      <c r="FSC20" s="64"/>
      <c r="FSD20" s="64"/>
      <c r="FSE20" s="64"/>
      <c r="FSF20" s="64"/>
      <c r="FSG20" s="64"/>
      <c r="FSH20" s="64"/>
      <c r="FSI20" s="64"/>
      <c r="FSJ20" s="64"/>
      <c r="FSK20" s="64"/>
      <c r="FSL20" s="64"/>
      <c r="FSM20" s="64"/>
      <c r="FSN20" s="64"/>
      <c r="FSO20" s="64"/>
      <c r="FSP20" s="64"/>
      <c r="FSQ20" s="64"/>
      <c r="FSR20" s="64"/>
      <c r="FSS20" s="64"/>
      <c r="FST20" s="64"/>
      <c r="FSU20" s="64"/>
      <c r="FSV20" s="64"/>
      <c r="FSW20" s="64"/>
      <c r="FSX20" s="64"/>
      <c r="FSY20" s="64"/>
      <c r="FSZ20" s="64"/>
      <c r="FTA20" s="64"/>
      <c r="FTB20" s="64"/>
      <c r="FTC20" s="64"/>
      <c r="FTD20" s="64"/>
      <c r="FTE20" s="64"/>
      <c r="FTF20" s="64"/>
      <c r="FTG20" s="64"/>
      <c r="FTH20" s="64"/>
      <c r="FTI20" s="64"/>
      <c r="FTJ20" s="64"/>
      <c r="FTK20" s="64"/>
      <c r="FTL20" s="64"/>
      <c r="FTM20" s="64"/>
      <c r="FTN20" s="64"/>
      <c r="FTO20" s="64"/>
      <c r="FTP20" s="64"/>
      <c r="FTQ20" s="64"/>
      <c r="FTR20" s="64"/>
      <c r="FTS20" s="64"/>
      <c r="FTT20" s="64"/>
      <c r="FTU20" s="64"/>
      <c r="FTV20" s="64"/>
      <c r="FTW20" s="64"/>
      <c r="FTX20" s="64"/>
      <c r="FTY20" s="64"/>
      <c r="FTZ20" s="64"/>
      <c r="FUA20" s="64"/>
      <c r="FUB20" s="64"/>
      <c r="FUC20" s="64"/>
      <c r="FUD20" s="64"/>
      <c r="FUE20" s="64"/>
      <c r="FUF20" s="64"/>
      <c r="FUG20" s="64"/>
      <c r="FUH20" s="64"/>
      <c r="FUI20" s="64"/>
      <c r="FUJ20" s="64"/>
      <c r="FUK20" s="64"/>
      <c r="FUL20" s="64"/>
      <c r="FUM20" s="64"/>
      <c r="FUN20" s="64"/>
      <c r="FUO20" s="64"/>
      <c r="FUP20" s="64"/>
      <c r="FUQ20" s="64"/>
      <c r="FUR20" s="64"/>
      <c r="FUS20" s="64"/>
      <c r="FUT20" s="64"/>
      <c r="FUU20" s="64"/>
      <c r="FUV20" s="64"/>
      <c r="FUW20" s="64"/>
      <c r="FUX20" s="64"/>
      <c r="FUY20" s="64"/>
      <c r="FUZ20" s="64"/>
      <c r="FVA20" s="64"/>
      <c r="FVB20" s="64"/>
      <c r="FVC20" s="64"/>
      <c r="FVD20" s="64"/>
      <c r="FVE20" s="64"/>
      <c r="FVF20" s="64"/>
      <c r="FVG20" s="64"/>
      <c r="FVH20" s="64"/>
      <c r="FVI20" s="64"/>
      <c r="FVJ20" s="64"/>
      <c r="FVK20" s="64"/>
      <c r="FVL20" s="64"/>
      <c r="FVM20" s="64"/>
      <c r="FVN20" s="64"/>
      <c r="FVO20" s="64"/>
      <c r="FVP20" s="64"/>
      <c r="FVQ20" s="64"/>
      <c r="FVR20" s="64"/>
      <c r="FVS20" s="64"/>
      <c r="FVT20" s="64"/>
      <c r="FVU20" s="64"/>
      <c r="FVV20" s="64"/>
      <c r="FVW20" s="64"/>
      <c r="FVX20" s="64"/>
      <c r="FVY20" s="64"/>
      <c r="FVZ20" s="64"/>
      <c r="FWA20" s="64"/>
      <c r="FWB20" s="64"/>
      <c r="FWC20" s="64"/>
      <c r="FWD20" s="64"/>
      <c r="FWE20" s="64"/>
      <c r="FWF20" s="64"/>
      <c r="FWG20" s="64"/>
      <c r="FWH20" s="64"/>
      <c r="FWI20" s="64"/>
      <c r="FWJ20" s="64"/>
      <c r="FWK20" s="64"/>
      <c r="FWL20" s="64"/>
      <c r="FWM20" s="64"/>
      <c r="FWN20" s="64"/>
      <c r="FWO20" s="64"/>
      <c r="FWP20" s="64"/>
      <c r="FWQ20" s="64"/>
      <c r="FWR20" s="64"/>
      <c r="FWS20" s="64"/>
      <c r="FWT20" s="64"/>
      <c r="FWU20" s="64"/>
      <c r="FWV20" s="64"/>
      <c r="FWW20" s="64"/>
      <c r="FWX20" s="64"/>
      <c r="FWY20" s="64"/>
      <c r="FWZ20" s="64"/>
      <c r="FXA20" s="64"/>
      <c r="FXB20" s="64"/>
      <c r="FXC20" s="64"/>
      <c r="FXD20" s="64"/>
      <c r="FXE20" s="64"/>
      <c r="FXF20" s="64"/>
      <c r="FXG20" s="64"/>
      <c r="FXH20" s="64"/>
      <c r="FXI20" s="64"/>
      <c r="FXJ20" s="64"/>
      <c r="FXK20" s="64"/>
      <c r="FXL20" s="64"/>
      <c r="FXM20" s="64"/>
      <c r="FXN20" s="64"/>
      <c r="FXO20" s="64"/>
      <c r="FXP20" s="64"/>
      <c r="FXQ20" s="64"/>
      <c r="FXR20" s="64"/>
      <c r="FXS20" s="64"/>
      <c r="FXT20" s="64"/>
      <c r="FXU20" s="64"/>
      <c r="FXV20" s="64"/>
      <c r="FXW20" s="64"/>
      <c r="FXX20" s="64"/>
      <c r="FXY20" s="64"/>
      <c r="FXZ20" s="64"/>
      <c r="FYA20" s="64"/>
      <c r="FYB20" s="64"/>
      <c r="FYC20" s="64"/>
      <c r="FYD20" s="64"/>
      <c r="FYE20" s="64"/>
      <c r="FYF20" s="64"/>
      <c r="FYG20" s="64"/>
      <c r="FYH20" s="64"/>
      <c r="FYI20" s="64"/>
      <c r="FYJ20" s="64"/>
      <c r="FYK20" s="64"/>
      <c r="FYL20" s="64"/>
      <c r="FYM20" s="64"/>
      <c r="FYN20" s="64"/>
      <c r="FYO20" s="64"/>
      <c r="FYP20" s="64"/>
      <c r="FYQ20" s="64"/>
      <c r="FYR20" s="64"/>
      <c r="FYS20" s="64"/>
      <c r="FYT20" s="64"/>
      <c r="FYU20" s="64"/>
      <c r="FYV20" s="64"/>
      <c r="FYW20" s="64"/>
      <c r="FYX20" s="64"/>
      <c r="FYY20" s="64"/>
      <c r="FYZ20" s="64"/>
      <c r="FZA20" s="64"/>
      <c r="FZB20" s="64"/>
      <c r="FZC20" s="64"/>
      <c r="FZD20" s="64"/>
      <c r="FZE20" s="64"/>
      <c r="FZF20" s="64"/>
      <c r="FZG20" s="64"/>
      <c r="FZH20" s="64"/>
      <c r="FZI20" s="64"/>
      <c r="FZJ20" s="64"/>
      <c r="FZK20" s="64"/>
      <c r="FZL20" s="64"/>
      <c r="FZM20" s="64"/>
      <c r="FZN20" s="64"/>
      <c r="FZO20" s="64"/>
      <c r="FZP20" s="64"/>
      <c r="FZQ20" s="64"/>
      <c r="FZR20" s="64"/>
      <c r="FZS20" s="64"/>
      <c r="FZT20" s="64"/>
      <c r="FZU20" s="64"/>
      <c r="FZV20" s="64"/>
      <c r="FZW20" s="64"/>
      <c r="FZX20" s="64"/>
      <c r="FZY20" s="64"/>
      <c r="FZZ20" s="64"/>
      <c r="GAA20" s="64"/>
      <c r="GAB20" s="64"/>
      <c r="GAC20" s="64"/>
      <c r="GAD20" s="64"/>
      <c r="GAE20" s="64"/>
      <c r="GAF20" s="64"/>
      <c r="GAG20" s="64"/>
      <c r="GAH20" s="64"/>
      <c r="GAI20" s="64"/>
      <c r="GAJ20" s="64"/>
      <c r="GAK20" s="64"/>
      <c r="GAL20" s="64"/>
      <c r="GAM20" s="64"/>
      <c r="GAN20" s="64"/>
      <c r="GAO20" s="64"/>
      <c r="GAP20" s="64"/>
      <c r="GAQ20" s="64"/>
      <c r="GAR20" s="64"/>
      <c r="GAS20" s="64"/>
      <c r="GAT20" s="64"/>
      <c r="GAU20" s="64"/>
      <c r="GAV20" s="64"/>
      <c r="GAW20" s="64"/>
      <c r="GAX20" s="64"/>
      <c r="GAY20" s="64"/>
      <c r="GAZ20" s="64"/>
      <c r="GBA20" s="64"/>
      <c r="GBB20" s="64"/>
      <c r="GBC20" s="64"/>
      <c r="GBD20" s="64"/>
      <c r="GBE20" s="64"/>
      <c r="GBF20" s="64"/>
      <c r="GBG20" s="64"/>
      <c r="GBH20" s="64"/>
      <c r="GBI20" s="64"/>
      <c r="GBJ20" s="64"/>
      <c r="GBK20" s="64"/>
      <c r="GBL20" s="64"/>
      <c r="GBM20" s="64"/>
      <c r="GBN20" s="64"/>
      <c r="GBO20" s="64"/>
      <c r="GBP20" s="64"/>
      <c r="GBQ20" s="64"/>
      <c r="GBR20" s="64"/>
      <c r="GBS20" s="64"/>
      <c r="GBT20" s="64"/>
      <c r="GBU20" s="64"/>
      <c r="GBV20" s="64"/>
      <c r="GBW20" s="64"/>
      <c r="GBX20" s="64"/>
      <c r="GBY20" s="64"/>
      <c r="GBZ20" s="64"/>
      <c r="GCA20" s="64"/>
      <c r="GCB20" s="64"/>
      <c r="GCC20" s="64"/>
      <c r="GCD20" s="64"/>
      <c r="GCE20" s="64"/>
      <c r="GCF20" s="64"/>
      <c r="GCG20" s="64"/>
      <c r="GCH20" s="64"/>
      <c r="GCI20" s="64"/>
      <c r="GCJ20" s="64"/>
      <c r="GCK20" s="64"/>
      <c r="GCL20" s="64"/>
      <c r="GCM20" s="64"/>
      <c r="GCN20" s="64"/>
      <c r="GCO20" s="64"/>
      <c r="GCP20" s="64"/>
      <c r="GCQ20" s="64"/>
      <c r="GCR20" s="64"/>
      <c r="GCS20" s="64"/>
      <c r="GCT20" s="64"/>
      <c r="GCU20" s="64"/>
      <c r="GCV20" s="64"/>
      <c r="GCW20" s="64"/>
      <c r="GCX20" s="64"/>
      <c r="GCY20" s="64"/>
      <c r="GCZ20" s="64"/>
      <c r="GDA20" s="64"/>
      <c r="GDB20" s="64"/>
      <c r="GDC20" s="64"/>
      <c r="GDD20" s="64"/>
      <c r="GDE20" s="64"/>
      <c r="GDF20" s="64"/>
      <c r="GDG20" s="64"/>
      <c r="GDH20" s="64"/>
      <c r="GDI20" s="64"/>
      <c r="GDJ20" s="64"/>
      <c r="GDK20" s="64"/>
      <c r="GDL20" s="64"/>
      <c r="GDM20" s="64"/>
      <c r="GDN20" s="64"/>
      <c r="GDO20" s="64"/>
      <c r="GDP20" s="64"/>
      <c r="GDQ20" s="64"/>
      <c r="GDR20" s="64"/>
      <c r="GDS20" s="64"/>
      <c r="GDT20" s="64"/>
      <c r="GDU20" s="64"/>
      <c r="GDV20" s="64"/>
      <c r="GDW20" s="64"/>
      <c r="GDX20" s="64"/>
      <c r="GDY20" s="64"/>
      <c r="GDZ20" s="64"/>
      <c r="GEA20" s="64"/>
      <c r="GEB20" s="64"/>
      <c r="GEC20" s="64"/>
      <c r="GED20" s="64"/>
      <c r="GEE20" s="64"/>
      <c r="GEF20" s="64"/>
      <c r="GEG20" s="64"/>
      <c r="GEH20" s="64"/>
      <c r="GEI20" s="64"/>
      <c r="GEJ20" s="64"/>
      <c r="GEK20" s="64"/>
      <c r="GEL20" s="64"/>
      <c r="GEM20" s="64"/>
      <c r="GEN20" s="64"/>
      <c r="GEO20" s="64"/>
      <c r="GEP20" s="64"/>
      <c r="GEQ20" s="64"/>
      <c r="GER20" s="64"/>
      <c r="GES20" s="64"/>
      <c r="GET20" s="64"/>
      <c r="GEU20" s="64"/>
      <c r="GEV20" s="64"/>
      <c r="GEW20" s="64"/>
      <c r="GEX20" s="64"/>
      <c r="GEY20" s="64"/>
      <c r="GEZ20" s="64"/>
      <c r="GFA20" s="64"/>
      <c r="GFB20" s="64"/>
      <c r="GFC20" s="64"/>
      <c r="GFD20" s="64"/>
      <c r="GFE20" s="64"/>
      <c r="GFF20" s="64"/>
      <c r="GFG20" s="64"/>
      <c r="GFH20" s="64"/>
      <c r="GFI20" s="64"/>
      <c r="GFJ20" s="64"/>
      <c r="GFK20" s="64"/>
      <c r="GFL20" s="64"/>
      <c r="GFM20" s="64"/>
      <c r="GFN20" s="64"/>
      <c r="GFO20" s="64"/>
      <c r="GFP20" s="64"/>
      <c r="GFQ20" s="64"/>
      <c r="GFR20" s="64"/>
      <c r="GFS20" s="64"/>
      <c r="GFT20" s="64"/>
      <c r="GFU20" s="64"/>
      <c r="GFV20" s="64"/>
      <c r="GFW20" s="64"/>
      <c r="GFX20" s="64"/>
      <c r="GFY20" s="64"/>
      <c r="GFZ20" s="64"/>
      <c r="GGA20" s="64"/>
      <c r="GGB20" s="64"/>
      <c r="GGC20" s="64"/>
      <c r="GGD20" s="64"/>
      <c r="GGE20" s="64"/>
      <c r="GGF20" s="64"/>
      <c r="GGG20" s="64"/>
      <c r="GGH20" s="64"/>
      <c r="GGI20" s="64"/>
      <c r="GGJ20" s="64"/>
      <c r="GGK20" s="64"/>
      <c r="GGL20" s="64"/>
      <c r="GGM20" s="64"/>
      <c r="GGN20" s="64"/>
      <c r="GGO20" s="64"/>
      <c r="GGP20" s="64"/>
      <c r="GGQ20" s="64"/>
      <c r="GGR20" s="64"/>
      <c r="GGS20" s="64"/>
      <c r="GGT20" s="64"/>
      <c r="GGU20" s="64"/>
      <c r="GGV20" s="64"/>
      <c r="GGW20" s="64"/>
      <c r="GGX20" s="64"/>
      <c r="GGY20" s="64"/>
      <c r="GGZ20" s="64"/>
      <c r="GHA20" s="64"/>
      <c r="GHB20" s="64"/>
      <c r="GHC20" s="64"/>
      <c r="GHD20" s="64"/>
      <c r="GHE20" s="64"/>
      <c r="GHF20" s="64"/>
      <c r="GHG20" s="64"/>
      <c r="GHH20" s="64"/>
      <c r="GHI20" s="64"/>
      <c r="GHJ20" s="64"/>
      <c r="GHK20" s="64"/>
      <c r="GHL20" s="64"/>
      <c r="GHM20" s="64"/>
      <c r="GHN20" s="64"/>
      <c r="GHO20" s="64"/>
      <c r="GHP20" s="64"/>
      <c r="GHQ20" s="64"/>
      <c r="GHR20" s="64"/>
      <c r="GHS20" s="64"/>
      <c r="GHT20" s="64"/>
      <c r="GHU20" s="64"/>
      <c r="GHV20" s="64"/>
      <c r="GHW20" s="64"/>
      <c r="GHX20" s="64"/>
      <c r="GHY20" s="64"/>
      <c r="GHZ20" s="64"/>
      <c r="GIA20" s="64"/>
      <c r="GIB20" s="64"/>
      <c r="GIC20" s="64"/>
      <c r="GID20" s="64"/>
      <c r="GIE20" s="64"/>
      <c r="GIF20" s="64"/>
      <c r="GIG20" s="64"/>
      <c r="GIH20" s="64"/>
      <c r="GII20" s="64"/>
      <c r="GIJ20" s="64"/>
      <c r="GIK20" s="64"/>
      <c r="GIL20" s="64"/>
      <c r="GIM20" s="64"/>
      <c r="GIN20" s="64"/>
      <c r="GIO20" s="64"/>
      <c r="GIP20" s="64"/>
      <c r="GIQ20" s="64"/>
      <c r="GIR20" s="64"/>
      <c r="GIS20" s="64"/>
      <c r="GIT20" s="64"/>
      <c r="GIU20" s="64"/>
      <c r="GIV20" s="64"/>
      <c r="GIW20" s="64"/>
      <c r="GIX20" s="64"/>
      <c r="GIY20" s="64"/>
      <c r="GIZ20" s="64"/>
      <c r="GJA20" s="64"/>
      <c r="GJB20" s="64"/>
      <c r="GJC20" s="64"/>
      <c r="GJD20" s="64"/>
      <c r="GJE20" s="64"/>
      <c r="GJF20" s="64"/>
      <c r="GJG20" s="64"/>
      <c r="GJH20" s="64"/>
      <c r="GJI20" s="64"/>
      <c r="GJJ20" s="64"/>
      <c r="GJK20" s="64"/>
      <c r="GJL20" s="64"/>
      <c r="GJM20" s="64"/>
      <c r="GJN20" s="64"/>
      <c r="GJO20" s="64"/>
      <c r="GJP20" s="64"/>
      <c r="GJQ20" s="64"/>
      <c r="GJR20" s="64"/>
      <c r="GJS20" s="64"/>
      <c r="GJT20" s="64"/>
      <c r="GJU20" s="64"/>
      <c r="GJV20" s="64"/>
      <c r="GJW20" s="64"/>
      <c r="GJX20" s="64"/>
      <c r="GJY20" s="64"/>
      <c r="GJZ20" s="64"/>
      <c r="GKA20" s="64"/>
      <c r="GKB20" s="64"/>
      <c r="GKC20" s="64"/>
      <c r="GKD20" s="64"/>
      <c r="GKE20" s="64"/>
      <c r="GKF20" s="64"/>
      <c r="GKG20" s="64"/>
      <c r="GKH20" s="64"/>
      <c r="GKI20" s="64"/>
      <c r="GKJ20" s="64"/>
      <c r="GKK20" s="64"/>
      <c r="GKL20" s="64"/>
      <c r="GKM20" s="64"/>
      <c r="GKN20" s="64"/>
      <c r="GKO20" s="64"/>
      <c r="GKP20" s="64"/>
      <c r="GKQ20" s="64"/>
      <c r="GKR20" s="64"/>
      <c r="GKS20" s="64"/>
      <c r="GKT20" s="64"/>
      <c r="GKU20" s="64"/>
      <c r="GKV20" s="64"/>
      <c r="GKW20" s="64"/>
      <c r="GKX20" s="64"/>
      <c r="GKY20" s="64"/>
      <c r="GKZ20" s="64"/>
      <c r="GLA20" s="64"/>
      <c r="GLB20" s="64"/>
      <c r="GLC20" s="64"/>
      <c r="GLD20" s="64"/>
      <c r="GLE20" s="64"/>
      <c r="GLF20" s="64"/>
      <c r="GLG20" s="64"/>
      <c r="GLH20" s="64"/>
      <c r="GLI20" s="64"/>
      <c r="GLJ20" s="64"/>
      <c r="GLK20" s="64"/>
      <c r="GLL20" s="64"/>
      <c r="GLM20" s="64"/>
      <c r="GLN20" s="64"/>
      <c r="GLO20" s="64"/>
      <c r="GLP20" s="64"/>
      <c r="GLQ20" s="64"/>
      <c r="GLR20" s="64"/>
      <c r="GLS20" s="64"/>
      <c r="GLT20" s="64"/>
      <c r="GLU20" s="64"/>
      <c r="GLV20" s="64"/>
      <c r="GLW20" s="64"/>
      <c r="GLX20" s="64"/>
      <c r="GLY20" s="64"/>
      <c r="GLZ20" s="64"/>
      <c r="GMA20" s="64"/>
      <c r="GMB20" s="64"/>
      <c r="GMC20" s="64"/>
      <c r="GMD20" s="64"/>
      <c r="GME20" s="64"/>
      <c r="GMF20" s="64"/>
      <c r="GMG20" s="64"/>
      <c r="GMH20" s="64"/>
      <c r="GMI20" s="64"/>
      <c r="GMJ20" s="64"/>
      <c r="GMK20" s="64"/>
      <c r="GML20" s="64"/>
      <c r="GMM20" s="64"/>
      <c r="GMN20" s="64"/>
      <c r="GMO20" s="64"/>
      <c r="GMP20" s="64"/>
      <c r="GMQ20" s="64"/>
      <c r="GMR20" s="64"/>
      <c r="GMS20" s="64"/>
      <c r="GMT20" s="64"/>
      <c r="GMU20" s="64"/>
      <c r="GMV20" s="64"/>
      <c r="GMW20" s="64"/>
      <c r="GMX20" s="64"/>
      <c r="GMY20" s="64"/>
      <c r="GMZ20" s="64"/>
      <c r="GNA20" s="64"/>
      <c r="GNB20" s="64"/>
      <c r="GNC20" s="64"/>
      <c r="GND20" s="64"/>
      <c r="GNE20" s="64"/>
      <c r="GNF20" s="64"/>
      <c r="GNG20" s="64"/>
      <c r="GNH20" s="64"/>
      <c r="GNI20" s="64"/>
      <c r="GNJ20" s="64"/>
      <c r="GNK20" s="64"/>
      <c r="GNL20" s="64"/>
      <c r="GNM20" s="64"/>
      <c r="GNN20" s="64"/>
      <c r="GNO20" s="64"/>
      <c r="GNP20" s="64"/>
      <c r="GNQ20" s="64"/>
      <c r="GNR20" s="64"/>
      <c r="GNS20" s="64"/>
      <c r="GNT20" s="64"/>
      <c r="GNU20" s="64"/>
      <c r="GNV20" s="64"/>
      <c r="GNW20" s="64"/>
      <c r="GNX20" s="64"/>
      <c r="GNY20" s="64"/>
      <c r="GNZ20" s="64"/>
      <c r="GOA20" s="64"/>
      <c r="GOB20" s="64"/>
      <c r="GOC20" s="64"/>
      <c r="GOD20" s="64"/>
      <c r="GOE20" s="64"/>
      <c r="GOF20" s="64"/>
      <c r="GOG20" s="64"/>
      <c r="GOH20" s="64"/>
      <c r="GOI20" s="64"/>
      <c r="GOJ20" s="64"/>
      <c r="GOK20" s="64"/>
      <c r="GOL20" s="64"/>
      <c r="GOM20" s="64"/>
      <c r="GON20" s="64"/>
      <c r="GOO20" s="64"/>
      <c r="GOP20" s="64"/>
      <c r="GOQ20" s="64"/>
      <c r="GOR20" s="64"/>
      <c r="GOS20" s="64"/>
      <c r="GOT20" s="64"/>
      <c r="GOU20" s="64"/>
      <c r="GOV20" s="64"/>
      <c r="GOW20" s="64"/>
      <c r="GOX20" s="64"/>
      <c r="GOY20" s="64"/>
      <c r="GOZ20" s="64"/>
      <c r="GPA20" s="64"/>
      <c r="GPB20" s="64"/>
      <c r="GPC20" s="64"/>
      <c r="GPD20" s="64"/>
      <c r="GPE20" s="64"/>
      <c r="GPF20" s="64"/>
      <c r="GPG20" s="64"/>
      <c r="GPH20" s="64"/>
      <c r="GPI20" s="64"/>
      <c r="GPJ20" s="64"/>
      <c r="GPK20" s="64"/>
      <c r="GPL20" s="64"/>
      <c r="GPM20" s="64"/>
      <c r="GPN20" s="64"/>
      <c r="GPO20" s="64"/>
      <c r="GPP20" s="64"/>
      <c r="GPQ20" s="64"/>
      <c r="GPR20" s="64"/>
      <c r="GPS20" s="64"/>
      <c r="GPT20" s="64"/>
      <c r="GPU20" s="64"/>
      <c r="GPV20" s="64"/>
      <c r="GPW20" s="64"/>
      <c r="GPX20" s="64"/>
      <c r="GPY20" s="64"/>
      <c r="GPZ20" s="64"/>
      <c r="GQA20" s="64"/>
      <c r="GQB20" s="64"/>
      <c r="GQC20" s="64"/>
      <c r="GQD20" s="64"/>
      <c r="GQE20" s="64"/>
      <c r="GQF20" s="64"/>
      <c r="GQG20" s="64"/>
      <c r="GQH20" s="64"/>
      <c r="GQI20" s="64"/>
      <c r="GQJ20" s="64"/>
      <c r="GQK20" s="64"/>
      <c r="GQL20" s="64"/>
      <c r="GQM20" s="64"/>
      <c r="GQN20" s="64"/>
      <c r="GQO20" s="64"/>
      <c r="GQP20" s="64"/>
      <c r="GQQ20" s="64"/>
      <c r="GQR20" s="64"/>
      <c r="GQS20" s="64"/>
      <c r="GQT20" s="64"/>
      <c r="GQU20" s="64"/>
      <c r="GQV20" s="64"/>
      <c r="GQW20" s="64"/>
      <c r="GQX20" s="64"/>
      <c r="GQY20" s="64"/>
      <c r="GQZ20" s="64"/>
      <c r="GRA20" s="64"/>
      <c r="GRB20" s="64"/>
      <c r="GRC20" s="64"/>
      <c r="GRD20" s="64"/>
      <c r="GRE20" s="64"/>
      <c r="GRF20" s="64"/>
      <c r="GRG20" s="64"/>
      <c r="GRH20" s="64"/>
      <c r="GRI20" s="64"/>
      <c r="GRJ20" s="64"/>
      <c r="GRK20" s="64"/>
      <c r="GRL20" s="64"/>
      <c r="GRM20" s="64"/>
      <c r="GRN20" s="64"/>
      <c r="GRO20" s="64"/>
      <c r="GRP20" s="64"/>
      <c r="GRQ20" s="64"/>
      <c r="GRR20" s="64"/>
      <c r="GRS20" s="64"/>
      <c r="GRT20" s="64"/>
      <c r="GRU20" s="64"/>
      <c r="GRV20" s="64"/>
      <c r="GRW20" s="64"/>
      <c r="GRX20" s="64"/>
      <c r="GRY20" s="64"/>
      <c r="GRZ20" s="64"/>
      <c r="GSA20" s="64"/>
      <c r="GSB20" s="64"/>
      <c r="GSC20" s="64"/>
      <c r="GSD20" s="64"/>
      <c r="GSE20" s="64"/>
      <c r="GSF20" s="64"/>
      <c r="GSG20" s="64"/>
      <c r="GSH20" s="64"/>
      <c r="GSI20" s="64"/>
      <c r="GSJ20" s="64"/>
      <c r="GSK20" s="64"/>
      <c r="GSL20" s="64"/>
      <c r="GSM20" s="64"/>
      <c r="GSN20" s="64"/>
      <c r="GSO20" s="64"/>
      <c r="GSP20" s="64"/>
      <c r="GSQ20" s="64"/>
      <c r="GSR20" s="64"/>
      <c r="GSS20" s="64"/>
      <c r="GST20" s="64"/>
      <c r="GSU20" s="64"/>
      <c r="GSV20" s="64"/>
      <c r="GSW20" s="64"/>
      <c r="GSX20" s="64"/>
      <c r="GSY20" s="64"/>
      <c r="GSZ20" s="64"/>
      <c r="GTA20" s="64"/>
      <c r="GTB20" s="64"/>
      <c r="GTC20" s="64"/>
      <c r="GTD20" s="64"/>
      <c r="GTE20" s="64"/>
      <c r="GTF20" s="64"/>
      <c r="GTG20" s="64"/>
      <c r="GTH20" s="64"/>
      <c r="GTI20" s="64"/>
      <c r="GTJ20" s="64"/>
      <c r="GTK20" s="64"/>
      <c r="GTL20" s="64"/>
      <c r="GTM20" s="64"/>
      <c r="GTN20" s="64"/>
      <c r="GTO20" s="64"/>
      <c r="GTP20" s="64"/>
      <c r="GTQ20" s="64"/>
      <c r="GTR20" s="64"/>
      <c r="GTS20" s="64"/>
      <c r="GTT20" s="64"/>
      <c r="GTU20" s="64"/>
      <c r="GTV20" s="64"/>
      <c r="GTW20" s="64"/>
      <c r="GTX20" s="64"/>
      <c r="GTY20" s="64"/>
      <c r="GTZ20" s="64"/>
      <c r="GUA20" s="64"/>
      <c r="GUB20" s="64"/>
      <c r="GUC20" s="64"/>
      <c r="GUD20" s="64"/>
      <c r="GUE20" s="64"/>
      <c r="GUF20" s="64"/>
      <c r="GUG20" s="64"/>
      <c r="GUH20" s="64"/>
      <c r="GUI20" s="64"/>
      <c r="GUJ20" s="64"/>
      <c r="GUK20" s="64"/>
      <c r="GUL20" s="64"/>
      <c r="GUM20" s="64"/>
      <c r="GUN20" s="64"/>
      <c r="GUO20" s="64"/>
      <c r="GUP20" s="64"/>
      <c r="GUQ20" s="64"/>
      <c r="GUR20" s="64"/>
      <c r="GUS20" s="64"/>
      <c r="GUT20" s="64"/>
      <c r="GUU20" s="64"/>
      <c r="GUV20" s="64"/>
      <c r="GUW20" s="64"/>
      <c r="GUX20" s="64"/>
      <c r="GUY20" s="64"/>
      <c r="GUZ20" s="64"/>
      <c r="GVA20" s="64"/>
      <c r="GVB20" s="64"/>
      <c r="GVC20" s="64"/>
      <c r="GVD20" s="64"/>
      <c r="GVE20" s="64"/>
      <c r="GVF20" s="64"/>
      <c r="GVG20" s="64"/>
      <c r="GVH20" s="64"/>
      <c r="GVI20" s="64"/>
      <c r="GVJ20" s="64"/>
      <c r="GVK20" s="64"/>
      <c r="GVL20" s="64"/>
      <c r="GVM20" s="64"/>
      <c r="GVN20" s="64"/>
      <c r="GVO20" s="64"/>
      <c r="GVP20" s="64"/>
      <c r="GVQ20" s="64"/>
      <c r="GVR20" s="64"/>
      <c r="GVS20" s="64"/>
      <c r="GVT20" s="64"/>
      <c r="GVU20" s="64"/>
      <c r="GVV20" s="64"/>
      <c r="GVW20" s="64"/>
      <c r="GVX20" s="64"/>
      <c r="GVY20" s="64"/>
      <c r="GVZ20" s="64"/>
      <c r="GWA20" s="64"/>
      <c r="GWB20" s="64"/>
      <c r="GWC20" s="64"/>
      <c r="GWD20" s="64"/>
      <c r="GWE20" s="64"/>
      <c r="GWF20" s="64"/>
      <c r="GWG20" s="64"/>
      <c r="GWH20" s="64"/>
      <c r="GWI20" s="64"/>
      <c r="GWJ20" s="64"/>
      <c r="GWK20" s="64"/>
      <c r="GWL20" s="64"/>
      <c r="GWM20" s="64"/>
      <c r="GWN20" s="64"/>
      <c r="GWO20" s="64"/>
      <c r="GWP20" s="64"/>
      <c r="GWQ20" s="64"/>
      <c r="GWR20" s="64"/>
      <c r="GWS20" s="64"/>
      <c r="GWT20" s="64"/>
      <c r="GWU20" s="64"/>
      <c r="GWV20" s="64"/>
      <c r="GWW20" s="64"/>
      <c r="GWX20" s="64"/>
      <c r="GWY20" s="64"/>
      <c r="GWZ20" s="64"/>
      <c r="GXA20" s="64"/>
      <c r="GXB20" s="64"/>
      <c r="GXC20" s="64"/>
      <c r="GXD20" s="64"/>
      <c r="GXE20" s="64"/>
      <c r="GXF20" s="64"/>
      <c r="GXG20" s="64"/>
      <c r="GXH20" s="64"/>
      <c r="GXI20" s="64"/>
      <c r="GXJ20" s="64"/>
      <c r="GXK20" s="64"/>
      <c r="GXL20" s="64"/>
      <c r="GXM20" s="64"/>
      <c r="GXN20" s="64"/>
      <c r="GXO20" s="64"/>
      <c r="GXP20" s="64"/>
      <c r="GXQ20" s="64"/>
      <c r="GXR20" s="64"/>
      <c r="GXS20" s="64"/>
      <c r="GXT20" s="64"/>
      <c r="GXU20" s="64"/>
      <c r="GXV20" s="64"/>
      <c r="GXW20" s="64"/>
      <c r="GXX20" s="64"/>
      <c r="GXY20" s="64"/>
      <c r="GXZ20" s="64"/>
      <c r="GYA20" s="64"/>
      <c r="GYB20" s="64"/>
      <c r="GYC20" s="64"/>
      <c r="GYD20" s="64"/>
      <c r="GYE20" s="64"/>
      <c r="GYF20" s="64"/>
      <c r="GYG20" s="64"/>
      <c r="GYH20" s="64"/>
      <c r="GYI20" s="64"/>
      <c r="GYJ20" s="64"/>
      <c r="GYK20" s="64"/>
      <c r="GYL20" s="64"/>
      <c r="GYM20" s="64"/>
      <c r="GYN20" s="64"/>
      <c r="GYO20" s="64"/>
      <c r="GYP20" s="64"/>
      <c r="GYQ20" s="64"/>
      <c r="GYR20" s="64"/>
      <c r="GYS20" s="64"/>
      <c r="GYT20" s="64"/>
      <c r="GYU20" s="64"/>
      <c r="GYV20" s="64"/>
      <c r="GYW20" s="64"/>
      <c r="GYX20" s="64"/>
      <c r="GYY20" s="64"/>
      <c r="GYZ20" s="64"/>
      <c r="GZA20" s="64"/>
      <c r="GZB20" s="64"/>
      <c r="GZC20" s="64"/>
      <c r="GZD20" s="64"/>
      <c r="GZE20" s="64"/>
      <c r="GZF20" s="64"/>
      <c r="GZG20" s="64"/>
      <c r="GZH20" s="64"/>
      <c r="GZI20" s="64"/>
      <c r="GZJ20" s="64"/>
      <c r="GZK20" s="64"/>
      <c r="GZL20" s="64"/>
      <c r="GZM20" s="64"/>
      <c r="GZN20" s="64"/>
      <c r="GZO20" s="64"/>
      <c r="GZP20" s="64"/>
      <c r="GZQ20" s="64"/>
      <c r="GZR20" s="64"/>
      <c r="GZS20" s="64"/>
      <c r="GZT20" s="64"/>
      <c r="GZU20" s="64"/>
      <c r="GZV20" s="64"/>
      <c r="GZW20" s="64"/>
      <c r="GZX20" s="64"/>
      <c r="GZY20" s="64"/>
      <c r="GZZ20" s="64"/>
      <c r="HAA20" s="64"/>
      <c r="HAB20" s="64"/>
      <c r="HAC20" s="64"/>
      <c r="HAD20" s="64"/>
      <c r="HAE20" s="64"/>
      <c r="HAF20" s="64"/>
      <c r="HAG20" s="64"/>
      <c r="HAH20" s="64"/>
      <c r="HAI20" s="64"/>
      <c r="HAJ20" s="64"/>
      <c r="HAK20" s="64"/>
      <c r="HAL20" s="64"/>
      <c r="HAM20" s="64"/>
      <c r="HAN20" s="64"/>
      <c r="HAO20" s="64"/>
      <c r="HAP20" s="64"/>
      <c r="HAQ20" s="64"/>
      <c r="HAR20" s="64"/>
      <c r="HAS20" s="64"/>
      <c r="HAT20" s="64"/>
      <c r="HAU20" s="64"/>
      <c r="HAV20" s="64"/>
      <c r="HAW20" s="64"/>
      <c r="HAX20" s="64"/>
      <c r="HAY20" s="64"/>
      <c r="HAZ20" s="64"/>
      <c r="HBA20" s="64"/>
      <c r="HBB20" s="64"/>
      <c r="HBC20" s="64"/>
      <c r="HBD20" s="64"/>
      <c r="HBE20" s="64"/>
      <c r="HBF20" s="64"/>
      <c r="HBG20" s="64"/>
      <c r="HBH20" s="64"/>
      <c r="HBI20" s="64"/>
      <c r="HBJ20" s="64"/>
      <c r="HBK20" s="64"/>
      <c r="HBL20" s="64"/>
      <c r="HBM20" s="64"/>
      <c r="HBN20" s="64"/>
      <c r="HBO20" s="64"/>
      <c r="HBP20" s="64"/>
      <c r="HBQ20" s="64"/>
      <c r="HBR20" s="64"/>
      <c r="HBS20" s="64"/>
      <c r="HBT20" s="64"/>
      <c r="HBU20" s="64"/>
      <c r="HBV20" s="64"/>
      <c r="HBW20" s="64"/>
      <c r="HBX20" s="64"/>
      <c r="HBY20" s="64"/>
      <c r="HBZ20" s="64"/>
      <c r="HCA20" s="64"/>
      <c r="HCB20" s="64"/>
      <c r="HCC20" s="64"/>
      <c r="HCD20" s="64"/>
      <c r="HCE20" s="64"/>
      <c r="HCF20" s="64"/>
      <c r="HCG20" s="64"/>
      <c r="HCH20" s="64"/>
      <c r="HCI20" s="64"/>
      <c r="HCJ20" s="64"/>
      <c r="HCK20" s="64"/>
      <c r="HCL20" s="64"/>
      <c r="HCM20" s="64"/>
      <c r="HCN20" s="64"/>
      <c r="HCO20" s="64"/>
      <c r="HCP20" s="64"/>
      <c r="HCQ20" s="64"/>
      <c r="HCR20" s="64"/>
      <c r="HCS20" s="64"/>
      <c r="HCT20" s="64"/>
      <c r="HCU20" s="64"/>
      <c r="HCV20" s="64"/>
      <c r="HCW20" s="64"/>
      <c r="HCX20" s="64"/>
      <c r="HCY20" s="64"/>
      <c r="HCZ20" s="64"/>
      <c r="HDA20" s="64"/>
      <c r="HDB20" s="64"/>
      <c r="HDC20" s="64"/>
      <c r="HDD20" s="64"/>
      <c r="HDE20" s="64"/>
      <c r="HDF20" s="64"/>
      <c r="HDG20" s="64"/>
      <c r="HDH20" s="64"/>
      <c r="HDI20" s="64"/>
      <c r="HDJ20" s="64"/>
      <c r="HDK20" s="64"/>
      <c r="HDL20" s="64"/>
      <c r="HDM20" s="64"/>
      <c r="HDN20" s="64"/>
      <c r="HDO20" s="64"/>
      <c r="HDP20" s="64"/>
      <c r="HDQ20" s="64"/>
      <c r="HDR20" s="64"/>
      <c r="HDS20" s="64"/>
      <c r="HDT20" s="64"/>
      <c r="HDU20" s="64"/>
      <c r="HDV20" s="64"/>
      <c r="HDW20" s="64"/>
      <c r="HDX20" s="64"/>
      <c r="HDY20" s="64"/>
      <c r="HDZ20" s="64"/>
      <c r="HEA20" s="64"/>
      <c r="HEB20" s="64"/>
      <c r="HEC20" s="64"/>
      <c r="HED20" s="64"/>
      <c r="HEE20" s="64"/>
      <c r="HEF20" s="64"/>
      <c r="HEG20" s="64"/>
      <c r="HEH20" s="64"/>
      <c r="HEI20" s="64"/>
      <c r="HEJ20" s="64"/>
      <c r="HEK20" s="64"/>
      <c r="HEL20" s="64"/>
      <c r="HEM20" s="64"/>
      <c r="HEN20" s="64"/>
      <c r="HEO20" s="64"/>
      <c r="HEP20" s="64"/>
      <c r="HEQ20" s="64"/>
      <c r="HER20" s="64"/>
      <c r="HES20" s="64"/>
      <c r="HET20" s="64"/>
      <c r="HEU20" s="64"/>
      <c r="HEV20" s="64"/>
      <c r="HEW20" s="64"/>
      <c r="HEX20" s="64"/>
      <c r="HEY20" s="64"/>
      <c r="HEZ20" s="64"/>
      <c r="HFA20" s="64"/>
      <c r="HFB20" s="64"/>
      <c r="HFC20" s="64"/>
      <c r="HFD20" s="64"/>
      <c r="HFE20" s="64"/>
      <c r="HFF20" s="64"/>
      <c r="HFG20" s="64"/>
      <c r="HFH20" s="64"/>
      <c r="HFI20" s="64"/>
      <c r="HFJ20" s="64"/>
      <c r="HFK20" s="64"/>
      <c r="HFL20" s="64"/>
      <c r="HFM20" s="64"/>
      <c r="HFN20" s="64"/>
      <c r="HFO20" s="64"/>
      <c r="HFP20" s="64"/>
      <c r="HFQ20" s="64"/>
      <c r="HFR20" s="64"/>
      <c r="HFS20" s="64"/>
      <c r="HFT20" s="64"/>
      <c r="HFU20" s="64"/>
      <c r="HFV20" s="64"/>
      <c r="HFW20" s="64"/>
      <c r="HFX20" s="64"/>
      <c r="HFY20" s="64"/>
      <c r="HFZ20" s="64"/>
      <c r="HGA20" s="64"/>
      <c r="HGB20" s="64"/>
      <c r="HGC20" s="64"/>
      <c r="HGD20" s="64"/>
      <c r="HGE20" s="64"/>
      <c r="HGF20" s="64"/>
      <c r="HGG20" s="64"/>
      <c r="HGH20" s="64"/>
      <c r="HGI20" s="64"/>
      <c r="HGJ20" s="64"/>
      <c r="HGK20" s="64"/>
      <c r="HGL20" s="64"/>
      <c r="HGM20" s="64"/>
      <c r="HGN20" s="64"/>
      <c r="HGO20" s="64"/>
      <c r="HGP20" s="64"/>
      <c r="HGQ20" s="64"/>
      <c r="HGR20" s="64"/>
      <c r="HGS20" s="64"/>
      <c r="HGT20" s="64"/>
      <c r="HGU20" s="64"/>
      <c r="HGV20" s="64"/>
      <c r="HGW20" s="64"/>
      <c r="HGX20" s="64"/>
      <c r="HGY20" s="64"/>
      <c r="HGZ20" s="64"/>
      <c r="HHA20" s="64"/>
      <c r="HHB20" s="64"/>
      <c r="HHC20" s="64"/>
      <c r="HHD20" s="64"/>
      <c r="HHE20" s="64"/>
      <c r="HHF20" s="64"/>
      <c r="HHG20" s="64"/>
      <c r="HHH20" s="64"/>
      <c r="HHI20" s="64"/>
      <c r="HHJ20" s="64"/>
      <c r="HHK20" s="64"/>
      <c r="HHL20" s="64"/>
      <c r="HHM20" s="64"/>
      <c r="HHN20" s="64"/>
      <c r="HHO20" s="64"/>
      <c r="HHP20" s="64"/>
      <c r="HHQ20" s="64"/>
      <c r="HHR20" s="64"/>
      <c r="HHS20" s="64"/>
      <c r="HHT20" s="64"/>
      <c r="HHU20" s="64"/>
      <c r="HHV20" s="64"/>
      <c r="HHW20" s="64"/>
      <c r="HHX20" s="64"/>
      <c r="HHY20" s="64"/>
      <c r="HHZ20" s="64"/>
      <c r="HIA20" s="64"/>
      <c r="HIB20" s="64"/>
      <c r="HIC20" s="64"/>
      <c r="HID20" s="64"/>
      <c r="HIE20" s="64"/>
      <c r="HIF20" s="64"/>
      <c r="HIG20" s="64"/>
      <c r="HIH20" s="64"/>
      <c r="HII20" s="64"/>
      <c r="HIJ20" s="64"/>
      <c r="HIK20" s="64"/>
      <c r="HIL20" s="64"/>
      <c r="HIM20" s="64"/>
      <c r="HIN20" s="64"/>
      <c r="HIO20" s="64"/>
      <c r="HIP20" s="64"/>
      <c r="HIQ20" s="64"/>
      <c r="HIR20" s="64"/>
      <c r="HIS20" s="64"/>
      <c r="HIT20" s="64"/>
      <c r="HIU20" s="64"/>
      <c r="HIV20" s="64"/>
      <c r="HIW20" s="64"/>
      <c r="HIX20" s="64"/>
      <c r="HIY20" s="64"/>
      <c r="HIZ20" s="64"/>
      <c r="HJA20" s="64"/>
      <c r="HJB20" s="64"/>
      <c r="HJC20" s="64"/>
      <c r="HJD20" s="64"/>
      <c r="HJE20" s="64"/>
      <c r="HJF20" s="64"/>
      <c r="HJG20" s="64"/>
      <c r="HJH20" s="64"/>
      <c r="HJI20" s="64"/>
      <c r="HJJ20" s="64"/>
      <c r="HJK20" s="64"/>
      <c r="HJL20" s="64"/>
      <c r="HJM20" s="64"/>
      <c r="HJN20" s="64"/>
      <c r="HJO20" s="64"/>
      <c r="HJP20" s="64"/>
      <c r="HJQ20" s="64"/>
      <c r="HJR20" s="64"/>
      <c r="HJS20" s="64"/>
      <c r="HJT20" s="64"/>
      <c r="HJU20" s="64"/>
      <c r="HJV20" s="64"/>
      <c r="HJW20" s="64"/>
      <c r="HJX20" s="64"/>
      <c r="HJY20" s="64"/>
      <c r="HJZ20" s="64"/>
      <c r="HKA20" s="64"/>
      <c r="HKB20" s="64"/>
      <c r="HKC20" s="64"/>
      <c r="HKD20" s="64"/>
      <c r="HKE20" s="64"/>
      <c r="HKF20" s="64"/>
      <c r="HKG20" s="64"/>
      <c r="HKH20" s="64"/>
      <c r="HKI20" s="64"/>
      <c r="HKJ20" s="64"/>
      <c r="HKK20" s="64"/>
      <c r="HKL20" s="64"/>
      <c r="HKM20" s="64"/>
      <c r="HKN20" s="64"/>
      <c r="HKO20" s="64"/>
      <c r="HKP20" s="64"/>
      <c r="HKQ20" s="64"/>
      <c r="HKR20" s="64"/>
      <c r="HKS20" s="64"/>
      <c r="HKT20" s="64"/>
      <c r="HKU20" s="64"/>
      <c r="HKV20" s="64"/>
      <c r="HKW20" s="64"/>
      <c r="HKX20" s="64"/>
      <c r="HKY20" s="64"/>
      <c r="HKZ20" s="64"/>
      <c r="HLA20" s="64"/>
      <c r="HLB20" s="64"/>
      <c r="HLC20" s="64"/>
      <c r="HLD20" s="64"/>
      <c r="HLE20" s="64"/>
      <c r="HLF20" s="64"/>
      <c r="HLG20" s="64"/>
      <c r="HLH20" s="64"/>
      <c r="HLI20" s="64"/>
      <c r="HLJ20" s="64"/>
      <c r="HLK20" s="64"/>
      <c r="HLL20" s="64"/>
      <c r="HLM20" s="64"/>
      <c r="HLN20" s="64"/>
      <c r="HLO20" s="64"/>
      <c r="HLP20" s="64"/>
      <c r="HLQ20" s="64"/>
      <c r="HLR20" s="64"/>
      <c r="HLS20" s="64"/>
      <c r="HLT20" s="64"/>
      <c r="HLU20" s="64"/>
      <c r="HLV20" s="64"/>
      <c r="HLW20" s="64"/>
      <c r="HLX20" s="64"/>
      <c r="HLY20" s="64"/>
      <c r="HLZ20" s="64"/>
      <c r="HMA20" s="64"/>
      <c r="HMB20" s="64"/>
      <c r="HMC20" s="64"/>
      <c r="HMD20" s="64"/>
      <c r="HME20" s="64"/>
      <c r="HMF20" s="64"/>
      <c r="HMG20" s="64"/>
      <c r="HMH20" s="64"/>
      <c r="HMI20" s="64"/>
      <c r="HMJ20" s="64"/>
      <c r="HMK20" s="64"/>
      <c r="HML20" s="64"/>
      <c r="HMM20" s="64"/>
      <c r="HMN20" s="64"/>
      <c r="HMO20" s="64"/>
      <c r="HMP20" s="64"/>
      <c r="HMQ20" s="64"/>
      <c r="HMR20" s="64"/>
      <c r="HMS20" s="64"/>
      <c r="HMT20" s="64"/>
      <c r="HMU20" s="64"/>
      <c r="HMV20" s="64"/>
      <c r="HMW20" s="64"/>
      <c r="HMX20" s="64"/>
      <c r="HMY20" s="64"/>
      <c r="HMZ20" s="64"/>
      <c r="HNA20" s="64"/>
      <c r="HNB20" s="64"/>
      <c r="HNC20" s="64"/>
      <c r="HND20" s="64"/>
      <c r="HNE20" s="64"/>
      <c r="HNF20" s="64"/>
      <c r="HNG20" s="64"/>
      <c r="HNH20" s="64"/>
      <c r="HNI20" s="64"/>
      <c r="HNJ20" s="64"/>
      <c r="HNK20" s="64"/>
      <c r="HNL20" s="64"/>
      <c r="HNM20" s="64"/>
      <c r="HNN20" s="64"/>
      <c r="HNO20" s="64"/>
      <c r="HNP20" s="64"/>
      <c r="HNQ20" s="64"/>
      <c r="HNR20" s="64"/>
      <c r="HNS20" s="64"/>
      <c r="HNT20" s="64"/>
      <c r="HNU20" s="64"/>
      <c r="HNV20" s="64"/>
      <c r="HNW20" s="64"/>
      <c r="HNX20" s="64"/>
      <c r="HNY20" s="64"/>
      <c r="HNZ20" s="64"/>
      <c r="HOA20" s="64"/>
      <c r="HOB20" s="64"/>
      <c r="HOC20" s="64"/>
      <c r="HOD20" s="64"/>
      <c r="HOE20" s="64"/>
      <c r="HOF20" s="64"/>
      <c r="HOG20" s="64"/>
      <c r="HOH20" s="64"/>
      <c r="HOI20" s="64"/>
      <c r="HOJ20" s="64"/>
      <c r="HOK20" s="64"/>
      <c r="HOL20" s="64"/>
      <c r="HOM20" s="64"/>
      <c r="HON20" s="64"/>
      <c r="HOO20" s="64"/>
      <c r="HOP20" s="64"/>
      <c r="HOQ20" s="64"/>
      <c r="HOR20" s="64"/>
      <c r="HOS20" s="64"/>
      <c r="HOT20" s="64"/>
      <c r="HOU20" s="64"/>
      <c r="HOV20" s="64"/>
      <c r="HOW20" s="64"/>
      <c r="HOX20" s="64"/>
      <c r="HOY20" s="64"/>
      <c r="HOZ20" s="64"/>
      <c r="HPA20" s="64"/>
      <c r="HPB20" s="64"/>
      <c r="HPC20" s="64"/>
      <c r="HPD20" s="64"/>
      <c r="HPE20" s="64"/>
      <c r="HPF20" s="64"/>
      <c r="HPG20" s="64"/>
      <c r="HPH20" s="64"/>
      <c r="HPI20" s="64"/>
      <c r="HPJ20" s="64"/>
      <c r="HPK20" s="64"/>
      <c r="HPL20" s="64"/>
      <c r="HPM20" s="64"/>
      <c r="HPN20" s="64"/>
      <c r="HPO20" s="64"/>
      <c r="HPP20" s="64"/>
      <c r="HPQ20" s="64"/>
      <c r="HPR20" s="64"/>
      <c r="HPS20" s="64"/>
      <c r="HPT20" s="64"/>
      <c r="HPU20" s="64"/>
      <c r="HPV20" s="64"/>
      <c r="HPW20" s="64"/>
      <c r="HPX20" s="64"/>
      <c r="HPY20" s="64"/>
      <c r="HPZ20" s="64"/>
      <c r="HQA20" s="64"/>
      <c r="HQB20" s="64"/>
      <c r="HQC20" s="64"/>
      <c r="HQD20" s="64"/>
      <c r="HQE20" s="64"/>
      <c r="HQF20" s="64"/>
      <c r="HQG20" s="64"/>
      <c r="HQH20" s="64"/>
      <c r="HQI20" s="64"/>
      <c r="HQJ20" s="64"/>
      <c r="HQK20" s="64"/>
      <c r="HQL20" s="64"/>
      <c r="HQM20" s="64"/>
      <c r="HQN20" s="64"/>
      <c r="HQO20" s="64"/>
      <c r="HQP20" s="64"/>
      <c r="HQQ20" s="64"/>
      <c r="HQR20" s="64"/>
      <c r="HQS20" s="64"/>
      <c r="HQT20" s="64"/>
      <c r="HQU20" s="64"/>
      <c r="HQV20" s="64"/>
      <c r="HQW20" s="64"/>
      <c r="HQX20" s="64"/>
      <c r="HQY20" s="64"/>
      <c r="HQZ20" s="64"/>
      <c r="HRA20" s="64"/>
      <c r="HRB20" s="64"/>
      <c r="HRC20" s="64"/>
      <c r="HRD20" s="64"/>
      <c r="HRE20" s="64"/>
      <c r="HRF20" s="64"/>
      <c r="HRG20" s="64"/>
      <c r="HRH20" s="64"/>
      <c r="HRI20" s="64"/>
      <c r="HRJ20" s="64"/>
      <c r="HRK20" s="64"/>
      <c r="HRL20" s="64"/>
      <c r="HRM20" s="64"/>
      <c r="HRN20" s="64"/>
      <c r="HRO20" s="64"/>
      <c r="HRP20" s="64"/>
      <c r="HRQ20" s="64"/>
      <c r="HRR20" s="64"/>
      <c r="HRS20" s="64"/>
      <c r="HRT20" s="64"/>
      <c r="HRU20" s="64"/>
      <c r="HRV20" s="64"/>
      <c r="HRW20" s="64"/>
      <c r="HRX20" s="64"/>
      <c r="HRY20" s="64"/>
      <c r="HRZ20" s="64"/>
      <c r="HSA20" s="64"/>
      <c r="HSB20" s="64"/>
      <c r="HSC20" s="64"/>
      <c r="HSD20" s="64"/>
      <c r="HSE20" s="64"/>
      <c r="HSF20" s="64"/>
      <c r="HSG20" s="64"/>
      <c r="HSH20" s="64"/>
      <c r="HSI20" s="64"/>
      <c r="HSJ20" s="64"/>
      <c r="HSK20" s="64"/>
      <c r="HSL20" s="64"/>
      <c r="HSM20" s="64"/>
      <c r="HSN20" s="64"/>
      <c r="HSO20" s="64"/>
      <c r="HSP20" s="64"/>
      <c r="HSQ20" s="64"/>
      <c r="HSR20" s="64"/>
      <c r="HSS20" s="64"/>
      <c r="HST20" s="64"/>
      <c r="HSU20" s="64"/>
      <c r="HSV20" s="64"/>
      <c r="HSW20" s="64"/>
      <c r="HSX20" s="64"/>
      <c r="HSY20" s="64"/>
      <c r="HSZ20" s="64"/>
      <c r="HTA20" s="64"/>
      <c r="HTB20" s="64"/>
      <c r="HTC20" s="64"/>
      <c r="HTD20" s="64"/>
      <c r="HTE20" s="64"/>
      <c r="HTF20" s="64"/>
      <c r="HTG20" s="64"/>
      <c r="HTH20" s="64"/>
      <c r="HTI20" s="64"/>
      <c r="HTJ20" s="64"/>
      <c r="HTK20" s="64"/>
      <c r="HTL20" s="64"/>
      <c r="HTM20" s="64"/>
      <c r="HTN20" s="64"/>
      <c r="HTO20" s="64"/>
      <c r="HTP20" s="64"/>
      <c r="HTQ20" s="64"/>
      <c r="HTR20" s="64"/>
      <c r="HTS20" s="64"/>
      <c r="HTT20" s="64"/>
      <c r="HTU20" s="64"/>
      <c r="HTV20" s="64"/>
      <c r="HTW20" s="64"/>
      <c r="HTX20" s="64"/>
      <c r="HTY20" s="64"/>
      <c r="HTZ20" s="64"/>
      <c r="HUA20" s="64"/>
      <c r="HUB20" s="64"/>
      <c r="HUC20" s="64"/>
      <c r="HUD20" s="64"/>
      <c r="HUE20" s="64"/>
      <c r="HUF20" s="64"/>
      <c r="HUG20" s="64"/>
      <c r="HUH20" s="64"/>
      <c r="HUI20" s="64"/>
      <c r="HUJ20" s="64"/>
      <c r="HUK20" s="64"/>
      <c r="HUL20" s="64"/>
      <c r="HUM20" s="64"/>
      <c r="HUN20" s="64"/>
      <c r="HUO20" s="64"/>
      <c r="HUP20" s="64"/>
      <c r="HUQ20" s="64"/>
      <c r="HUR20" s="64"/>
      <c r="HUS20" s="64"/>
      <c r="HUT20" s="64"/>
      <c r="HUU20" s="64"/>
      <c r="HUV20" s="64"/>
      <c r="HUW20" s="64"/>
      <c r="HUX20" s="64"/>
      <c r="HUY20" s="64"/>
      <c r="HUZ20" s="64"/>
      <c r="HVA20" s="64"/>
      <c r="HVB20" s="64"/>
      <c r="HVC20" s="64"/>
      <c r="HVD20" s="64"/>
      <c r="HVE20" s="64"/>
      <c r="HVF20" s="64"/>
      <c r="HVG20" s="64"/>
      <c r="HVH20" s="64"/>
      <c r="HVI20" s="64"/>
      <c r="HVJ20" s="64"/>
      <c r="HVK20" s="64"/>
      <c r="HVL20" s="64"/>
      <c r="HVM20" s="64"/>
      <c r="HVN20" s="64"/>
      <c r="HVO20" s="64"/>
      <c r="HVP20" s="64"/>
      <c r="HVQ20" s="64"/>
      <c r="HVR20" s="64"/>
      <c r="HVS20" s="64"/>
      <c r="HVT20" s="64"/>
      <c r="HVU20" s="64"/>
      <c r="HVV20" s="64"/>
      <c r="HVW20" s="64"/>
      <c r="HVX20" s="64"/>
      <c r="HVY20" s="64"/>
      <c r="HVZ20" s="64"/>
      <c r="HWA20" s="64"/>
      <c r="HWB20" s="64"/>
      <c r="HWC20" s="64"/>
      <c r="HWD20" s="64"/>
      <c r="HWE20" s="64"/>
      <c r="HWF20" s="64"/>
      <c r="HWG20" s="64"/>
      <c r="HWH20" s="64"/>
      <c r="HWI20" s="64"/>
      <c r="HWJ20" s="64"/>
      <c r="HWK20" s="64"/>
      <c r="HWL20" s="64"/>
      <c r="HWM20" s="64"/>
      <c r="HWN20" s="64"/>
      <c r="HWO20" s="64"/>
      <c r="HWP20" s="64"/>
      <c r="HWQ20" s="64"/>
      <c r="HWR20" s="64"/>
      <c r="HWS20" s="64"/>
      <c r="HWT20" s="64"/>
      <c r="HWU20" s="64"/>
      <c r="HWV20" s="64"/>
      <c r="HWW20" s="64"/>
      <c r="HWX20" s="64"/>
      <c r="HWY20" s="64"/>
      <c r="HWZ20" s="64"/>
      <c r="HXA20" s="64"/>
      <c r="HXB20" s="64"/>
      <c r="HXC20" s="64"/>
      <c r="HXD20" s="64"/>
      <c r="HXE20" s="64"/>
      <c r="HXF20" s="64"/>
      <c r="HXG20" s="64"/>
      <c r="HXH20" s="64"/>
      <c r="HXI20" s="64"/>
      <c r="HXJ20" s="64"/>
      <c r="HXK20" s="64"/>
      <c r="HXL20" s="64"/>
      <c r="HXM20" s="64"/>
      <c r="HXN20" s="64"/>
      <c r="HXO20" s="64"/>
      <c r="HXP20" s="64"/>
      <c r="HXQ20" s="64"/>
      <c r="HXR20" s="64"/>
      <c r="HXS20" s="64"/>
      <c r="HXT20" s="64"/>
      <c r="HXU20" s="64"/>
      <c r="HXV20" s="64"/>
      <c r="HXW20" s="64"/>
      <c r="HXX20" s="64"/>
      <c r="HXY20" s="64"/>
      <c r="HXZ20" s="64"/>
      <c r="HYA20" s="64"/>
      <c r="HYB20" s="64"/>
      <c r="HYC20" s="64"/>
      <c r="HYD20" s="64"/>
      <c r="HYE20" s="64"/>
      <c r="HYF20" s="64"/>
      <c r="HYG20" s="64"/>
      <c r="HYH20" s="64"/>
      <c r="HYI20" s="64"/>
      <c r="HYJ20" s="64"/>
      <c r="HYK20" s="64"/>
      <c r="HYL20" s="64"/>
      <c r="HYM20" s="64"/>
      <c r="HYN20" s="64"/>
      <c r="HYO20" s="64"/>
      <c r="HYP20" s="64"/>
      <c r="HYQ20" s="64"/>
      <c r="HYR20" s="64"/>
      <c r="HYS20" s="64"/>
      <c r="HYT20" s="64"/>
      <c r="HYU20" s="64"/>
      <c r="HYV20" s="64"/>
      <c r="HYW20" s="64"/>
      <c r="HYX20" s="64"/>
      <c r="HYY20" s="64"/>
      <c r="HYZ20" s="64"/>
      <c r="HZA20" s="64"/>
      <c r="HZB20" s="64"/>
      <c r="HZC20" s="64"/>
      <c r="HZD20" s="64"/>
      <c r="HZE20" s="64"/>
      <c r="HZF20" s="64"/>
      <c r="HZG20" s="64"/>
      <c r="HZH20" s="64"/>
      <c r="HZI20" s="64"/>
      <c r="HZJ20" s="64"/>
      <c r="HZK20" s="64"/>
      <c r="HZL20" s="64"/>
      <c r="HZM20" s="64"/>
      <c r="HZN20" s="64"/>
      <c r="HZO20" s="64"/>
      <c r="HZP20" s="64"/>
      <c r="HZQ20" s="64"/>
      <c r="HZR20" s="64"/>
      <c r="HZS20" s="64"/>
      <c r="HZT20" s="64"/>
      <c r="HZU20" s="64"/>
      <c r="HZV20" s="64"/>
      <c r="HZW20" s="64"/>
      <c r="HZX20" s="64"/>
      <c r="HZY20" s="64"/>
      <c r="HZZ20" s="64"/>
      <c r="IAA20" s="64"/>
      <c r="IAB20" s="64"/>
      <c r="IAC20" s="64"/>
      <c r="IAD20" s="64"/>
      <c r="IAE20" s="64"/>
      <c r="IAF20" s="64"/>
      <c r="IAG20" s="64"/>
      <c r="IAH20" s="64"/>
      <c r="IAI20" s="64"/>
      <c r="IAJ20" s="64"/>
      <c r="IAK20" s="64"/>
      <c r="IAL20" s="64"/>
      <c r="IAM20" s="64"/>
      <c r="IAN20" s="64"/>
      <c r="IAO20" s="64"/>
      <c r="IAP20" s="64"/>
      <c r="IAQ20" s="64"/>
      <c r="IAR20" s="64"/>
      <c r="IAS20" s="64"/>
      <c r="IAT20" s="64"/>
      <c r="IAU20" s="64"/>
      <c r="IAV20" s="64"/>
      <c r="IAW20" s="64"/>
      <c r="IAX20" s="64"/>
      <c r="IAY20" s="64"/>
      <c r="IAZ20" s="64"/>
      <c r="IBA20" s="64"/>
      <c r="IBB20" s="64"/>
      <c r="IBC20" s="64"/>
      <c r="IBD20" s="64"/>
      <c r="IBE20" s="64"/>
      <c r="IBF20" s="64"/>
      <c r="IBG20" s="64"/>
      <c r="IBH20" s="64"/>
      <c r="IBI20" s="64"/>
      <c r="IBJ20" s="64"/>
      <c r="IBK20" s="64"/>
      <c r="IBL20" s="64"/>
      <c r="IBM20" s="64"/>
      <c r="IBN20" s="64"/>
      <c r="IBO20" s="64"/>
      <c r="IBP20" s="64"/>
      <c r="IBQ20" s="64"/>
      <c r="IBR20" s="64"/>
      <c r="IBS20" s="64"/>
      <c r="IBT20" s="64"/>
      <c r="IBU20" s="64"/>
      <c r="IBV20" s="64"/>
      <c r="IBW20" s="64"/>
      <c r="IBX20" s="64"/>
      <c r="IBY20" s="64"/>
      <c r="IBZ20" s="64"/>
      <c r="ICA20" s="64"/>
      <c r="ICB20" s="64"/>
      <c r="ICC20" s="64"/>
      <c r="ICD20" s="64"/>
      <c r="ICE20" s="64"/>
      <c r="ICF20" s="64"/>
      <c r="ICG20" s="64"/>
      <c r="ICH20" s="64"/>
      <c r="ICI20" s="64"/>
      <c r="ICJ20" s="64"/>
      <c r="ICK20" s="64"/>
      <c r="ICL20" s="64"/>
      <c r="ICM20" s="64"/>
      <c r="ICN20" s="64"/>
      <c r="ICO20" s="64"/>
      <c r="ICP20" s="64"/>
      <c r="ICQ20" s="64"/>
      <c r="ICR20" s="64"/>
      <c r="ICS20" s="64"/>
      <c r="ICT20" s="64"/>
      <c r="ICU20" s="64"/>
      <c r="ICV20" s="64"/>
      <c r="ICW20" s="64"/>
      <c r="ICX20" s="64"/>
      <c r="ICY20" s="64"/>
      <c r="ICZ20" s="64"/>
      <c r="IDA20" s="64"/>
      <c r="IDB20" s="64"/>
      <c r="IDC20" s="64"/>
      <c r="IDD20" s="64"/>
      <c r="IDE20" s="64"/>
      <c r="IDF20" s="64"/>
      <c r="IDG20" s="64"/>
      <c r="IDH20" s="64"/>
      <c r="IDI20" s="64"/>
      <c r="IDJ20" s="64"/>
      <c r="IDK20" s="64"/>
      <c r="IDL20" s="64"/>
      <c r="IDM20" s="64"/>
      <c r="IDN20" s="64"/>
      <c r="IDO20" s="64"/>
      <c r="IDP20" s="64"/>
      <c r="IDQ20" s="64"/>
      <c r="IDR20" s="64"/>
      <c r="IDS20" s="64"/>
      <c r="IDT20" s="64"/>
      <c r="IDU20" s="64"/>
      <c r="IDV20" s="64"/>
      <c r="IDW20" s="64"/>
      <c r="IDX20" s="64"/>
      <c r="IDY20" s="64"/>
      <c r="IDZ20" s="64"/>
      <c r="IEA20" s="64"/>
      <c r="IEB20" s="64"/>
      <c r="IEC20" s="64"/>
      <c r="IED20" s="64"/>
      <c r="IEE20" s="64"/>
      <c r="IEF20" s="64"/>
      <c r="IEG20" s="64"/>
      <c r="IEH20" s="64"/>
      <c r="IEI20" s="64"/>
      <c r="IEJ20" s="64"/>
      <c r="IEK20" s="64"/>
      <c r="IEL20" s="64"/>
      <c r="IEM20" s="64"/>
      <c r="IEN20" s="64"/>
      <c r="IEO20" s="64"/>
      <c r="IEP20" s="64"/>
      <c r="IEQ20" s="64"/>
      <c r="IER20" s="64"/>
      <c r="IES20" s="64"/>
      <c r="IET20" s="64"/>
      <c r="IEU20" s="64"/>
      <c r="IEV20" s="64"/>
      <c r="IEW20" s="64"/>
      <c r="IEX20" s="64"/>
      <c r="IEY20" s="64"/>
      <c r="IEZ20" s="64"/>
      <c r="IFA20" s="64"/>
      <c r="IFB20" s="64"/>
      <c r="IFC20" s="64"/>
      <c r="IFD20" s="64"/>
      <c r="IFE20" s="64"/>
      <c r="IFF20" s="64"/>
      <c r="IFG20" s="64"/>
      <c r="IFH20" s="64"/>
      <c r="IFI20" s="64"/>
      <c r="IFJ20" s="64"/>
      <c r="IFK20" s="64"/>
      <c r="IFL20" s="64"/>
      <c r="IFM20" s="64"/>
      <c r="IFN20" s="64"/>
      <c r="IFO20" s="64"/>
      <c r="IFP20" s="64"/>
      <c r="IFQ20" s="64"/>
      <c r="IFR20" s="64"/>
      <c r="IFS20" s="64"/>
      <c r="IFT20" s="64"/>
      <c r="IFU20" s="64"/>
      <c r="IFV20" s="64"/>
      <c r="IFW20" s="64"/>
      <c r="IFX20" s="64"/>
      <c r="IFY20" s="64"/>
      <c r="IFZ20" s="64"/>
      <c r="IGA20" s="64"/>
      <c r="IGB20" s="64"/>
      <c r="IGC20" s="64"/>
      <c r="IGD20" s="64"/>
      <c r="IGE20" s="64"/>
      <c r="IGF20" s="64"/>
      <c r="IGG20" s="64"/>
      <c r="IGH20" s="64"/>
      <c r="IGI20" s="64"/>
      <c r="IGJ20" s="64"/>
      <c r="IGK20" s="64"/>
      <c r="IGL20" s="64"/>
      <c r="IGM20" s="64"/>
      <c r="IGN20" s="64"/>
      <c r="IGO20" s="64"/>
      <c r="IGP20" s="64"/>
      <c r="IGQ20" s="64"/>
      <c r="IGR20" s="64"/>
      <c r="IGS20" s="64"/>
      <c r="IGT20" s="64"/>
      <c r="IGU20" s="64"/>
      <c r="IGV20" s="64"/>
      <c r="IGW20" s="64"/>
      <c r="IGX20" s="64"/>
      <c r="IGY20" s="64"/>
      <c r="IGZ20" s="64"/>
      <c r="IHA20" s="64"/>
      <c r="IHB20" s="64"/>
      <c r="IHC20" s="64"/>
      <c r="IHD20" s="64"/>
      <c r="IHE20" s="64"/>
      <c r="IHF20" s="64"/>
      <c r="IHG20" s="64"/>
      <c r="IHH20" s="64"/>
      <c r="IHI20" s="64"/>
      <c r="IHJ20" s="64"/>
      <c r="IHK20" s="64"/>
      <c r="IHL20" s="64"/>
      <c r="IHM20" s="64"/>
      <c r="IHN20" s="64"/>
      <c r="IHO20" s="64"/>
      <c r="IHP20" s="64"/>
      <c r="IHQ20" s="64"/>
      <c r="IHR20" s="64"/>
      <c r="IHS20" s="64"/>
      <c r="IHT20" s="64"/>
      <c r="IHU20" s="64"/>
      <c r="IHV20" s="64"/>
      <c r="IHW20" s="64"/>
      <c r="IHX20" s="64"/>
      <c r="IHY20" s="64"/>
      <c r="IHZ20" s="64"/>
      <c r="IIA20" s="64"/>
      <c r="IIB20" s="64"/>
      <c r="IIC20" s="64"/>
      <c r="IID20" s="64"/>
      <c r="IIE20" s="64"/>
      <c r="IIF20" s="64"/>
      <c r="IIG20" s="64"/>
      <c r="IIH20" s="64"/>
      <c r="III20" s="64"/>
      <c r="IIJ20" s="64"/>
      <c r="IIK20" s="64"/>
      <c r="IIL20" s="64"/>
      <c r="IIM20" s="64"/>
      <c r="IIN20" s="64"/>
      <c r="IIO20" s="64"/>
      <c r="IIP20" s="64"/>
      <c r="IIQ20" s="64"/>
      <c r="IIR20" s="64"/>
      <c r="IIS20" s="64"/>
      <c r="IIT20" s="64"/>
      <c r="IIU20" s="64"/>
      <c r="IIV20" s="64"/>
      <c r="IIW20" s="64"/>
      <c r="IIX20" s="64"/>
      <c r="IIY20" s="64"/>
      <c r="IIZ20" s="64"/>
      <c r="IJA20" s="64"/>
      <c r="IJB20" s="64"/>
      <c r="IJC20" s="64"/>
      <c r="IJD20" s="64"/>
      <c r="IJE20" s="64"/>
      <c r="IJF20" s="64"/>
      <c r="IJG20" s="64"/>
      <c r="IJH20" s="64"/>
      <c r="IJI20" s="64"/>
      <c r="IJJ20" s="64"/>
      <c r="IJK20" s="64"/>
      <c r="IJL20" s="64"/>
      <c r="IJM20" s="64"/>
      <c r="IJN20" s="64"/>
      <c r="IJO20" s="64"/>
      <c r="IJP20" s="64"/>
      <c r="IJQ20" s="64"/>
      <c r="IJR20" s="64"/>
      <c r="IJS20" s="64"/>
      <c r="IJT20" s="64"/>
      <c r="IJU20" s="64"/>
      <c r="IJV20" s="64"/>
      <c r="IJW20" s="64"/>
      <c r="IJX20" s="64"/>
      <c r="IJY20" s="64"/>
      <c r="IJZ20" s="64"/>
      <c r="IKA20" s="64"/>
      <c r="IKB20" s="64"/>
      <c r="IKC20" s="64"/>
      <c r="IKD20" s="64"/>
      <c r="IKE20" s="64"/>
      <c r="IKF20" s="64"/>
      <c r="IKG20" s="64"/>
      <c r="IKH20" s="64"/>
      <c r="IKI20" s="64"/>
      <c r="IKJ20" s="64"/>
      <c r="IKK20" s="64"/>
      <c r="IKL20" s="64"/>
      <c r="IKM20" s="64"/>
      <c r="IKN20" s="64"/>
      <c r="IKO20" s="64"/>
      <c r="IKP20" s="64"/>
      <c r="IKQ20" s="64"/>
      <c r="IKR20" s="64"/>
      <c r="IKS20" s="64"/>
      <c r="IKT20" s="64"/>
      <c r="IKU20" s="64"/>
      <c r="IKV20" s="64"/>
      <c r="IKW20" s="64"/>
      <c r="IKX20" s="64"/>
      <c r="IKY20" s="64"/>
      <c r="IKZ20" s="64"/>
      <c r="ILA20" s="64"/>
      <c r="ILB20" s="64"/>
      <c r="ILC20" s="64"/>
      <c r="ILD20" s="64"/>
      <c r="ILE20" s="64"/>
      <c r="ILF20" s="64"/>
      <c r="ILG20" s="64"/>
      <c r="ILH20" s="64"/>
      <c r="ILI20" s="64"/>
      <c r="ILJ20" s="64"/>
      <c r="ILK20" s="64"/>
      <c r="ILL20" s="64"/>
      <c r="ILM20" s="64"/>
      <c r="ILN20" s="64"/>
      <c r="ILO20" s="64"/>
      <c r="ILP20" s="64"/>
      <c r="ILQ20" s="64"/>
      <c r="ILR20" s="64"/>
      <c r="ILS20" s="64"/>
      <c r="ILT20" s="64"/>
      <c r="ILU20" s="64"/>
      <c r="ILV20" s="64"/>
      <c r="ILW20" s="64"/>
      <c r="ILX20" s="64"/>
      <c r="ILY20" s="64"/>
      <c r="ILZ20" s="64"/>
      <c r="IMA20" s="64"/>
      <c r="IMB20" s="64"/>
      <c r="IMC20" s="64"/>
      <c r="IMD20" s="64"/>
      <c r="IME20" s="64"/>
      <c r="IMF20" s="64"/>
      <c r="IMG20" s="64"/>
      <c r="IMH20" s="64"/>
      <c r="IMI20" s="64"/>
      <c r="IMJ20" s="64"/>
      <c r="IMK20" s="64"/>
      <c r="IML20" s="64"/>
      <c r="IMM20" s="64"/>
      <c r="IMN20" s="64"/>
      <c r="IMO20" s="64"/>
      <c r="IMP20" s="64"/>
      <c r="IMQ20" s="64"/>
      <c r="IMR20" s="64"/>
      <c r="IMS20" s="64"/>
      <c r="IMT20" s="64"/>
      <c r="IMU20" s="64"/>
      <c r="IMV20" s="64"/>
      <c r="IMW20" s="64"/>
      <c r="IMX20" s="64"/>
      <c r="IMY20" s="64"/>
      <c r="IMZ20" s="64"/>
      <c r="INA20" s="64"/>
      <c r="INB20" s="64"/>
      <c r="INC20" s="64"/>
      <c r="IND20" s="64"/>
      <c r="INE20" s="64"/>
      <c r="INF20" s="64"/>
      <c r="ING20" s="64"/>
      <c r="INH20" s="64"/>
      <c r="INI20" s="64"/>
      <c r="INJ20" s="64"/>
      <c r="INK20" s="64"/>
      <c r="INL20" s="64"/>
      <c r="INM20" s="64"/>
      <c r="INN20" s="64"/>
      <c r="INO20" s="64"/>
      <c r="INP20" s="64"/>
      <c r="INQ20" s="64"/>
      <c r="INR20" s="64"/>
      <c r="INS20" s="64"/>
      <c r="INT20" s="64"/>
      <c r="INU20" s="64"/>
      <c r="INV20" s="64"/>
      <c r="INW20" s="64"/>
      <c r="INX20" s="64"/>
      <c r="INY20" s="64"/>
      <c r="INZ20" s="64"/>
      <c r="IOA20" s="64"/>
      <c r="IOB20" s="64"/>
      <c r="IOC20" s="64"/>
      <c r="IOD20" s="64"/>
      <c r="IOE20" s="64"/>
      <c r="IOF20" s="64"/>
      <c r="IOG20" s="64"/>
      <c r="IOH20" s="64"/>
      <c r="IOI20" s="64"/>
      <c r="IOJ20" s="64"/>
      <c r="IOK20" s="64"/>
      <c r="IOL20" s="64"/>
      <c r="IOM20" s="64"/>
      <c r="ION20" s="64"/>
      <c r="IOO20" s="64"/>
      <c r="IOP20" s="64"/>
      <c r="IOQ20" s="64"/>
      <c r="IOR20" s="64"/>
      <c r="IOS20" s="64"/>
      <c r="IOT20" s="64"/>
      <c r="IOU20" s="64"/>
      <c r="IOV20" s="64"/>
      <c r="IOW20" s="64"/>
      <c r="IOX20" s="64"/>
      <c r="IOY20" s="64"/>
      <c r="IOZ20" s="64"/>
      <c r="IPA20" s="64"/>
      <c r="IPB20" s="64"/>
      <c r="IPC20" s="64"/>
      <c r="IPD20" s="64"/>
      <c r="IPE20" s="64"/>
      <c r="IPF20" s="64"/>
      <c r="IPG20" s="64"/>
      <c r="IPH20" s="64"/>
      <c r="IPI20" s="64"/>
      <c r="IPJ20" s="64"/>
      <c r="IPK20" s="64"/>
      <c r="IPL20" s="64"/>
      <c r="IPM20" s="64"/>
      <c r="IPN20" s="64"/>
      <c r="IPO20" s="64"/>
      <c r="IPP20" s="64"/>
      <c r="IPQ20" s="64"/>
      <c r="IPR20" s="64"/>
      <c r="IPS20" s="64"/>
      <c r="IPT20" s="64"/>
      <c r="IPU20" s="64"/>
      <c r="IPV20" s="64"/>
      <c r="IPW20" s="64"/>
      <c r="IPX20" s="64"/>
      <c r="IPY20" s="64"/>
      <c r="IPZ20" s="64"/>
      <c r="IQA20" s="64"/>
      <c r="IQB20" s="64"/>
      <c r="IQC20" s="64"/>
      <c r="IQD20" s="64"/>
      <c r="IQE20" s="64"/>
      <c r="IQF20" s="64"/>
      <c r="IQG20" s="64"/>
      <c r="IQH20" s="64"/>
      <c r="IQI20" s="64"/>
      <c r="IQJ20" s="64"/>
      <c r="IQK20" s="64"/>
      <c r="IQL20" s="64"/>
      <c r="IQM20" s="64"/>
      <c r="IQN20" s="64"/>
      <c r="IQO20" s="64"/>
      <c r="IQP20" s="64"/>
      <c r="IQQ20" s="64"/>
      <c r="IQR20" s="64"/>
      <c r="IQS20" s="64"/>
      <c r="IQT20" s="64"/>
      <c r="IQU20" s="64"/>
      <c r="IQV20" s="64"/>
      <c r="IQW20" s="64"/>
      <c r="IQX20" s="64"/>
      <c r="IQY20" s="64"/>
      <c r="IQZ20" s="64"/>
      <c r="IRA20" s="64"/>
      <c r="IRB20" s="64"/>
      <c r="IRC20" s="64"/>
      <c r="IRD20" s="64"/>
      <c r="IRE20" s="64"/>
      <c r="IRF20" s="64"/>
      <c r="IRG20" s="64"/>
      <c r="IRH20" s="64"/>
      <c r="IRI20" s="64"/>
      <c r="IRJ20" s="64"/>
      <c r="IRK20" s="64"/>
      <c r="IRL20" s="64"/>
      <c r="IRM20" s="64"/>
      <c r="IRN20" s="64"/>
      <c r="IRO20" s="64"/>
      <c r="IRP20" s="64"/>
      <c r="IRQ20" s="64"/>
      <c r="IRR20" s="64"/>
      <c r="IRS20" s="64"/>
      <c r="IRT20" s="64"/>
      <c r="IRU20" s="64"/>
      <c r="IRV20" s="64"/>
      <c r="IRW20" s="64"/>
      <c r="IRX20" s="64"/>
      <c r="IRY20" s="64"/>
      <c r="IRZ20" s="64"/>
      <c r="ISA20" s="64"/>
      <c r="ISB20" s="64"/>
      <c r="ISC20" s="64"/>
      <c r="ISD20" s="64"/>
      <c r="ISE20" s="64"/>
      <c r="ISF20" s="64"/>
      <c r="ISG20" s="64"/>
      <c r="ISH20" s="64"/>
      <c r="ISI20" s="64"/>
      <c r="ISJ20" s="64"/>
      <c r="ISK20" s="64"/>
      <c r="ISL20" s="64"/>
      <c r="ISM20" s="64"/>
      <c r="ISN20" s="64"/>
      <c r="ISO20" s="64"/>
      <c r="ISP20" s="64"/>
      <c r="ISQ20" s="64"/>
      <c r="ISR20" s="64"/>
      <c r="ISS20" s="64"/>
      <c r="IST20" s="64"/>
      <c r="ISU20" s="64"/>
      <c r="ISV20" s="64"/>
      <c r="ISW20" s="64"/>
      <c r="ISX20" s="64"/>
      <c r="ISY20" s="64"/>
      <c r="ISZ20" s="64"/>
      <c r="ITA20" s="64"/>
      <c r="ITB20" s="64"/>
      <c r="ITC20" s="64"/>
      <c r="ITD20" s="64"/>
      <c r="ITE20" s="64"/>
      <c r="ITF20" s="64"/>
      <c r="ITG20" s="64"/>
      <c r="ITH20" s="64"/>
      <c r="ITI20" s="64"/>
      <c r="ITJ20" s="64"/>
      <c r="ITK20" s="64"/>
      <c r="ITL20" s="64"/>
      <c r="ITM20" s="64"/>
      <c r="ITN20" s="64"/>
      <c r="ITO20" s="64"/>
      <c r="ITP20" s="64"/>
      <c r="ITQ20" s="64"/>
      <c r="ITR20" s="64"/>
      <c r="ITS20" s="64"/>
      <c r="ITT20" s="64"/>
      <c r="ITU20" s="64"/>
      <c r="ITV20" s="64"/>
      <c r="ITW20" s="64"/>
      <c r="ITX20" s="64"/>
      <c r="ITY20" s="64"/>
      <c r="ITZ20" s="64"/>
      <c r="IUA20" s="64"/>
      <c r="IUB20" s="64"/>
      <c r="IUC20" s="64"/>
      <c r="IUD20" s="64"/>
      <c r="IUE20" s="64"/>
      <c r="IUF20" s="64"/>
      <c r="IUG20" s="64"/>
      <c r="IUH20" s="64"/>
      <c r="IUI20" s="64"/>
      <c r="IUJ20" s="64"/>
      <c r="IUK20" s="64"/>
      <c r="IUL20" s="64"/>
      <c r="IUM20" s="64"/>
      <c r="IUN20" s="64"/>
      <c r="IUO20" s="64"/>
      <c r="IUP20" s="64"/>
      <c r="IUQ20" s="64"/>
      <c r="IUR20" s="64"/>
      <c r="IUS20" s="64"/>
      <c r="IUT20" s="64"/>
      <c r="IUU20" s="64"/>
      <c r="IUV20" s="64"/>
      <c r="IUW20" s="64"/>
      <c r="IUX20" s="64"/>
      <c r="IUY20" s="64"/>
      <c r="IUZ20" s="64"/>
      <c r="IVA20" s="64"/>
      <c r="IVB20" s="64"/>
      <c r="IVC20" s="64"/>
      <c r="IVD20" s="64"/>
      <c r="IVE20" s="64"/>
      <c r="IVF20" s="64"/>
      <c r="IVG20" s="64"/>
      <c r="IVH20" s="64"/>
      <c r="IVI20" s="64"/>
      <c r="IVJ20" s="64"/>
      <c r="IVK20" s="64"/>
      <c r="IVL20" s="64"/>
      <c r="IVM20" s="64"/>
      <c r="IVN20" s="64"/>
      <c r="IVO20" s="64"/>
      <c r="IVP20" s="64"/>
      <c r="IVQ20" s="64"/>
      <c r="IVR20" s="64"/>
      <c r="IVS20" s="64"/>
      <c r="IVT20" s="64"/>
      <c r="IVU20" s="64"/>
      <c r="IVV20" s="64"/>
      <c r="IVW20" s="64"/>
      <c r="IVX20" s="64"/>
      <c r="IVY20" s="64"/>
      <c r="IVZ20" s="64"/>
      <c r="IWA20" s="64"/>
      <c r="IWB20" s="64"/>
      <c r="IWC20" s="64"/>
      <c r="IWD20" s="64"/>
      <c r="IWE20" s="64"/>
      <c r="IWF20" s="64"/>
      <c r="IWG20" s="64"/>
      <c r="IWH20" s="64"/>
      <c r="IWI20" s="64"/>
      <c r="IWJ20" s="64"/>
      <c r="IWK20" s="64"/>
      <c r="IWL20" s="64"/>
      <c r="IWM20" s="64"/>
      <c r="IWN20" s="64"/>
      <c r="IWO20" s="64"/>
      <c r="IWP20" s="64"/>
      <c r="IWQ20" s="64"/>
      <c r="IWR20" s="64"/>
      <c r="IWS20" s="64"/>
      <c r="IWT20" s="64"/>
      <c r="IWU20" s="64"/>
      <c r="IWV20" s="64"/>
      <c r="IWW20" s="64"/>
      <c r="IWX20" s="64"/>
      <c r="IWY20" s="64"/>
      <c r="IWZ20" s="64"/>
      <c r="IXA20" s="64"/>
      <c r="IXB20" s="64"/>
      <c r="IXC20" s="64"/>
      <c r="IXD20" s="64"/>
      <c r="IXE20" s="64"/>
      <c r="IXF20" s="64"/>
      <c r="IXG20" s="64"/>
      <c r="IXH20" s="64"/>
      <c r="IXI20" s="64"/>
      <c r="IXJ20" s="64"/>
      <c r="IXK20" s="64"/>
      <c r="IXL20" s="64"/>
      <c r="IXM20" s="64"/>
      <c r="IXN20" s="64"/>
      <c r="IXO20" s="64"/>
      <c r="IXP20" s="64"/>
      <c r="IXQ20" s="64"/>
      <c r="IXR20" s="64"/>
      <c r="IXS20" s="64"/>
      <c r="IXT20" s="64"/>
      <c r="IXU20" s="64"/>
      <c r="IXV20" s="64"/>
      <c r="IXW20" s="64"/>
      <c r="IXX20" s="64"/>
      <c r="IXY20" s="64"/>
      <c r="IXZ20" s="64"/>
      <c r="IYA20" s="64"/>
      <c r="IYB20" s="64"/>
      <c r="IYC20" s="64"/>
      <c r="IYD20" s="64"/>
      <c r="IYE20" s="64"/>
      <c r="IYF20" s="64"/>
      <c r="IYG20" s="64"/>
      <c r="IYH20" s="64"/>
      <c r="IYI20" s="64"/>
      <c r="IYJ20" s="64"/>
      <c r="IYK20" s="64"/>
      <c r="IYL20" s="64"/>
      <c r="IYM20" s="64"/>
      <c r="IYN20" s="64"/>
      <c r="IYO20" s="64"/>
      <c r="IYP20" s="64"/>
      <c r="IYQ20" s="64"/>
      <c r="IYR20" s="64"/>
      <c r="IYS20" s="64"/>
      <c r="IYT20" s="64"/>
      <c r="IYU20" s="64"/>
      <c r="IYV20" s="64"/>
      <c r="IYW20" s="64"/>
      <c r="IYX20" s="64"/>
      <c r="IYY20" s="64"/>
      <c r="IYZ20" s="64"/>
      <c r="IZA20" s="64"/>
      <c r="IZB20" s="64"/>
      <c r="IZC20" s="64"/>
      <c r="IZD20" s="64"/>
      <c r="IZE20" s="64"/>
      <c r="IZF20" s="64"/>
      <c r="IZG20" s="64"/>
      <c r="IZH20" s="64"/>
      <c r="IZI20" s="64"/>
      <c r="IZJ20" s="64"/>
      <c r="IZK20" s="64"/>
      <c r="IZL20" s="64"/>
      <c r="IZM20" s="64"/>
      <c r="IZN20" s="64"/>
      <c r="IZO20" s="64"/>
      <c r="IZP20" s="64"/>
      <c r="IZQ20" s="64"/>
      <c r="IZR20" s="64"/>
      <c r="IZS20" s="64"/>
      <c r="IZT20" s="64"/>
      <c r="IZU20" s="64"/>
      <c r="IZV20" s="64"/>
      <c r="IZW20" s="64"/>
      <c r="IZX20" s="64"/>
      <c r="IZY20" s="64"/>
      <c r="IZZ20" s="64"/>
      <c r="JAA20" s="64"/>
      <c r="JAB20" s="64"/>
      <c r="JAC20" s="64"/>
      <c r="JAD20" s="64"/>
      <c r="JAE20" s="64"/>
      <c r="JAF20" s="64"/>
      <c r="JAG20" s="64"/>
      <c r="JAH20" s="64"/>
      <c r="JAI20" s="64"/>
      <c r="JAJ20" s="64"/>
      <c r="JAK20" s="64"/>
      <c r="JAL20" s="64"/>
      <c r="JAM20" s="64"/>
      <c r="JAN20" s="64"/>
      <c r="JAO20" s="64"/>
      <c r="JAP20" s="64"/>
      <c r="JAQ20" s="64"/>
      <c r="JAR20" s="64"/>
      <c r="JAS20" s="64"/>
      <c r="JAT20" s="64"/>
      <c r="JAU20" s="64"/>
      <c r="JAV20" s="64"/>
      <c r="JAW20" s="64"/>
      <c r="JAX20" s="64"/>
      <c r="JAY20" s="64"/>
      <c r="JAZ20" s="64"/>
      <c r="JBA20" s="64"/>
      <c r="JBB20" s="64"/>
      <c r="JBC20" s="64"/>
      <c r="JBD20" s="64"/>
      <c r="JBE20" s="64"/>
      <c r="JBF20" s="64"/>
      <c r="JBG20" s="64"/>
      <c r="JBH20" s="64"/>
      <c r="JBI20" s="64"/>
      <c r="JBJ20" s="64"/>
      <c r="JBK20" s="64"/>
      <c r="JBL20" s="64"/>
      <c r="JBM20" s="64"/>
      <c r="JBN20" s="64"/>
      <c r="JBO20" s="64"/>
      <c r="JBP20" s="64"/>
      <c r="JBQ20" s="64"/>
      <c r="JBR20" s="64"/>
      <c r="JBS20" s="64"/>
      <c r="JBT20" s="64"/>
      <c r="JBU20" s="64"/>
      <c r="JBV20" s="64"/>
      <c r="JBW20" s="64"/>
      <c r="JBX20" s="64"/>
      <c r="JBY20" s="64"/>
      <c r="JBZ20" s="64"/>
      <c r="JCA20" s="64"/>
      <c r="JCB20" s="64"/>
      <c r="JCC20" s="64"/>
      <c r="JCD20" s="64"/>
      <c r="JCE20" s="64"/>
      <c r="JCF20" s="64"/>
      <c r="JCG20" s="64"/>
      <c r="JCH20" s="64"/>
      <c r="JCI20" s="64"/>
      <c r="JCJ20" s="64"/>
      <c r="JCK20" s="64"/>
      <c r="JCL20" s="64"/>
      <c r="JCM20" s="64"/>
      <c r="JCN20" s="64"/>
      <c r="JCO20" s="64"/>
      <c r="JCP20" s="64"/>
      <c r="JCQ20" s="64"/>
      <c r="JCR20" s="64"/>
      <c r="JCS20" s="64"/>
      <c r="JCT20" s="64"/>
      <c r="JCU20" s="64"/>
      <c r="JCV20" s="64"/>
      <c r="JCW20" s="64"/>
      <c r="JCX20" s="64"/>
      <c r="JCY20" s="64"/>
      <c r="JCZ20" s="64"/>
      <c r="JDA20" s="64"/>
      <c r="JDB20" s="64"/>
      <c r="JDC20" s="64"/>
      <c r="JDD20" s="64"/>
      <c r="JDE20" s="64"/>
      <c r="JDF20" s="64"/>
      <c r="JDG20" s="64"/>
      <c r="JDH20" s="64"/>
      <c r="JDI20" s="64"/>
      <c r="JDJ20" s="64"/>
      <c r="JDK20" s="64"/>
      <c r="JDL20" s="64"/>
      <c r="JDM20" s="64"/>
      <c r="JDN20" s="64"/>
      <c r="JDO20" s="64"/>
      <c r="JDP20" s="64"/>
      <c r="JDQ20" s="64"/>
      <c r="JDR20" s="64"/>
      <c r="JDS20" s="64"/>
      <c r="JDT20" s="64"/>
      <c r="JDU20" s="64"/>
      <c r="JDV20" s="64"/>
      <c r="JDW20" s="64"/>
      <c r="JDX20" s="64"/>
      <c r="JDY20" s="64"/>
      <c r="JDZ20" s="64"/>
      <c r="JEA20" s="64"/>
      <c r="JEB20" s="64"/>
      <c r="JEC20" s="64"/>
      <c r="JED20" s="64"/>
      <c r="JEE20" s="64"/>
      <c r="JEF20" s="64"/>
      <c r="JEG20" s="64"/>
      <c r="JEH20" s="64"/>
      <c r="JEI20" s="64"/>
      <c r="JEJ20" s="64"/>
      <c r="JEK20" s="64"/>
      <c r="JEL20" s="64"/>
      <c r="JEM20" s="64"/>
      <c r="JEN20" s="64"/>
      <c r="JEO20" s="64"/>
      <c r="JEP20" s="64"/>
      <c r="JEQ20" s="64"/>
      <c r="JER20" s="64"/>
      <c r="JES20" s="64"/>
      <c r="JET20" s="64"/>
      <c r="JEU20" s="64"/>
      <c r="JEV20" s="64"/>
      <c r="JEW20" s="64"/>
      <c r="JEX20" s="64"/>
      <c r="JEY20" s="64"/>
      <c r="JEZ20" s="64"/>
      <c r="JFA20" s="64"/>
      <c r="JFB20" s="64"/>
      <c r="JFC20" s="64"/>
      <c r="JFD20" s="64"/>
      <c r="JFE20" s="64"/>
      <c r="JFF20" s="64"/>
      <c r="JFG20" s="64"/>
      <c r="JFH20" s="64"/>
      <c r="JFI20" s="64"/>
      <c r="JFJ20" s="64"/>
      <c r="JFK20" s="64"/>
      <c r="JFL20" s="64"/>
      <c r="JFM20" s="64"/>
      <c r="JFN20" s="64"/>
      <c r="JFO20" s="64"/>
      <c r="JFP20" s="64"/>
      <c r="JFQ20" s="64"/>
      <c r="JFR20" s="64"/>
      <c r="JFS20" s="64"/>
      <c r="JFT20" s="64"/>
      <c r="JFU20" s="64"/>
      <c r="JFV20" s="64"/>
      <c r="JFW20" s="64"/>
      <c r="JFX20" s="64"/>
      <c r="JFY20" s="64"/>
      <c r="JFZ20" s="64"/>
      <c r="JGA20" s="64"/>
      <c r="JGB20" s="64"/>
      <c r="JGC20" s="64"/>
      <c r="JGD20" s="64"/>
      <c r="JGE20" s="64"/>
      <c r="JGF20" s="64"/>
      <c r="JGG20" s="64"/>
      <c r="JGH20" s="64"/>
      <c r="JGI20" s="64"/>
      <c r="JGJ20" s="64"/>
      <c r="JGK20" s="64"/>
      <c r="JGL20" s="64"/>
      <c r="JGM20" s="64"/>
      <c r="JGN20" s="64"/>
      <c r="JGO20" s="64"/>
      <c r="JGP20" s="64"/>
      <c r="JGQ20" s="64"/>
      <c r="JGR20" s="64"/>
      <c r="JGS20" s="64"/>
      <c r="JGT20" s="64"/>
      <c r="JGU20" s="64"/>
      <c r="JGV20" s="64"/>
      <c r="JGW20" s="64"/>
      <c r="JGX20" s="64"/>
      <c r="JGY20" s="64"/>
      <c r="JGZ20" s="64"/>
      <c r="JHA20" s="64"/>
      <c r="JHB20" s="64"/>
      <c r="JHC20" s="64"/>
      <c r="JHD20" s="64"/>
      <c r="JHE20" s="64"/>
      <c r="JHF20" s="64"/>
      <c r="JHG20" s="64"/>
      <c r="JHH20" s="64"/>
      <c r="JHI20" s="64"/>
      <c r="JHJ20" s="64"/>
      <c r="JHK20" s="64"/>
      <c r="JHL20" s="64"/>
      <c r="JHM20" s="64"/>
      <c r="JHN20" s="64"/>
      <c r="JHO20" s="64"/>
      <c r="JHP20" s="64"/>
      <c r="JHQ20" s="64"/>
      <c r="JHR20" s="64"/>
      <c r="JHS20" s="64"/>
      <c r="JHT20" s="64"/>
      <c r="JHU20" s="64"/>
      <c r="JHV20" s="64"/>
      <c r="JHW20" s="64"/>
      <c r="JHX20" s="64"/>
      <c r="JHY20" s="64"/>
      <c r="JHZ20" s="64"/>
      <c r="JIA20" s="64"/>
      <c r="JIB20" s="64"/>
      <c r="JIC20" s="64"/>
      <c r="JID20" s="64"/>
      <c r="JIE20" s="64"/>
      <c r="JIF20" s="64"/>
      <c r="JIG20" s="64"/>
      <c r="JIH20" s="64"/>
      <c r="JII20" s="64"/>
      <c r="JIJ20" s="64"/>
      <c r="JIK20" s="64"/>
      <c r="JIL20" s="64"/>
      <c r="JIM20" s="64"/>
      <c r="JIN20" s="64"/>
      <c r="JIO20" s="64"/>
      <c r="JIP20" s="64"/>
      <c r="JIQ20" s="64"/>
      <c r="JIR20" s="64"/>
      <c r="JIS20" s="64"/>
      <c r="JIT20" s="64"/>
      <c r="JIU20" s="64"/>
      <c r="JIV20" s="64"/>
      <c r="JIW20" s="64"/>
      <c r="JIX20" s="64"/>
      <c r="JIY20" s="64"/>
      <c r="JIZ20" s="64"/>
      <c r="JJA20" s="64"/>
      <c r="JJB20" s="64"/>
      <c r="JJC20" s="64"/>
      <c r="JJD20" s="64"/>
      <c r="JJE20" s="64"/>
      <c r="JJF20" s="64"/>
      <c r="JJG20" s="64"/>
      <c r="JJH20" s="64"/>
      <c r="JJI20" s="64"/>
      <c r="JJJ20" s="64"/>
      <c r="JJK20" s="64"/>
      <c r="JJL20" s="64"/>
      <c r="JJM20" s="64"/>
      <c r="JJN20" s="64"/>
      <c r="JJO20" s="64"/>
      <c r="JJP20" s="64"/>
      <c r="JJQ20" s="64"/>
      <c r="JJR20" s="64"/>
      <c r="JJS20" s="64"/>
      <c r="JJT20" s="64"/>
      <c r="JJU20" s="64"/>
      <c r="JJV20" s="64"/>
      <c r="JJW20" s="64"/>
      <c r="JJX20" s="64"/>
      <c r="JJY20" s="64"/>
      <c r="JJZ20" s="64"/>
      <c r="JKA20" s="64"/>
      <c r="JKB20" s="64"/>
      <c r="JKC20" s="64"/>
      <c r="JKD20" s="64"/>
      <c r="JKE20" s="64"/>
      <c r="JKF20" s="64"/>
      <c r="JKG20" s="64"/>
      <c r="JKH20" s="64"/>
      <c r="JKI20" s="64"/>
      <c r="JKJ20" s="64"/>
      <c r="JKK20" s="64"/>
      <c r="JKL20" s="64"/>
      <c r="JKM20" s="64"/>
      <c r="JKN20" s="64"/>
      <c r="JKO20" s="64"/>
      <c r="JKP20" s="64"/>
      <c r="JKQ20" s="64"/>
      <c r="JKR20" s="64"/>
      <c r="JKS20" s="64"/>
      <c r="JKT20" s="64"/>
      <c r="JKU20" s="64"/>
      <c r="JKV20" s="64"/>
      <c r="JKW20" s="64"/>
      <c r="JKX20" s="64"/>
      <c r="JKY20" s="64"/>
      <c r="JKZ20" s="64"/>
      <c r="JLA20" s="64"/>
      <c r="JLB20" s="64"/>
      <c r="JLC20" s="64"/>
      <c r="JLD20" s="64"/>
      <c r="JLE20" s="64"/>
      <c r="JLF20" s="64"/>
      <c r="JLG20" s="64"/>
      <c r="JLH20" s="64"/>
      <c r="JLI20" s="64"/>
      <c r="JLJ20" s="64"/>
      <c r="JLK20" s="64"/>
      <c r="JLL20" s="64"/>
      <c r="JLM20" s="64"/>
      <c r="JLN20" s="64"/>
      <c r="JLO20" s="64"/>
      <c r="JLP20" s="64"/>
      <c r="JLQ20" s="64"/>
      <c r="JLR20" s="64"/>
      <c r="JLS20" s="64"/>
      <c r="JLT20" s="64"/>
      <c r="JLU20" s="64"/>
      <c r="JLV20" s="64"/>
      <c r="JLW20" s="64"/>
      <c r="JLX20" s="64"/>
      <c r="JLY20" s="64"/>
      <c r="JLZ20" s="64"/>
      <c r="JMA20" s="64"/>
      <c r="JMB20" s="64"/>
      <c r="JMC20" s="64"/>
      <c r="JMD20" s="64"/>
      <c r="JME20" s="64"/>
      <c r="JMF20" s="64"/>
      <c r="JMG20" s="64"/>
      <c r="JMH20" s="64"/>
      <c r="JMI20" s="64"/>
      <c r="JMJ20" s="64"/>
      <c r="JMK20" s="64"/>
      <c r="JML20" s="64"/>
      <c r="JMM20" s="64"/>
      <c r="JMN20" s="64"/>
      <c r="JMO20" s="64"/>
      <c r="JMP20" s="64"/>
      <c r="JMQ20" s="64"/>
      <c r="JMR20" s="64"/>
      <c r="JMS20" s="64"/>
      <c r="JMT20" s="64"/>
      <c r="JMU20" s="64"/>
      <c r="JMV20" s="64"/>
      <c r="JMW20" s="64"/>
      <c r="JMX20" s="64"/>
      <c r="JMY20" s="64"/>
      <c r="JMZ20" s="64"/>
      <c r="JNA20" s="64"/>
      <c r="JNB20" s="64"/>
      <c r="JNC20" s="64"/>
      <c r="JND20" s="64"/>
      <c r="JNE20" s="64"/>
      <c r="JNF20" s="64"/>
      <c r="JNG20" s="64"/>
      <c r="JNH20" s="64"/>
      <c r="JNI20" s="64"/>
      <c r="JNJ20" s="64"/>
      <c r="JNK20" s="64"/>
      <c r="JNL20" s="64"/>
      <c r="JNM20" s="64"/>
      <c r="JNN20" s="64"/>
      <c r="JNO20" s="64"/>
      <c r="JNP20" s="64"/>
      <c r="JNQ20" s="64"/>
      <c r="JNR20" s="64"/>
      <c r="JNS20" s="64"/>
      <c r="JNT20" s="64"/>
      <c r="JNU20" s="64"/>
      <c r="JNV20" s="64"/>
      <c r="JNW20" s="64"/>
      <c r="JNX20" s="64"/>
      <c r="JNY20" s="64"/>
      <c r="JNZ20" s="64"/>
      <c r="JOA20" s="64"/>
      <c r="JOB20" s="64"/>
      <c r="JOC20" s="64"/>
      <c r="JOD20" s="64"/>
      <c r="JOE20" s="64"/>
      <c r="JOF20" s="64"/>
      <c r="JOG20" s="64"/>
      <c r="JOH20" s="64"/>
      <c r="JOI20" s="64"/>
      <c r="JOJ20" s="64"/>
      <c r="JOK20" s="64"/>
      <c r="JOL20" s="64"/>
      <c r="JOM20" s="64"/>
      <c r="JON20" s="64"/>
      <c r="JOO20" s="64"/>
      <c r="JOP20" s="64"/>
      <c r="JOQ20" s="64"/>
      <c r="JOR20" s="64"/>
      <c r="JOS20" s="64"/>
      <c r="JOT20" s="64"/>
      <c r="JOU20" s="64"/>
      <c r="JOV20" s="64"/>
      <c r="JOW20" s="64"/>
      <c r="JOX20" s="64"/>
      <c r="JOY20" s="64"/>
      <c r="JOZ20" s="64"/>
      <c r="JPA20" s="64"/>
      <c r="JPB20" s="64"/>
      <c r="JPC20" s="64"/>
      <c r="JPD20" s="64"/>
      <c r="JPE20" s="64"/>
      <c r="JPF20" s="64"/>
      <c r="JPG20" s="64"/>
      <c r="JPH20" s="64"/>
      <c r="JPI20" s="64"/>
      <c r="JPJ20" s="64"/>
      <c r="JPK20" s="64"/>
      <c r="JPL20" s="64"/>
      <c r="JPM20" s="64"/>
      <c r="JPN20" s="64"/>
      <c r="JPO20" s="64"/>
      <c r="JPP20" s="64"/>
      <c r="JPQ20" s="64"/>
      <c r="JPR20" s="64"/>
      <c r="JPS20" s="64"/>
      <c r="JPT20" s="64"/>
      <c r="JPU20" s="64"/>
      <c r="JPV20" s="64"/>
      <c r="JPW20" s="64"/>
      <c r="JPX20" s="64"/>
      <c r="JPY20" s="64"/>
      <c r="JPZ20" s="64"/>
      <c r="JQA20" s="64"/>
      <c r="JQB20" s="64"/>
      <c r="JQC20" s="64"/>
      <c r="JQD20" s="64"/>
      <c r="JQE20" s="64"/>
      <c r="JQF20" s="64"/>
      <c r="JQG20" s="64"/>
      <c r="JQH20" s="64"/>
      <c r="JQI20" s="64"/>
      <c r="JQJ20" s="64"/>
      <c r="JQK20" s="64"/>
      <c r="JQL20" s="64"/>
      <c r="JQM20" s="64"/>
      <c r="JQN20" s="64"/>
      <c r="JQO20" s="64"/>
      <c r="JQP20" s="64"/>
      <c r="JQQ20" s="64"/>
      <c r="JQR20" s="64"/>
      <c r="JQS20" s="64"/>
      <c r="JQT20" s="64"/>
      <c r="JQU20" s="64"/>
      <c r="JQV20" s="64"/>
      <c r="JQW20" s="64"/>
      <c r="JQX20" s="64"/>
      <c r="JQY20" s="64"/>
      <c r="JQZ20" s="64"/>
      <c r="JRA20" s="64"/>
      <c r="JRB20" s="64"/>
      <c r="JRC20" s="64"/>
      <c r="JRD20" s="64"/>
      <c r="JRE20" s="64"/>
      <c r="JRF20" s="64"/>
      <c r="JRG20" s="64"/>
      <c r="JRH20" s="64"/>
      <c r="JRI20" s="64"/>
      <c r="JRJ20" s="64"/>
      <c r="JRK20" s="64"/>
      <c r="JRL20" s="64"/>
      <c r="JRM20" s="64"/>
      <c r="JRN20" s="64"/>
      <c r="JRO20" s="64"/>
      <c r="JRP20" s="64"/>
      <c r="JRQ20" s="64"/>
      <c r="JRR20" s="64"/>
      <c r="JRS20" s="64"/>
      <c r="JRT20" s="64"/>
      <c r="JRU20" s="64"/>
      <c r="JRV20" s="64"/>
      <c r="JRW20" s="64"/>
      <c r="JRX20" s="64"/>
      <c r="JRY20" s="64"/>
      <c r="JRZ20" s="64"/>
      <c r="JSA20" s="64"/>
      <c r="JSB20" s="64"/>
      <c r="JSC20" s="64"/>
      <c r="JSD20" s="64"/>
      <c r="JSE20" s="64"/>
      <c r="JSF20" s="64"/>
      <c r="JSG20" s="64"/>
      <c r="JSH20" s="64"/>
      <c r="JSI20" s="64"/>
      <c r="JSJ20" s="64"/>
      <c r="JSK20" s="64"/>
      <c r="JSL20" s="64"/>
      <c r="JSM20" s="64"/>
      <c r="JSN20" s="64"/>
      <c r="JSO20" s="64"/>
      <c r="JSP20" s="64"/>
      <c r="JSQ20" s="64"/>
      <c r="JSR20" s="64"/>
      <c r="JSS20" s="64"/>
      <c r="JST20" s="64"/>
      <c r="JSU20" s="64"/>
      <c r="JSV20" s="64"/>
      <c r="JSW20" s="64"/>
      <c r="JSX20" s="64"/>
      <c r="JSY20" s="64"/>
      <c r="JSZ20" s="64"/>
      <c r="JTA20" s="64"/>
      <c r="JTB20" s="64"/>
      <c r="JTC20" s="64"/>
      <c r="JTD20" s="64"/>
      <c r="JTE20" s="64"/>
      <c r="JTF20" s="64"/>
      <c r="JTG20" s="64"/>
      <c r="JTH20" s="64"/>
      <c r="JTI20" s="64"/>
      <c r="JTJ20" s="64"/>
      <c r="JTK20" s="64"/>
      <c r="JTL20" s="64"/>
      <c r="JTM20" s="64"/>
      <c r="JTN20" s="64"/>
      <c r="JTO20" s="64"/>
      <c r="JTP20" s="64"/>
      <c r="JTQ20" s="64"/>
      <c r="JTR20" s="64"/>
      <c r="JTS20" s="64"/>
      <c r="JTT20" s="64"/>
      <c r="JTU20" s="64"/>
      <c r="JTV20" s="64"/>
      <c r="JTW20" s="64"/>
      <c r="JTX20" s="64"/>
      <c r="JTY20" s="64"/>
      <c r="JTZ20" s="64"/>
      <c r="JUA20" s="64"/>
      <c r="JUB20" s="64"/>
      <c r="JUC20" s="64"/>
      <c r="JUD20" s="64"/>
      <c r="JUE20" s="64"/>
      <c r="JUF20" s="64"/>
      <c r="JUG20" s="64"/>
      <c r="JUH20" s="64"/>
      <c r="JUI20" s="64"/>
      <c r="JUJ20" s="64"/>
      <c r="JUK20" s="64"/>
      <c r="JUL20" s="64"/>
      <c r="JUM20" s="64"/>
      <c r="JUN20" s="64"/>
      <c r="JUO20" s="64"/>
      <c r="JUP20" s="64"/>
      <c r="JUQ20" s="64"/>
      <c r="JUR20" s="64"/>
      <c r="JUS20" s="64"/>
      <c r="JUT20" s="64"/>
      <c r="JUU20" s="64"/>
      <c r="JUV20" s="64"/>
      <c r="JUW20" s="64"/>
      <c r="JUX20" s="64"/>
      <c r="JUY20" s="64"/>
      <c r="JUZ20" s="64"/>
      <c r="JVA20" s="64"/>
      <c r="JVB20" s="64"/>
      <c r="JVC20" s="64"/>
      <c r="JVD20" s="64"/>
      <c r="JVE20" s="64"/>
      <c r="JVF20" s="64"/>
      <c r="JVG20" s="64"/>
      <c r="JVH20" s="64"/>
      <c r="JVI20" s="64"/>
      <c r="JVJ20" s="64"/>
      <c r="JVK20" s="64"/>
      <c r="JVL20" s="64"/>
      <c r="JVM20" s="64"/>
      <c r="JVN20" s="64"/>
      <c r="JVO20" s="64"/>
      <c r="JVP20" s="64"/>
      <c r="JVQ20" s="64"/>
      <c r="JVR20" s="64"/>
      <c r="JVS20" s="64"/>
      <c r="JVT20" s="64"/>
      <c r="JVU20" s="64"/>
      <c r="JVV20" s="64"/>
      <c r="JVW20" s="64"/>
      <c r="JVX20" s="64"/>
      <c r="JVY20" s="64"/>
      <c r="JVZ20" s="64"/>
      <c r="JWA20" s="64"/>
      <c r="JWB20" s="64"/>
      <c r="JWC20" s="64"/>
      <c r="JWD20" s="64"/>
      <c r="JWE20" s="64"/>
      <c r="JWF20" s="64"/>
      <c r="JWG20" s="64"/>
      <c r="JWH20" s="64"/>
      <c r="JWI20" s="64"/>
      <c r="JWJ20" s="64"/>
      <c r="JWK20" s="64"/>
      <c r="JWL20" s="64"/>
      <c r="JWM20" s="64"/>
      <c r="JWN20" s="64"/>
      <c r="JWO20" s="64"/>
      <c r="JWP20" s="64"/>
      <c r="JWQ20" s="64"/>
      <c r="JWR20" s="64"/>
      <c r="JWS20" s="64"/>
      <c r="JWT20" s="64"/>
      <c r="JWU20" s="64"/>
      <c r="JWV20" s="64"/>
      <c r="JWW20" s="64"/>
      <c r="JWX20" s="64"/>
      <c r="JWY20" s="64"/>
      <c r="JWZ20" s="64"/>
      <c r="JXA20" s="64"/>
      <c r="JXB20" s="64"/>
      <c r="JXC20" s="64"/>
      <c r="JXD20" s="64"/>
      <c r="JXE20" s="64"/>
      <c r="JXF20" s="64"/>
      <c r="JXG20" s="64"/>
      <c r="JXH20" s="64"/>
      <c r="JXI20" s="64"/>
      <c r="JXJ20" s="64"/>
      <c r="JXK20" s="64"/>
      <c r="JXL20" s="64"/>
      <c r="JXM20" s="64"/>
      <c r="JXN20" s="64"/>
      <c r="JXO20" s="64"/>
      <c r="JXP20" s="64"/>
      <c r="JXQ20" s="64"/>
      <c r="JXR20" s="64"/>
      <c r="JXS20" s="64"/>
      <c r="JXT20" s="64"/>
      <c r="JXU20" s="64"/>
      <c r="JXV20" s="64"/>
      <c r="JXW20" s="64"/>
      <c r="JXX20" s="64"/>
      <c r="JXY20" s="64"/>
      <c r="JXZ20" s="64"/>
      <c r="JYA20" s="64"/>
      <c r="JYB20" s="64"/>
      <c r="JYC20" s="64"/>
      <c r="JYD20" s="64"/>
      <c r="JYE20" s="64"/>
      <c r="JYF20" s="64"/>
      <c r="JYG20" s="64"/>
      <c r="JYH20" s="64"/>
      <c r="JYI20" s="64"/>
      <c r="JYJ20" s="64"/>
      <c r="JYK20" s="64"/>
      <c r="JYL20" s="64"/>
      <c r="JYM20" s="64"/>
      <c r="JYN20" s="64"/>
      <c r="JYO20" s="64"/>
      <c r="JYP20" s="64"/>
      <c r="JYQ20" s="64"/>
      <c r="JYR20" s="64"/>
      <c r="JYS20" s="64"/>
      <c r="JYT20" s="64"/>
      <c r="JYU20" s="64"/>
      <c r="JYV20" s="64"/>
      <c r="JYW20" s="64"/>
      <c r="JYX20" s="64"/>
      <c r="JYY20" s="64"/>
      <c r="JYZ20" s="64"/>
      <c r="JZA20" s="64"/>
      <c r="JZB20" s="64"/>
      <c r="JZC20" s="64"/>
      <c r="JZD20" s="64"/>
      <c r="JZE20" s="64"/>
      <c r="JZF20" s="64"/>
      <c r="JZG20" s="64"/>
      <c r="JZH20" s="64"/>
      <c r="JZI20" s="64"/>
      <c r="JZJ20" s="64"/>
      <c r="JZK20" s="64"/>
      <c r="JZL20" s="64"/>
      <c r="JZM20" s="64"/>
      <c r="JZN20" s="64"/>
      <c r="JZO20" s="64"/>
      <c r="JZP20" s="64"/>
      <c r="JZQ20" s="64"/>
      <c r="JZR20" s="64"/>
      <c r="JZS20" s="64"/>
      <c r="JZT20" s="64"/>
      <c r="JZU20" s="64"/>
      <c r="JZV20" s="64"/>
      <c r="JZW20" s="64"/>
      <c r="JZX20" s="64"/>
      <c r="JZY20" s="64"/>
      <c r="JZZ20" s="64"/>
      <c r="KAA20" s="64"/>
      <c r="KAB20" s="64"/>
      <c r="KAC20" s="64"/>
      <c r="KAD20" s="64"/>
      <c r="KAE20" s="64"/>
      <c r="KAF20" s="64"/>
      <c r="KAG20" s="64"/>
      <c r="KAH20" s="64"/>
      <c r="KAI20" s="64"/>
      <c r="KAJ20" s="64"/>
      <c r="KAK20" s="64"/>
      <c r="KAL20" s="64"/>
      <c r="KAM20" s="64"/>
      <c r="KAN20" s="64"/>
      <c r="KAO20" s="64"/>
      <c r="KAP20" s="64"/>
      <c r="KAQ20" s="64"/>
      <c r="KAR20" s="64"/>
      <c r="KAS20" s="64"/>
      <c r="KAT20" s="64"/>
      <c r="KAU20" s="64"/>
      <c r="KAV20" s="64"/>
      <c r="KAW20" s="64"/>
      <c r="KAX20" s="64"/>
      <c r="KAY20" s="64"/>
      <c r="KAZ20" s="64"/>
      <c r="KBA20" s="64"/>
      <c r="KBB20" s="64"/>
      <c r="KBC20" s="64"/>
      <c r="KBD20" s="64"/>
      <c r="KBE20" s="64"/>
      <c r="KBF20" s="64"/>
      <c r="KBG20" s="64"/>
      <c r="KBH20" s="64"/>
      <c r="KBI20" s="64"/>
      <c r="KBJ20" s="64"/>
      <c r="KBK20" s="64"/>
      <c r="KBL20" s="64"/>
      <c r="KBM20" s="64"/>
      <c r="KBN20" s="64"/>
      <c r="KBO20" s="64"/>
      <c r="KBP20" s="64"/>
      <c r="KBQ20" s="64"/>
      <c r="KBR20" s="64"/>
      <c r="KBS20" s="64"/>
      <c r="KBT20" s="64"/>
      <c r="KBU20" s="64"/>
      <c r="KBV20" s="64"/>
      <c r="KBW20" s="64"/>
      <c r="KBX20" s="64"/>
      <c r="KBY20" s="64"/>
      <c r="KBZ20" s="64"/>
      <c r="KCA20" s="64"/>
      <c r="KCB20" s="64"/>
      <c r="KCC20" s="64"/>
      <c r="KCD20" s="64"/>
      <c r="KCE20" s="64"/>
      <c r="KCF20" s="64"/>
      <c r="KCG20" s="64"/>
      <c r="KCH20" s="64"/>
      <c r="KCI20" s="64"/>
      <c r="KCJ20" s="64"/>
      <c r="KCK20" s="64"/>
      <c r="KCL20" s="64"/>
      <c r="KCM20" s="64"/>
      <c r="KCN20" s="64"/>
      <c r="KCO20" s="64"/>
      <c r="KCP20" s="64"/>
      <c r="KCQ20" s="64"/>
      <c r="KCR20" s="64"/>
      <c r="KCS20" s="64"/>
      <c r="KCT20" s="64"/>
      <c r="KCU20" s="64"/>
      <c r="KCV20" s="64"/>
      <c r="KCW20" s="64"/>
      <c r="KCX20" s="64"/>
      <c r="KCY20" s="64"/>
      <c r="KCZ20" s="64"/>
      <c r="KDA20" s="64"/>
      <c r="KDB20" s="64"/>
      <c r="KDC20" s="64"/>
      <c r="KDD20" s="64"/>
      <c r="KDE20" s="64"/>
      <c r="KDF20" s="64"/>
      <c r="KDG20" s="64"/>
      <c r="KDH20" s="64"/>
      <c r="KDI20" s="64"/>
      <c r="KDJ20" s="64"/>
      <c r="KDK20" s="64"/>
      <c r="KDL20" s="64"/>
      <c r="KDM20" s="64"/>
      <c r="KDN20" s="64"/>
      <c r="KDO20" s="64"/>
      <c r="KDP20" s="64"/>
      <c r="KDQ20" s="64"/>
      <c r="KDR20" s="64"/>
      <c r="KDS20" s="64"/>
      <c r="KDT20" s="64"/>
      <c r="KDU20" s="64"/>
      <c r="KDV20" s="64"/>
      <c r="KDW20" s="64"/>
      <c r="KDX20" s="64"/>
      <c r="KDY20" s="64"/>
      <c r="KDZ20" s="64"/>
      <c r="KEA20" s="64"/>
      <c r="KEB20" s="64"/>
      <c r="KEC20" s="64"/>
      <c r="KED20" s="64"/>
      <c r="KEE20" s="64"/>
      <c r="KEF20" s="64"/>
      <c r="KEG20" s="64"/>
      <c r="KEH20" s="64"/>
      <c r="KEI20" s="64"/>
      <c r="KEJ20" s="64"/>
      <c r="KEK20" s="64"/>
      <c r="KEL20" s="64"/>
      <c r="KEM20" s="64"/>
      <c r="KEN20" s="64"/>
      <c r="KEO20" s="64"/>
      <c r="KEP20" s="64"/>
      <c r="KEQ20" s="64"/>
      <c r="KER20" s="64"/>
      <c r="KES20" s="64"/>
      <c r="KET20" s="64"/>
      <c r="KEU20" s="64"/>
      <c r="KEV20" s="64"/>
      <c r="KEW20" s="64"/>
      <c r="KEX20" s="64"/>
      <c r="KEY20" s="64"/>
      <c r="KEZ20" s="64"/>
      <c r="KFA20" s="64"/>
      <c r="KFB20" s="64"/>
      <c r="KFC20" s="64"/>
      <c r="KFD20" s="64"/>
      <c r="KFE20" s="64"/>
      <c r="KFF20" s="64"/>
      <c r="KFG20" s="64"/>
      <c r="KFH20" s="64"/>
      <c r="KFI20" s="64"/>
      <c r="KFJ20" s="64"/>
      <c r="KFK20" s="64"/>
      <c r="KFL20" s="64"/>
      <c r="KFM20" s="64"/>
      <c r="KFN20" s="64"/>
      <c r="KFO20" s="64"/>
      <c r="KFP20" s="64"/>
      <c r="KFQ20" s="64"/>
      <c r="KFR20" s="64"/>
      <c r="KFS20" s="64"/>
      <c r="KFT20" s="64"/>
      <c r="KFU20" s="64"/>
      <c r="KFV20" s="64"/>
      <c r="KFW20" s="64"/>
      <c r="KFX20" s="64"/>
      <c r="KFY20" s="64"/>
      <c r="KFZ20" s="64"/>
      <c r="KGA20" s="64"/>
      <c r="KGB20" s="64"/>
      <c r="KGC20" s="64"/>
      <c r="KGD20" s="64"/>
      <c r="KGE20" s="64"/>
      <c r="KGF20" s="64"/>
      <c r="KGG20" s="64"/>
      <c r="KGH20" s="64"/>
      <c r="KGI20" s="64"/>
      <c r="KGJ20" s="64"/>
      <c r="KGK20" s="64"/>
      <c r="KGL20" s="64"/>
      <c r="KGM20" s="64"/>
      <c r="KGN20" s="64"/>
      <c r="KGO20" s="64"/>
      <c r="KGP20" s="64"/>
      <c r="KGQ20" s="64"/>
      <c r="KGR20" s="64"/>
      <c r="KGS20" s="64"/>
      <c r="KGT20" s="64"/>
      <c r="KGU20" s="64"/>
      <c r="KGV20" s="64"/>
      <c r="KGW20" s="64"/>
      <c r="KGX20" s="64"/>
      <c r="KGY20" s="64"/>
      <c r="KGZ20" s="64"/>
      <c r="KHA20" s="64"/>
      <c r="KHB20" s="64"/>
      <c r="KHC20" s="64"/>
      <c r="KHD20" s="64"/>
      <c r="KHE20" s="64"/>
      <c r="KHF20" s="64"/>
      <c r="KHG20" s="64"/>
      <c r="KHH20" s="64"/>
      <c r="KHI20" s="64"/>
      <c r="KHJ20" s="64"/>
      <c r="KHK20" s="64"/>
      <c r="KHL20" s="64"/>
      <c r="KHM20" s="64"/>
      <c r="KHN20" s="64"/>
      <c r="KHO20" s="64"/>
      <c r="KHP20" s="64"/>
      <c r="KHQ20" s="64"/>
      <c r="KHR20" s="64"/>
      <c r="KHS20" s="64"/>
      <c r="KHT20" s="64"/>
      <c r="KHU20" s="64"/>
      <c r="KHV20" s="64"/>
      <c r="KHW20" s="64"/>
      <c r="KHX20" s="64"/>
      <c r="KHY20" s="64"/>
      <c r="KHZ20" s="64"/>
      <c r="KIA20" s="64"/>
      <c r="KIB20" s="64"/>
      <c r="KIC20" s="64"/>
      <c r="KID20" s="64"/>
      <c r="KIE20" s="64"/>
      <c r="KIF20" s="64"/>
      <c r="KIG20" s="64"/>
      <c r="KIH20" s="64"/>
      <c r="KII20" s="64"/>
      <c r="KIJ20" s="64"/>
      <c r="KIK20" s="64"/>
      <c r="KIL20" s="64"/>
      <c r="KIM20" s="64"/>
      <c r="KIN20" s="64"/>
      <c r="KIO20" s="64"/>
      <c r="KIP20" s="64"/>
      <c r="KIQ20" s="64"/>
      <c r="KIR20" s="64"/>
      <c r="KIS20" s="64"/>
      <c r="KIT20" s="64"/>
      <c r="KIU20" s="64"/>
      <c r="KIV20" s="64"/>
      <c r="KIW20" s="64"/>
      <c r="KIX20" s="64"/>
      <c r="KIY20" s="64"/>
      <c r="KIZ20" s="64"/>
      <c r="KJA20" s="64"/>
      <c r="KJB20" s="64"/>
      <c r="KJC20" s="64"/>
      <c r="KJD20" s="64"/>
      <c r="KJE20" s="64"/>
      <c r="KJF20" s="64"/>
      <c r="KJG20" s="64"/>
      <c r="KJH20" s="64"/>
      <c r="KJI20" s="64"/>
      <c r="KJJ20" s="64"/>
      <c r="KJK20" s="64"/>
      <c r="KJL20" s="64"/>
      <c r="KJM20" s="64"/>
      <c r="KJN20" s="64"/>
      <c r="KJO20" s="64"/>
      <c r="KJP20" s="64"/>
      <c r="KJQ20" s="64"/>
      <c r="KJR20" s="64"/>
      <c r="KJS20" s="64"/>
      <c r="KJT20" s="64"/>
      <c r="KJU20" s="64"/>
      <c r="KJV20" s="64"/>
      <c r="KJW20" s="64"/>
      <c r="KJX20" s="64"/>
      <c r="KJY20" s="64"/>
      <c r="KJZ20" s="64"/>
      <c r="KKA20" s="64"/>
      <c r="KKB20" s="64"/>
      <c r="KKC20" s="64"/>
      <c r="KKD20" s="64"/>
      <c r="KKE20" s="64"/>
      <c r="KKF20" s="64"/>
      <c r="KKG20" s="64"/>
      <c r="KKH20" s="64"/>
      <c r="KKI20" s="64"/>
      <c r="KKJ20" s="64"/>
      <c r="KKK20" s="64"/>
      <c r="KKL20" s="64"/>
      <c r="KKM20" s="64"/>
      <c r="KKN20" s="64"/>
      <c r="KKO20" s="64"/>
      <c r="KKP20" s="64"/>
      <c r="KKQ20" s="64"/>
      <c r="KKR20" s="64"/>
      <c r="KKS20" s="64"/>
      <c r="KKT20" s="64"/>
      <c r="KKU20" s="64"/>
      <c r="KKV20" s="64"/>
      <c r="KKW20" s="64"/>
      <c r="KKX20" s="64"/>
      <c r="KKY20" s="64"/>
      <c r="KKZ20" s="64"/>
      <c r="KLA20" s="64"/>
      <c r="KLB20" s="64"/>
      <c r="KLC20" s="64"/>
      <c r="KLD20" s="64"/>
      <c r="KLE20" s="64"/>
      <c r="KLF20" s="64"/>
      <c r="KLG20" s="64"/>
      <c r="KLH20" s="64"/>
      <c r="KLI20" s="64"/>
      <c r="KLJ20" s="64"/>
      <c r="KLK20" s="64"/>
      <c r="KLL20" s="64"/>
      <c r="KLM20" s="64"/>
      <c r="KLN20" s="64"/>
      <c r="KLO20" s="64"/>
      <c r="KLP20" s="64"/>
      <c r="KLQ20" s="64"/>
      <c r="KLR20" s="64"/>
      <c r="KLS20" s="64"/>
      <c r="KLT20" s="64"/>
      <c r="KLU20" s="64"/>
      <c r="KLV20" s="64"/>
      <c r="KLW20" s="64"/>
      <c r="KLX20" s="64"/>
      <c r="KLY20" s="64"/>
      <c r="KLZ20" s="64"/>
      <c r="KMA20" s="64"/>
      <c r="KMB20" s="64"/>
      <c r="KMC20" s="64"/>
      <c r="KMD20" s="64"/>
      <c r="KME20" s="64"/>
      <c r="KMF20" s="64"/>
      <c r="KMG20" s="64"/>
      <c r="KMH20" s="64"/>
      <c r="KMI20" s="64"/>
      <c r="KMJ20" s="64"/>
      <c r="KMK20" s="64"/>
      <c r="KML20" s="64"/>
      <c r="KMM20" s="64"/>
      <c r="KMN20" s="64"/>
      <c r="KMO20" s="64"/>
      <c r="KMP20" s="64"/>
      <c r="KMQ20" s="64"/>
      <c r="KMR20" s="64"/>
      <c r="KMS20" s="64"/>
      <c r="KMT20" s="64"/>
      <c r="KMU20" s="64"/>
      <c r="KMV20" s="64"/>
      <c r="KMW20" s="64"/>
      <c r="KMX20" s="64"/>
      <c r="KMY20" s="64"/>
      <c r="KMZ20" s="64"/>
      <c r="KNA20" s="64"/>
      <c r="KNB20" s="64"/>
      <c r="KNC20" s="64"/>
      <c r="KND20" s="64"/>
      <c r="KNE20" s="64"/>
      <c r="KNF20" s="64"/>
      <c r="KNG20" s="64"/>
      <c r="KNH20" s="64"/>
      <c r="KNI20" s="64"/>
      <c r="KNJ20" s="64"/>
      <c r="KNK20" s="64"/>
      <c r="KNL20" s="64"/>
      <c r="KNM20" s="64"/>
      <c r="KNN20" s="64"/>
      <c r="KNO20" s="64"/>
      <c r="KNP20" s="64"/>
      <c r="KNQ20" s="64"/>
      <c r="KNR20" s="64"/>
      <c r="KNS20" s="64"/>
      <c r="KNT20" s="64"/>
      <c r="KNU20" s="64"/>
      <c r="KNV20" s="64"/>
      <c r="KNW20" s="64"/>
      <c r="KNX20" s="64"/>
      <c r="KNY20" s="64"/>
      <c r="KNZ20" s="64"/>
      <c r="KOA20" s="64"/>
      <c r="KOB20" s="64"/>
      <c r="KOC20" s="64"/>
      <c r="KOD20" s="64"/>
      <c r="KOE20" s="64"/>
      <c r="KOF20" s="64"/>
      <c r="KOG20" s="64"/>
      <c r="KOH20" s="64"/>
      <c r="KOI20" s="64"/>
      <c r="KOJ20" s="64"/>
      <c r="KOK20" s="64"/>
      <c r="KOL20" s="64"/>
      <c r="KOM20" s="64"/>
      <c r="KON20" s="64"/>
      <c r="KOO20" s="64"/>
      <c r="KOP20" s="64"/>
      <c r="KOQ20" s="64"/>
      <c r="KOR20" s="64"/>
      <c r="KOS20" s="64"/>
      <c r="KOT20" s="64"/>
      <c r="KOU20" s="64"/>
      <c r="KOV20" s="64"/>
      <c r="KOW20" s="64"/>
      <c r="KOX20" s="64"/>
      <c r="KOY20" s="64"/>
      <c r="KOZ20" s="64"/>
      <c r="KPA20" s="64"/>
      <c r="KPB20" s="64"/>
      <c r="KPC20" s="64"/>
      <c r="KPD20" s="64"/>
      <c r="KPE20" s="64"/>
      <c r="KPF20" s="64"/>
      <c r="KPG20" s="64"/>
      <c r="KPH20" s="64"/>
      <c r="KPI20" s="64"/>
      <c r="KPJ20" s="64"/>
      <c r="KPK20" s="64"/>
      <c r="KPL20" s="64"/>
      <c r="KPM20" s="64"/>
      <c r="KPN20" s="64"/>
      <c r="KPO20" s="64"/>
      <c r="KPP20" s="64"/>
      <c r="KPQ20" s="64"/>
      <c r="KPR20" s="64"/>
      <c r="KPS20" s="64"/>
      <c r="KPT20" s="64"/>
      <c r="KPU20" s="64"/>
      <c r="KPV20" s="64"/>
      <c r="KPW20" s="64"/>
      <c r="KPX20" s="64"/>
      <c r="KPY20" s="64"/>
      <c r="KPZ20" s="64"/>
      <c r="KQA20" s="64"/>
      <c r="KQB20" s="64"/>
      <c r="KQC20" s="64"/>
      <c r="KQD20" s="64"/>
      <c r="KQE20" s="64"/>
      <c r="KQF20" s="64"/>
      <c r="KQG20" s="64"/>
      <c r="KQH20" s="64"/>
      <c r="KQI20" s="64"/>
      <c r="KQJ20" s="64"/>
      <c r="KQK20" s="64"/>
      <c r="KQL20" s="64"/>
      <c r="KQM20" s="64"/>
      <c r="KQN20" s="64"/>
      <c r="KQO20" s="64"/>
      <c r="KQP20" s="64"/>
      <c r="KQQ20" s="64"/>
      <c r="KQR20" s="64"/>
      <c r="KQS20" s="64"/>
      <c r="KQT20" s="64"/>
      <c r="KQU20" s="64"/>
      <c r="KQV20" s="64"/>
      <c r="KQW20" s="64"/>
      <c r="KQX20" s="64"/>
      <c r="KQY20" s="64"/>
      <c r="KQZ20" s="64"/>
      <c r="KRA20" s="64"/>
      <c r="KRB20" s="64"/>
      <c r="KRC20" s="64"/>
      <c r="KRD20" s="64"/>
      <c r="KRE20" s="64"/>
      <c r="KRF20" s="64"/>
      <c r="KRG20" s="64"/>
      <c r="KRH20" s="64"/>
      <c r="KRI20" s="64"/>
      <c r="KRJ20" s="64"/>
      <c r="KRK20" s="64"/>
      <c r="KRL20" s="64"/>
      <c r="KRM20" s="64"/>
      <c r="KRN20" s="64"/>
      <c r="KRO20" s="64"/>
      <c r="KRP20" s="64"/>
      <c r="KRQ20" s="64"/>
      <c r="KRR20" s="64"/>
      <c r="KRS20" s="64"/>
      <c r="KRT20" s="64"/>
      <c r="KRU20" s="64"/>
      <c r="KRV20" s="64"/>
      <c r="KRW20" s="64"/>
      <c r="KRX20" s="64"/>
      <c r="KRY20" s="64"/>
      <c r="KRZ20" s="64"/>
      <c r="KSA20" s="64"/>
      <c r="KSB20" s="64"/>
      <c r="KSC20" s="64"/>
      <c r="KSD20" s="64"/>
      <c r="KSE20" s="64"/>
      <c r="KSF20" s="64"/>
      <c r="KSG20" s="64"/>
      <c r="KSH20" s="64"/>
      <c r="KSI20" s="64"/>
      <c r="KSJ20" s="64"/>
      <c r="KSK20" s="64"/>
      <c r="KSL20" s="64"/>
      <c r="KSM20" s="64"/>
      <c r="KSN20" s="64"/>
      <c r="KSO20" s="64"/>
      <c r="KSP20" s="64"/>
      <c r="KSQ20" s="64"/>
      <c r="KSR20" s="64"/>
      <c r="KSS20" s="64"/>
      <c r="KST20" s="64"/>
      <c r="KSU20" s="64"/>
      <c r="KSV20" s="64"/>
      <c r="KSW20" s="64"/>
      <c r="KSX20" s="64"/>
      <c r="KSY20" s="64"/>
      <c r="KSZ20" s="64"/>
      <c r="KTA20" s="64"/>
      <c r="KTB20" s="64"/>
      <c r="KTC20" s="64"/>
      <c r="KTD20" s="64"/>
      <c r="KTE20" s="64"/>
      <c r="KTF20" s="64"/>
      <c r="KTG20" s="64"/>
      <c r="KTH20" s="64"/>
      <c r="KTI20" s="64"/>
      <c r="KTJ20" s="64"/>
      <c r="KTK20" s="64"/>
      <c r="KTL20" s="64"/>
      <c r="KTM20" s="64"/>
      <c r="KTN20" s="64"/>
      <c r="KTO20" s="64"/>
      <c r="KTP20" s="64"/>
      <c r="KTQ20" s="64"/>
      <c r="KTR20" s="64"/>
      <c r="KTS20" s="64"/>
      <c r="KTT20" s="64"/>
      <c r="KTU20" s="64"/>
      <c r="KTV20" s="64"/>
      <c r="KTW20" s="64"/>
      <c r="KTX20" s="64"/>
      <c r="KTY20" s="64"/>
      <c r="KTZ20" s="64"/>
      <c r="KUA20" s="64"/>
      <c r="KUB20" s="64"/>
      <c r="KUC20" s="64"/>
      <c r="KUD20" s="64"/>
      <c r="KUE20" s="64"/>
      <c r="KUF20" s="64"/>
      <c r="KUG20" s="64"/>
      <c r="KUH20" s="64"/>
      <c r="KUI20" s="64"/>
      <c r="KUJ20" s="64"/>
      <c r="KUK20" s="64"/>
      <c r="KUL20" s="64"/>
      <c r="KUM20" s="64"/>
      <c r="KUN20" s="64"/>
      <c r="KUO20" s="64"/>
      <c r="KUP20" s="64"/>
      <c r="KUQ20" s="64"/>
      <c r="KUR20" s="64"/>
      <c r="KUS20" s="64"/>
      <c r="KUT20" s="64"/>
      <c r="KUU20" s="64"/>
      <c r="KUV20" s="64"/>
      <c r="KUW20" s="64"/>
      <c r="KUX20" s="64"/>
      <c r="KUY20" s="64"/>
      <c r="KUZ20" s="64"/>
      <c r="KVA20" s="64"/>
      <c r="KVB20" s="64"/>
      <c r="KVC20" s="64"/>
      <c r="KVD20" s="64"/>
      <c r="KVE20" s="64"/>
      <c r="KVF20" s="64"/>
      <c r="KVG20" s="64"/>
      <c r="KVH20" s="64"/>
      <c r="KVI20" s="64"/>
      <c r="KVJ20" s="64"/>
      <c r="KVK20" s="64"/>
      <c r="KVL20" s="64"/>
      <c r="KVM20" s="64"/>
      <c r="KVN20" s="64"/>
      <c r="KVO20" s="64"/>
      <c r="KVP20" s="64"/>
      <c r="KVQ20" s="64"/>
      <c r="KVR20" s="64"/>
      <c r="KVS20" s="64"/>
      <c r="KVT20" s="64"/>
      <c r="KVU20" s="64"/>
      <c r="KVV20" s="64"/>
      <c r="KVW20" s="64"/>
      <c r="KVX20" s="64"/>
      <c r="KVY20" s="64"/>
      <c r="KVZ20" s="64"/>
      <c r="KWA20" s="64"/>
      <c r="KWB20" s="64"/>
      <c r="KWC20" s="64"/>
      <c r="KWD20" s="64"/>
      <c r="KWE20" s="64"/>
      <c r="KWF20" s="64"/>
      <c r="KWG20" s="64"/>
      <c r="KWH20" s="64"/>
      <c r="KWI20" s="64"/>
      <c r="KWJ20" s="64"/>
      <c r="KWK20" s="64"/>
      <c r="KWL20" s="64"/>
      <c r="KWM20" s="64"/>
      <c r="KWN20" s="64"/>
      <c r="KWO20" s="64"/>
      <c r="KWP20" s="64"/>
      <c r="KWQ20" s="64"/>
      <c r="KWR20" s="64"/>
      <c r="KWS20" s="64"/>
      <c r="KWT20" s="64"/>
      <c r="KWU20" s="64"/>
      <c r="KWV20" s="64"/>
      <c r="KWW20" s="64"/>
      <c r="KWX20" s="64"/>
      <c r="KWY20" s="64"/>
      <c r="KWZ20" s="64"/>
      <c r="KXA20" s="64"/>
      <c r="KXB20" s="64"/>
      <c r="KXC20" s="64"/>
      <c r="KXD20" s="64"/>
      <c r="KXE20" s="64"/>
      <c r="KXF20" s="64"/>
      <c r="KXG20" s="64"/>
      <c r="KXH20" s="64"/>
      <c r="KXI20" s="64"/>
      <c r="KXJ20" s="64"/>
      <c r="KXK20" s="64"/>
      <c r="KXL20" s="64"/>
      <c r="KXM20" s="64"/>
      <c r="KXN20" s="64"/>
      <c r="KXO20" s="64"/>
      <c r="KXP20" s="64"/>
      <c r="KXQ20" s="64"/>
      <c r="KXR20" s="64"/>
      <c r="KXS20" s="64"/>
      <c r="KXT20" s="64"/>
      <c r="KXU20" s="64"/>
      <c r="KXV20" s="64"/>
      <c r="KXW20" s="64"/>
      <c r="KXX20" s="64"/>
      <c r="KXY20" s="64"/>
      <c r="KXZ20" s="64"/>
      <c r="KYA20" s="64"/>
      <c r="KYB20" s="64"/>
      <c r="KYC20" s="64"/>
      <c r="KYD20" s="64"/>
      <c r="KYE20" s="64"/>
      <c r="KYF20" s="64"/>
      <c r="KYG20" s="64"/>
      <c r="KYH20" s="64"/>
      <c r="KYI20" s="64"/>
      <c r="KYJ20" s="64"/>
      <c r="KYK20" s="64"/>
      <c r="KYL20" s="64"/>
      <c r="KYM20" s="64"/>
      <c r="KYN20" s="64"/>
      <c r="KYO20" s="64"/>
      <c r="KYP20" s="64"/>
      <c r="KYQ20" s="64"/>
      <c r="KYR20" s="64"/>
      <c r="KYS20" s="64"/>
      <c r="KYT20" s="64"/>
      <c r="KYU20" s="64"/>
      <c r="KYV20" s="64"/>
      <c r="KYW20" s="64"/>
      <c r="KYX20" s="64"/>
      <c r="KYY20" s="64"/>
      <c r="KYZ20" s="64"/>
      <c r="KZA20" s="64"/>
      <c r="KZB20" s="64"/>
      <c r="KZC20" s="64"/>
      <c r="KZD20" s="64"/>
      <c r="KZE20" s="64"/>
      <c r="KZF20" s="64"/>
      <c r="KZG20" s="64"/>
      <c r="KZH20" s="64"/>
      <c r="KZI20" s="64"/>
      <c r="KZJ20" s="64"/>
      <c r="KZK20" s="64"/>
      <c r="KZL20" s="64"/>
      <c r="KZM20" s="64"/>
      <c r="KZN20" s="64"/>
      <c r="KZO20" s="64"/>
      <c r="KZP20" s="64"/>
      <c r="KZQ20" s="64"/>
      <c r="KZR20" s="64"/>
      <c r="KZS20" s="64"/>
      <c r="KZT20" s="64"/>
      <c r="KZU20" s="64"/>
      <c r="KZV20" s="64"/>
      <c r="KZW20" s="64"/>
      <c r="KZX20" s="64"/>
      <c r="KZY20" s="64"/>
      <c r="KZZ20" s="64"/>
      <c r="LAA20" s="64"/>
      <c r="LAB20" s="64"/>
      <c r="LAC20" s="64"/>
      <c r="LAD20" s="64"/>
      <c r="LAE20" s="64"/>
      <c r="LAF20" s="64"/>
      <c r="LAG20" s="64"/>
      <c r="LAH20" s="64"/>
      <c r="LAI20" s="64"/>
      <c r="LAJ20" s="64"/>
      <c r="LAK20" s="64"/>
      <c r="LAL20" s="64"/>
      <c r="LAM20" s="64"/>
      <c r="LAN20" s="64"/>
      <c r="LAO20" s="64"/>
      <c r="LAP20" s="64"/>
      <c r="LAQ20" s="64"/>
      <c r="LAR20" s="64"/>
      <c r="LAS20" s="64"/>
      <c r="LAT20" s="64"/>
      <c r="LAU20" s="64"/>
      <c r="LAV20" s="64"/>
      <c r="LAW20" s="64"/>
      <c r="LAX20" s="64"/>
      <c r="LAY20" s="64"/>
      <c r="LAZ20" s="64"/>
      <c r="LBA20" s="64"/>
      <c r="LBB20" s="64"/>
      <c r="LBC20" s="64"/>
      <c r="LBD20" s="64"/>
      <c r="LBE20" s="64"/>
      <c r="LBF20" s="64"/>
      <c r="LBG20" s="64"/>
      <c r="LBH20" s="64"/>
      <c r="LBI20" s="64"/>
      <c r="LBJ20" s="64"/>
      <c r="LBK20" s="64"/>
      <c r="LBL20" s="64"/>
      <c r="LBM20" s="64"/>
      <c r="LBN20" s="64"/>
      <c r="LBO20" s="64"/>
      <c r="LBP20" s="64"/>
      <c r="LBQ20" s="64"/>
      <c r="LBR20" s="64"/>
      <c r="LBS20" s="64"/>
      <c r="LBT20" s="64"/>
      <c r="LBU20" s="64"/>
      <c r="LBV20" s="64"/>
      <c r="LBW20" s="64"/>
      <c r="LBX20" s="64"/>
      <c r="LBY20" s="64"/>
      <c r="LBZ20" s="64"/>
      <c r="LCA20" s="64"/>
      <c r="LCB20" s="64"/>
      <c r="LCC20" s="64"/>
      <c r="LCD20" s="64"/>
      <c r="LCE20" s="64"/>
      <c r="LCF20" s="64"/>
      <c r="LCG20" s="64"/>
      <c r="LCH20" s="64"/>
      <c r="LCI20" s="64"/>
      <c r="LCJ20" s="64"/>
      <c r="LCK20" s="64"/>
      <c r="LCL20" s="64"/>
      <c r="LCM20" s="64"/>
      <c r="LCN20" s="64"/>
      <c r="LCO20" s="64"/>
      <c r="LCP20" s="64"/>
      <c r="LCQ20" s="64"/>
      <c r="LCR20" s="64"/>
      <c r="LCS20" s="64"/>
      <c r="LCT20" s="64"/>
      <c r="LCU20" s="64"/>
      <c r="LCV20" s="64"/>
      <c r="LCW20" s="64"/>
      <c r="LCX20" s="64"/>
      <c r="LCY20" s="64"/>
      <c r="LCZ20" s="64"/>
      <c r="LDA20" s="64"/>
      <c r="LDB20" s="64"/>
      <c r="LDC20" s="64"/>
      <c r="LDD20" s="64"/>
      <c r="LDE20" s="64"/>
      <c r="LDF20" s="64"/>
      <c r="LDG20" s="64"/>
      <c r="LDH20" s="64"/>
      <c r="LDI20" s="64"/>
      <c r="LDJ20" s="64"/>
      <c r="LDK20" s="64"/>
      <c r="LDL20" s="64"/>
      <c r="LDM20" s="64"/>
      <c r="LDN20" s="64"/>
      <c r="LDO20" s="64"/>
      <c r="LDP20" s="64"/>
      <c r="LDQ20" s="64"/>
      <c r="LDR20" s="64"/>
      <c r="LDS20" s="64"/>
      <c r="LDT20" s="64"/>
      <c r="LDU20" s="64"/>
      <c r="LDV20" s="64"/>
      <c r="LDW20" s="64"/>
      <c r="LDX20" s="64"/>
      <c r="LDY20" s="64"/>
      <c r="LDZ20" s="64"/>
      <c r="LEA20" s="64"/>
      <c r="LEB20" s="64"/>
      <c r="LEC20" s="64"/>
      <c r="LED20" s="64"/>
      <c r="LEE20" s="64"/>
      <c r="LEF20" s="64"/>
      <c r="LEG20" s="64"/>
      <c r="LEH20" s="64"/>
      <c r="LEI20" s="64"/>
      <c r="LEJ20" s="64"/>
      <c r="LEK20" s="64"/>
      <c r="LEL20" s="64"/>
      <c r="LEM20" s="64"/>
      <c r="LEN20" s="64"/>
      <c r="LEO20" s="64"/>
      <c r="LEP20" s="64"/>
      <c r="LEQ20" s="64"/>
      <c r="LER20" s="64"/>
      <c r="LES20" s="64"/>
      <c r="LET20" s="64"/>
      <c r="LEU20" s="64"/>
      <c r="LEV20" s="64"/>
      <c r="LEW20" s="64"/>
      <c r="LEX20" s="64"/>
      <c r="LEY20" s="64"/>
      <c r="LEZ20" s="64"/>
      <c r="LFA20" s="64"/>
      <c r="LFB20" s="64"/>
      <c r="LFC20" s="64"/>
      <c r="LFD20" s="64"/>
      <c r="LFE20" s="64"/>
      <c r="LFF20" s="64"/>
      <c r="LFG20" s="64"/>
      <c r="LFH20" s="64"/>
      <c r="LFI20" s="64"/>
      <c r="LFJ20" s="64"/>
      <c r="LFK20" s="64"/>
      <c r="LFL20" s="64"/>
      <c r="LFM20" s="64"/>
      <c r="LFN20" s="64"/>
      <c r="LFO20" s="64"/>
      <c r="LFP20" s="64"/>
      <c r="LFQ20" s="64"/>
      <c r="LFR20" s="64"/>
      <c r="LFS20" s="64"/>
      <c r="LFT20" s="64"/>
      <c r="LFU20" s="64"/>
      <c r="LFV20" s="64"/>
      <c r="LFW20" s="64"/>
      <c r="LFX20" s="64"/>
      <c r="LFY20" s="64"/>
      <c r="LFZ20" s="64"/>
      <c r="LGA20" s="64"/>
      <c r="LGB20" s="64"/>
      <c r="LGC20" s="64"/>
      <c r="LGD20" s="64"/>
      <c r="LGE20" s="64"/>
      <c r="LGF20" s="64"/>
      <c r="LGG20" s="64"/>
      <c r="LGH20" s="64"/>
      <c r="LGI20" s="64"/>
      <c r="LGJ20" s="64"/>
      <c r="LGK20" s="64"/>
      <c r="LGL20" s="64"/>
      <c r="LGM20" s="64"/>
      <c r="LGN20" s="64"/>
      <c r="LGO20" s="64"/>
      <c r="LGP20" s="64"/>
      <c r="LGQ20" s="64"/>
      <c r="LGR20" s="64"/>
      <c r="LGS20" s="64"/>
      <c r="LGT20" s="64"/>
      <c r="LGU20" s="64"/>
      <c r="LGV20" s="64"/>
      <c r="LGW20" s="64"/>
      <c r="LGX20" s="64"/>
      <c r="LGY20" s="64"/>
      <c r="LGZ20" s="64"/>
      <c r="LHA20" s="64"/>
      <c r="LHB20" s="64"/>
      <c r="LHC20" s="64"/>
      <c r="LHD20" s="64"/>
      <c r="LHE20" s="64"/>
      <c r="LHF20" s="64"/>
      <c r="LHG20" s="64"/>
      <c r="LHH20" s="64"/>
      <c r="LHI20" s="64"/>
      <c r="LHJ20" s="64"/>
      <c r="LHK20" s="64"/>
      <c r="LHL20" s="64"/>
      <c r="LHM20" s="64"/>
      <c r="LHN20" s="64"/>
      <c r="LHO20" s="64"/>
      <c r="LHP20" s="64"/>
      <c r="LHQ20" s="64"/>
      <c r="LHR20" s="64"/>
      <c r="LHS20" s="64"/>
      <c r="LHT20" s="64"/>
      <c r="LHU20" s="64"/>
      <c r="LHV20" s="64"/>
      <c r="LHW20" s="64"/>
      <c r="LHX20" s="64"/>
      <c r="LHY20" s="64"/>
      <c r="LHZ20" s="64"/>
      <c r="LIA20" s="64"/>
      <c r="LIB20" s="64"/>
      <c r="LIC20" s="64"/>
      <c r="LID20" s="64"/>
      <c r="LIE20" s="64"/>
      <c r="LIF20" s="64"/>
      <c r="LIG20" s="64"/>
      <c r="LIH20" s="64"/>
      <c r="LII20" s="64"/>
      <c r="LIJ20" s="64"/>
      <c r="LIK20" s="64"/>
      <c r="LIL20" s="64"/>
      <c r="LIM20" s="64"/>
      <c r="LIN20" s="64"/>
      <c r="LIO20" s="64"/>
      <c r="LIP20" s="64"/>
      <c r="LIQ20" s="64"/>
      <c r="LIR20" s="64"/>
      <c r="LIS20" s="64"/>
      <c r="LIT20" s="64"/>
      <c r="LIU20" s="64"/>
      <c r="LIV20" s="64"/>
      <c r="LIW20" s="64"/>
      <c r="LIX20" s="64"/>
      <c r="LIY20" s="64"/>
      <c r="LIZ20" s="64"/>
      <c r="LJA20" s="64"/>
      <c r="LJB20" s="64"/>
      <c r="LJC20" s="64"/>
      <c r="LJD20" s="64"/>
      <c r="LJE20" s="64"/>
      <c r="LJF20" s="64"/>
      <c r="LJG20" s="64"/>
      <c r="LJH20" s="64"/>
      <c r="LJI20" s="64"/>
      <c r="LJJ20" s="64"/>
      <c r="LJK20" s="64"/>
      <c r="LJL20" s="64"/>
      <c r="LJM20" s="64"/>
      <c r="LJN20" s="64"/>
      <c r="LJO20" s="64"/>
      <c r="LJP20" s="64"/>
      <c r="LJQ20" s="64"/>
      <c r="LJR20" s="64"/>
      <c r="LJS20" s="64"/>
      <c r="LJT20" s="64"/>
      <c r="LJU20" s="64"/>
      <c r="LJV20" s="64"/>
      <c r="LJW20" s="64"/>
      <c r="LJX20" s="64"/>
      <c r="LJY20" s="64"/>
      <c r="LJZ20" s="64"/>
      <c r="LKA20" s="64"/>
      <c r="LKB20" s="64"/>
      <c r="LKC20" s="64"/>
      <c r="LKD20" s="64"/>
      <c r="LKE20" s="64"/>
      <c r="LKF20" s="64"/>
      <c r="LKG20" s="64"/>
      <c r="LKH20" s="64"/>
      <c r="LKI20" s="64"/>
      <c r="LKJ20" s="64"/>
      <c r="LKK20" s="64"/>
      <c r="LKL20" s="64"/>
      <c r="LKM20" s="64"/>
      <c r="LKN20" s="64"/>
      <c r="LKO20" s="64"/>
      <c r="LKP20" s="64"/>
      <c r="LKQ20" s="64"/>
      <c r="LKR20" s="64"/>
      <c r="LKS20" s="64"/>
      <c r="LKT20" s="64"/>
      <c r="LKU20" s="64"/>
      <c r="LKV20" s="64"/>
      <c r="LKW20" s="64"/>
      <c r="LKX20" s="64"/>
      <c r="LKY20" s="64"/>
      <c r="LKZ20" s="64"/>
      <c r="LLA20" s="64"/>
      <c r="LLB20" s="64"/>
      <c r="LLC20" s="64"/>
      <c r="LLD20" s="64"/>
      <c r="LLE20" s="64"/>
      <c r="LLF20" s="64"/>
      <c r="LLG20" s="64"/>
      <c r="LLH20" s="64"/>
      <c r="LLI20" s="64"/>
      <c r="LLJ20" s="64"/>
      <c r="LLK20" s="64"/>
      <c r="LLL20" s="64"/>
      <c r="LLM20" s="64"/>
      <c r="LLN20" s="64"/>
      <c r="LLO20" s="64"/>
      <c r="LLP20" s="64"/>
      <c r="LLQ20" s="64"/>
      <c r="LLR20" s="64"/>
      <c r="LLS20" s="64"/>
      <c r="LLT20" s="64"/>
      <c r="LLU20" s="64"/>
      <c r="LLV20" s="64"/>
      <c r="LLW20" s="64"/>
      <c r="LLX20" s="64"/>
      <c r="LLY20" s="64"/>
      <c r="LLZ20" s="64"/>
      <c r="LMA20" s="64"/>
      <c r="LMB20" s="64"/>
      <c r="LMC20" s="64"/>
      <c r="LMD20" s="64"/>
      <c r="LME20" s="64"/>
      <c r="LMF20" s="64"/>
      <c r="LMG20" s="64"/>
      <c r="LMH20" s="64"/>
      <c r="LMI20" s="64"/>
      <c r="LMJ20" s="64"/>
      <c r="LMK20" s="64"/>
      <c r="LML20" s="64"/>
      <c r="LMM20" s="64"/>
      <c r="LMN20" s="64"/>
      <c r="LMO20" s="64"/>
      <c r="LMP20" s="64"/>
      <c r="LMQ20" s="64"/>
      <c r="LMR20" s="64"/>
      <c r="LMS20" s="64"/>
      <c r="LMT20" s="64"/>
      <c r="LMU20" s="64"/>
      <c r="LMV20" s="64"/>
      <c r="LMW20" s="64"/>
      <c r="LMX20" s="64"/>
      <c r="LMY20" s="64"/>
      <c r="LMZ20" s="64"/>
      <c r="LNA20" s="64"/>
      <c r="LNB20" s="64"/>
      <c r="LNC20" s="64"/>
      <c r="LND20" s="64"/>
      <c r="LNE20" s="64"/>
      <c r="LNF20" s="64"/>
      <c r="LNG20" s="64"/>
      <c r="LNH20" s="64"/>
      <c r="LNI20" s="64"/>
      <c r="LNJ20" s="64"/>
      <c r="LNK20" s="64"/>
      <c r="LNL20" s="64"/>
      <c r="LNM20" s="64"/>
      <c r="LNN20" s="64"/>
      <c r="LNO20" s="64"/>
      <c r="LNP20" s="64"/>
      <c r="LNQ20" s="64"/>
      <c r="LNR20" s="64"/>
      <c r="LNS20" s="64"/>
      <c r="LNT20" s="64"/>
      <c r="LNU20" s="64"/>
      <c r="LNV20" s="64"/>
      <c r="LNW20" s="64"/>
      <c r="LNX20" s="64"/>
      <c r="LNY20" s="64"/>
      <c r="LNZ20" s="64"/>
      <c r="LOA20" s="64"/>
      <c r="LOB20" s="64"/>
      <c r="LOC20" s="64"/>
      <c r="LOD20" s="64"/>
      <c r="LOE20" s="64"/>
      <c r="LOF20" s="64"/>
      <c r="LOG20" s="64"/>
      <c r="LOH20" s="64"/>
      <c r="LOI20" s="64"/>
      <c r="LOJ20" s="64"/>
      <c r="LOK20" s="64"/>
      <c r="LOL20" s="64"/>
      <c r="LOM20" s="64"/>
      <c r="LON20" s="64"/>
      <c r="LOO20" s="64"/>
      <c r="LOP20" s="64"/>
      <c r="LOQ20" s="64"/>
      <c r="LOR20" s="64"/>
      <c r="LOS20" s="64"/>
      <c r="LOT20" s="64"/>
      <c r="LOU20" s="64"/>
      <c r="LOV20" s="64"/>
      <c r="LOW20" s="64"/>
      <c r="LOX20" s="64"/>
      <c r="LOY20" s="64"/>
      <c r="LOZ20" s="64"/>
      <c r="LPA20" s="64"/>
      <c r="LPB20" s="64"/>
      <c r="LPC20" s="64"/>
      <c r="LPD20" s="64"/>
      <c r="LPE20" s="64"/>
      <c r="LPF20" s="64"/>
      <c r="LPG20" s="64"/>
      <c r="LPH20" s="64"/>
      <c r="LPI20" s="64"/>
      <c r="LPJ20" s="64"/>
      <c r="LPK20" s="64"/>
      <c r="LPL20" s="64"/>
      <c r="LPM20" s="64"/>
      <c r="LPN20" s="64"/>
      <c r="LPO20" s="64"/>
      <c r="LPP20" s="64"/>
      <c r="LPQ20" s="64"/>
      <c r="LPR20" s="64"/>
      <c r="LPS20" s="64"/>
      <c r="LPT20" s="64"/>
      <c r="LPU20" s="64"/>
      <c r="LPV20" s="64"/>
      <c r="LPW20" s="64"/>
      <c r="LPX20" s="64"/>
      <c r="LPY20" s="64"/>
      <c r="LPZ20" s="64"/>
      <c r="LQA20" s="64"/>
      <c r="LQB20" s="64"/>
      <c r="LQC20" s="64"/>
      <c r="LQD20" s="64"/>
      <c r="LQE20" s="64"/>
      <c r="LQF20" s="64"/>
      <c r="LQG20" s="64"/>
      <c r="LQH20" s="64"/>
      <c r="LQI20" s="64"/>
      <c r="LQJ20" s="64"/>
      <c r="LQK20" s="64"/>
      <c r="LQL20" s="64"/>
      <c r="LQM20" s="64"/>
      <c r="LQN20" s="64"/>
      <c r="LQO20" s="64"/>
      <c r="LQP20" s="64"/>
      <c r="LQQ20" s="64"/>
      <c r="LQR20" s="64"/>
      <c r="LQS20" s="64"/>
      <c r="LQT20" s="64"/>
      <c r="LQU20" s="64"/>
      <c r="LQV20" s="64"/>
      <c r="LQW20" s="64"/>
      <c r="LQX20" s="64"/>
      <c r="LQY20" s="64"/>
      <c r="LQZ20" s="64"/>
      <c r="LRA20" s="64"/>
      <c r="LRB20" s="64"/>
      <c r="LRC20" s="64"/>
      <c r="LRD20" s="64"/>
      <c r="LRE20" s="64"/>
      <c r="LRF20" s="64"/>
      <c r="LRG20" s="64"/>
      <c r="LRH20" s="64"/>
      <c r="LRI20" s="64"/>
      <c r="LRJ20" s="64"/>
      <c r="LRK20" s="64"/>
      <c r="LRL20" s="64"/>
      <c r="LRM20" s="64"/>
      <c r="LRN20" s="64"/>
      <c r="LRO20" s="64"/>
      <c r="LRP20" s="64"/>
      <c r="LRQ20" s="64"/>
      <c r="LRR20" s="64"/>
      <c r="LRS20" s="64"/>
      <c r="LRT20" s="64"/>
      <c r="LRU20" s="64"/>
      <c r="LRV20" s="64"/>
      <c r="LRW20" s="64"/>
      <c r="LRX20" s="64"/>
      <c r="LRY20" s="64"/>
      <c r="LRZ20" s="64"/>
      <c r="LSA20" s="64"/>
      <c r="LSB20" s="64"/>
      <c r="LSC20" s="64"/>
      <c r="LSD20" s="64"/>
      <c r="LSE20" s="64"/>
      <c r="LSF20" s="64"/>
      <c r="LSG20" s="64"/>
      <c r="LSH20" s="64"/>
      <c r="LSI20" s="64"/>
      <c r="LSJ20" s="64"/>
      <c r="LSK20" s="64"/>
      <c r="LSL20" s="64"/>
      <c r="LSM20" s="64"/>
      <c r="LSN20" s="64"/>
      <c r="LSO20" s="64"/>
      <c r="LSP20" s="64"/>
      <c r="LSQ20" s="64"/>
      <c r="LSR20" s="64"/>
      <c r="LSS20" s="64"/>
      <c r="LST20" s="64"/>
      <c r="LSU20" s="64"/>
      <c r="LSV20" s="64"/>
      <c r="LSW20" s="64"/>
      <c r="LSX20" s="64"/>
      <c r="LSY20" s="64"/>
      <c r="LSZ20" s="64"/>
      <c r="LTA20" s="64"/>
      <c r="LTB20" s="64"/>
      <c r="LTC20" s="64"/>
      <c r="LTD20" s="64"/>
      <c r="LTE20" s="64"/>
      <c r="LTF20" s="64"/>
      <c r="LTG20" s="64"/>
      <c r="LTH20" s="64"/>
      <c r="LTI20" s="64"/>
      <c r="LTJ20" s="64"/>
      <c r="LTK20" s="64"/>
      <c r="LTL20" s="64"/>
      <c r="LTM20" s="64"/>
      <c r="LTN20" s="64"/>
      <c r="LTO20" s="64"/>
      <c r="LTP20" s="64"/>
      <c r="LTQ20" s="64"/>
      <c r="LTR20" s="64"/>
      <c r="LTS20" s="64"/>
      <c r="LTT20" s="64"/>
      <c r="LTU20" s="64"/>
      <c r="LTV20" s="64"/>
      <c r="LTW20" s="64"/>
      <c r="LTX20" s="64"/>
      <c r="LTY20" s="64"/>
      <c r="LTZ20" s="64"/>
      <c r="LUA20" s="64"/>
      <c r="LUB20" s="64"/>
      <c r="LUC20" s="64"/>
      <c r="LUD20" s="64"/>
      <c r="LUE20" s="64"/>
      <c r="LUF20" s="64"/>
      <c r="LUG20" s="64"/>
      <c r="LUH20" s="64"/>
      <c r="LUI20" s="64"/>
      <c r="LUJ20" s="64"/>
      <c r="LUK20" s="64"/>
      <c r="LUL20" s="64"/>
      <c r="LUM20" s="64"/>
      <c r="LUN20" s="64"/>
      <c r="LUO20" s="64"/>
      <c r="LUP20" s="64"/>
      <c r="LUQ20" s="64"/>
      <c r="LUR20" s="64"/>
      <c r="LUS20" s="64"/>
      <c r="LUT20" s="64"/>
      <c r="LUU20" s="64"/>
      <c r="LUV20" s="64"/>
      <c r="LUW20" s="64"/>
      <c r="LUX20" s="64"/>
      <c r="LUY20" s="64"/>
      <c r="LUZ20" s="64"/>
      <c r="LVA20" s="64"/>
      <c r="LVB20" s="64"/>
      <c r="LVC20" s="64"/>
      <c r="LVD20" s="64"/>
      <c r="LVE20" s="64"/>
      <c r="LVF20" s="64"/>
      <c r="LVG20" s="64"/>
      <c r="LVH20" s="64"/>
      <c r="LVI20" s="64"/>
      <c r="LVJ20" s="64"/>
      <c r="LVK20" s="64"/>
      <c r="LVL20" s="64"/>
      <c r="LVM20" s="64"/>
      <c r="LVN20" s="64"/>
      <c r="LVO20" s="64"/>
      <c r="LVP20" s="64"/>
      <c r="LVQ20" s="64"/>
      <c r="LVR20" s="64"/>
      <c r="LVS20" s="64"/>
      <c r="LVT20" s="64"/>
      <c r="LVU20" s="64"/>
      <c r="LVV20" s="64"/>
      <c r="LVW20" s="64"/>
      <c r="LVX20" s="64"/>
      <c r="LVY20" s="64"/>
      <c r="LVZ20" s="64"/>
      <c r="LWA20" s="64"/>
      <c r="LWB20" s="64"/>
      <c r="LWC20" s="64"/>
      <c r="LWD20" s="64"/>
      <c r="LWE20" s="64"/>
      <c r="LWF20" s="64"/>
      <c r="LWG20" s="64"/>
      <c r="LWH20" s="64"/>
      <c r="LWI20" s="64"/>
      <c r="LWJ20" s="64"/>
      <c r="LWK20" s="64"/>
      <c r="LWL20" s="64"/>
      <c r="LWM20" s="64"/>
      <c r="LWN20" s="64"/>
      <c r="LWO20" s="64"/>
      <c r="LWP20" s="64"/>
      <c r="LWQ20" s="64"/>
      <c r="LWR20" s="64"/>
      <c r="LWS20" s="64"/>
      <c r="LWT20" s="64"/>
      <c r="LWU20" s="64"/>
      <c r="LWV20" s="64"/>
      <c r="LWW20" s="64"/>
      <c r="LWX20" s="64"/>
      <c r="LWY20" s="64"/>
      <c r="LWZ20" s="64"/>
      <c r="LXA20" s="64"/>
      <c r="LXB20" s="64"/>
      <c r="LXC20" s="64"/>
      <c r="LXD20" s="64"/>
      <c r="LXE20" s="64"/>
      <c r="LXF20" s="64"/>
      <c r="LXG20" s="64"/>
      <c r="LXH20" s="64"/>
      <c r="LXI20" s="64"/>
      <c r="LXJ20" s="64"/>
      <c r="LXK20" s="64"/>
      <c r="LXL20" s="64"/>
      <c r="LXM20" s="64"/>
      <c r="LXN20" s="64"/>
      <c r="LXO20" s="64"/>
      <c r="LXP20" s="64"/>
      <c r="LXQ20" s="64"/>
      <c r="LXR20" s="64"/>
      <c r="LXS20" s="64"/>
      <c r="LXT20" s="64"/>
      <c r="LXU20" s="64"/>
      <c r="LXV20" s="64"/>
      <c r="LXW20" s="64"/>
      <c r="LXX20" s="64"/>
      <c r="LXY20" s="64"/>
      <c r="LXZ20" s="64"/>
      <c r="LYA20" s="64"/>
      <c r="LYB20" s="64"/>
      <c r="LYC20" s="64"/>
      <c r="LYD20" s="64"/>
      <c r="LYE20" s="64"/>
      <c r="LYF20" s="64"/>
      <c r="LYG20" s="64"/>
      <c r="LYH20" s="64"/>
      <c r="LYI20" s="64"/>
      <c r="LYJ20" s="64"/>
      <c r="LYK20" s="64"/>
      <c r="LYL20" s="64"/>
      <c r="LYM20" s="64"/>
      <c r="LYN20" s="64"/>
      <c r="LYO20" s="64"/>
      <c r="LYP20" s="64"/>
      <c r="LYQ20" s="64"/>
      <c r="LYR20" s="64"/>
      <c r="LYS20" s="64"/>
      <c r="LYT20" s="64"/>
      <c r="LYU20" s="64"/>
      <c r="LYV20" s="64"/>
      <c r="LYW20" s="64"/>
      <c r="LYX20" s="64"/>
      <c r="LYY20" s="64"/>
      <c r="LYZ20" s="64"/>
      <c r="LZA20" s="64"/>
      <c r="LZB20" s="64"/>
      <c r="LZC20" s="64"/>
      <c r="LZD20" s="64"/>
      <c r="LZE20" s="64"/>
      <c r="LZF20" s="64"/>
      <c r="LZG20" s="64"/>
      <c r="LZH20" s="64"/>
      <c r="LZI20" s="64"/>
      <c r="LZJ20" s="64"/>
      <c r="LZK20" s="64"/>
      <c r="LZL20" s="64"/>
      <c r="LZM20" s="64"/>
      <c r="LZN20" s="64"/>
      <c r="LZO20" s="64"/>
      <c r="LZP20" s="64"/>
      <c r="LZQ20" s="64"/>
      <c r="LZR20" s="64"/>
      <c r="LZS20" s="64"/>
      <c r="LZT20" s="64"/>
      <c r="LZU20" s="64"/>
      <c r="LZV20" s="64"/>
      <c r="LZW20" s="64"/>
      <c r="LZX20" s="64"/>
      <c r="LZY20" s="64"/>
      <c r="LZZ20" s="64"/>
      <c r="MAA20" s="64"/>
      <c r="MAB20" s="64"/>
      <c r="MAC20" s="64"/>
      <c r="MAD20" s="64"/>
      <c r="MAE20" s="64"/>
      <c r="MAF20" s="64"/>
      <c r="MAG20" s="64"/>
      <c r="MAH20" s="64"/>
      <c r="MAI20" s="64"/>
      <c r="MAJ20" s="64"/>
      <c r="MAK20" s="64"/>
      <c r="MAL20" s="64"/>
      <c r="MAM20" s="64"/>
      <c r="MAN20" s="64"/>
      <c r="MAO20" s="64"/>
      <c r="MAP20" s="64"/>
      <c r="MAQ20" s="64"/>
      <c r="MAR20" s="64"/>
      <c r="MAS20" s="64"/>
      <c r="MAT20" s="64"/>
      <c r="MAU20" s="64"/>
      <c r="MAV20" s="64"/>
      <c r="MAW20" s="64"/>
      <c r="MAX20" s="64"/>
      <c r="MAY20" s="64"/>
      <c r="MAZ20" s="64"/>
      <c r="MBA20" s="64"/>
      <c r="MBB20" s="64"/>
      <c r="MBC20" s="64"/>
      <c r="MBD20" s="64"/>
      <c r="MBE20" s="64"/>
      <c r="MBF20" s="64"/>
      <c r="MBG20" s="64"/>
      <c r="MBH20" s="64"/>
      <c r="MBI20" s="64"/>
      <c r="MBJ20" s="64"/>
      <c r="MBK20" s="64"/>
      <c r="MBL20" s="64"/>
      <c r="MBM20" s="64"/>
      <c r="MBN20" s="64"/>
      <c r="MBO20" s="64"/>
      <c r="MBP20" s="64"/>
      <c r="MBQ20" s="64"/>
      <c r="MBR20" s="64"/>
      <c r="MBS20" s="64"/>
      <c r="MBT20" s="64"/>
      <c r="MBU20" s="64"/>
      <c r="MBV20" s="64"/>
      <c r="MBW20" s="64"/>
      <c r="MBX20" s="64"/>
      <c r="MBY20" s="64"/>
      <c r="MBZ20" s="64"/>
      <c r="MCA20" s="64"/>
      <c r="MCB20" s="64"/>
      <c r="MCC20" s="64"/>
      <c r="MCD20" s="64"/>
      <c r="MCE20" s="64"/>
      <c r="MCF20" s="64"/>
      <c r="MCG20" s="64"/>
      <c r="MCH20" s="64"/>
      <c r="MCI20" s="64"/>
      <c r="MCJ20" s="64"/>
      <c r="MCK20" s="64"/>
      <c r="MCL20" s="64"/>
      <c r="MCM20" s="64"/>
      <c r="MCN20" s="64"/>
      <c r="MCO20" s="64"/>
      <c r="MCP20" s="64"/>
      <c r="MCQ20" s="64"/>
      <c r="MCR20" s="64"/>
      <c r="MCS20" s="64"/>
      <c r="MCT20" s="64"/>
      <c r="MCU20" s="64"/>
      <c r="MCV20" s="64"/>
      <c r="MCW20" s="64"/>
      <c r="MCX20" s="64"/>
      <c r="MCY20" s="64"/>
      <c r="MCZ20" s="64"/>
      <c r="MDA20" s="64"/>
      <c r="MDB20" s="64"/>
      <c r="MDC20" s="64"/>
      <c r="MDD20" s="64"/>
      <c r="MDE20" s="64"/>
      <c r="MDF20" s="64"/>
      <c r="MDG20" s="64"/>
      <c r="MDH20" s="64"/>
      <c r="MDI20" s="64"/>
      <c r="MDJ20" s="64"/>
      <c r="MDK20" s="64"/>
      <c r="MDL20" s="64"/>
      <c r="MDM20" s="64"/>
      <c r="MDN20" s="64"/>
      <c r="MDO20" s="64"/>
      <c r="MDP20" s="64"/>
      <c r="MDQ20" s="64"/>
      <c r="MDR20" s="64"/>
      <c r="MDS20" s="64"/>
      <c r="MDT20" s="64"/>
      <c r="MDU20" s="64"/>
      <c r="MDV20" s="64"/>
      <c r="MDW20" s="64"/>
      <c r="MDX20" s="64"/>
      <c r="MDY20" s="64"/>
      <c r="MDZ20" s="64"/>
      <c r="MEA20" s="64"/>
      <c r="MEB20" s="64"/>
      <c r="MEC20" s="64"/>
      <c r="MED20" s="64"/>
      <c r="MEE20" s="64"/>
      <c r="MEF20" s="64"/>
      <c r="MEG20" s="64"/>
      <c r="MEH20" s="64"/>
      <c r="MEI20" s="64"/>
      <c r="MEJ20" s="64"/>
      <c r="MEK20" s="64"/>
      <c r="MEL20" s="64"/>
      <c r="MEM20" s="64"/>
      <c r="MEN20" s="64"/>
      <c r="MEO20" s="64"/>
      <c r="MEP20" s="64"/>
      <c r="MEQ20" s="64"/>
      <c r="MER20" s="64"/>
      <c r="MES20" s="64"/>
      <c r="MET20" s="64"/>
      <c r="MEU20" s="64"/>
      <c r="MEV20" s="64"/>
      <c r="MEW20" s="64"/>
      <c r="MEX20" s="64"/>
      <c r="MEY20" s="64"/>
      <c r="MEZ20" s="64"/>
      <c r="MFA20" s="64"/>
      <c r="MFB20" s="64"/>
      <c r="MFC20" s="64"/>
      <c r="MFD20" s="64"/>
      <c r="MFE20" s="64"/>
      <c r="MFF20" s="64"/>
      <c r="MFG20" s="64"/>
      <c r="MFH20" s="64"/>
      <c r="MFI20" s="64"/>
      <c r="MFJ20" s="64"/>
      <c r="MFK20" s="64"/>
      <c r="MFL20" s="64"/>
      <c r="MFM20" s="64"/>
      <c r="MFN20" s="64"/>
      <c r="MFO20" s="64"/>
      <c r="MFP20" s="64"/>
      <c r="MFQ20" s="64"/>
      <c r="MFR20" s="64"/>
      <c r="MFS20" s="64"/>
      <c r="MFT20" s="64"/>
      <c r="MFU20" s="64"/>
      <c r="MFV20" s="64"/>
      <c r="MFW20" s="64"/>
      <c r="MFX20" s="64"/>
      <c r="MFY20" s="64"/>
      <c r="MFZ20" s="64"/>
      <c r="MGA20" s="64"/>
      <c r="MGB20" s="64"/>
      <c r="MGC20" s="64"/>
      <c r="MGD20" s="64"/>
      <c r="MGE20" s="64"/>
      <c r="MGF20" s="64"/>
      <c r="MGG20" s="64"/>
      <c r="MGH20" s="64"/>
      <c r="MGI20" s="64"/>
      <c r="MGJ20" s="64"/>
      <c r="MGK20" s="64"/>
      <c r="MGL20" s="64"/>
      <c r="MGM20" s="64"/>
      <c r="MGN20" s="64"/>
      <c r="MGO20" s="64"/>
      <c r="MGP20" s="64"/>
      <c r="MGQ20" s="64"/>
      <c r="MGR20" s="64"/>
      <c r="MGS20" s="64"/>
      <c r="MGT20" s="64"/>
      <c r="MGU20" s="64"/>
      <c r="MGV20" s="64"/>
      <c r="MGW20" s="64"/>
      <c r="MGX20" s="64"/>
      <c r="MGY20" s="64"/>
      <c r="MGZ20" s="64"/>
      <c r="MHA20" s="64"/>
      <c r="MHB20" s="64"/>
      <c r="MHC20" s="64"/>
      <c r="MHD20" s="64"/>
      <c r="MHE20" s="64"/>
      <c r="MHF20" s="64"/>
      <c r="MHG20" s="64"/>
      <c r="MHH20" s="64"/>
      <c r="MHI20" s="64"/>
      <c r="MHJ20" s="64"/>
      <c r="MHK20" s="64"/>
      <c r="MHL20" s="64"/>
      <c r="MHM20" s="64"/>
      <c r="MHN20" s="64"/>
      <c r="MHO20" s="64"/>
      <c r="MHP20" s="64"/>
      <c r="MHQ20" s="64"/>
      <c r="MHR20" s="64"/>
      <c r="MHS20" s="64"/>
      <c r="MHT20" s="64"/>
      <c r="MHU20" s="64"/>
      <c r="MHV20" s="64"/>
      <c r="MHW20" s="64"/>
      <c r="MHX20" s="64"/>
      <c r="MHY20" s="64"/>
      <c r="MHZ20" s="64"/>
      <c r="MIA20" s="64"/>
      <c r="MIB20" s="64"/>
      <c r="MIC20" s="64"/>
      <c r="MID20" s="64"/>
      <c r="MIE20" s="64"/>
      <c r="MIF20" s="64"/>
      <c r="MIG20" s="64"/>
      <c r="MIH20" s="64"/>
      <c r="MII20" s="64"/>
      <c r="MIJ20" s="64"/>
      <c r="MIK20" s="64"/>
      <c r="MIL20" s="64"/>
      <c r="MIM20" s="64"/>
      <c r="MIN20" s="64"/>
      <c r="MIO20" s="64"/>
      <c r="MIP20" s="64"/>
      <c r="MIQ20" s="64"/>
      <c r="MIR20" s="64"/>
      <c r="MIS20" s="64"/>
      <c r="MIT20" s="64"/>
      <c r="MIU20" s="64"/>
      <c r="MIV20" s="64"/>
      <c r="MIW20" s="64"/>
      <c r="MIX20" s="64"/>
      <c r="MIY20" s="64"/>
      <c r="MIZ20" s="64"/>
      <c r="MJA20" s="64"/>
      <c r="MJB20" s="64"/>
      <c r="MJC20" s="64"/>
      <c r="MJD20" s="64"/>
      <c r="MJE20" s="64"/>
      <c r="MJF20" s="64"/>
      <c r="MJG20" s="64"/>
      <c r="MJH20" s="64"/>
      <c r="MJI20" s="64"/>
      <c r="MJJ20" s="64"/>
      <c r="MJK20" s="64"/>
      <c r="MJL20" s="64"/>
      <c r="MJM20" s="64"/>
      <c r="MJN20" s="64"/>
      <c r="MJO20" s="64"/>
      <c r="MJP20" s="64"/>
      <c r="MJQ20" s="64"/>
      <c r="MJR20" s="64"/>
      <c r="MJS20" s="64"/>
      <c r="MJT20" s="64"/>
      <c r="MJU20" s="64"/>
      <c r="MJV20" s="64"/>
      <c r="MJW20" s="64"/>
      <c r="MJX20" s="64"/>
      <c r="MJY20" s="64"/>
      <c r="MJZ20" s="64"/>
      <c r="MKA20" s="64"/>
      <c r="MKB20" s="64"/>
      <c r="MKC20" s="64"/>
      <c r="MKD20" s="64"/>
      <c r="MKE20" s="64"/>
      <c r="MKF20" s="64"/>
      <c r="MKG20" s="64"/>
      <c r="MKH20" s="64"/>
      <c r="MKI20" s="64"/>
      <c r="MKJ20" s="64"/>
      <c r="MKK20" s="64"/>
      <c r="MKL20" s="64"/>
      <c r="MKM20" s="64"/>
      <c r="MKN20" s="64"/>
      <c r="MKO20" s="64"/>
      <c r="MKP20" s="64"/>
      <c r="MKQ20" s="64"/>
      <c r="MKR20" s="64"/>
      <c r="MKS20" s="64"/>
      <c r="MKT20" s="64"/>
      <c r="MKU20" s="64"/>
      <c r="MKV20" s="64"/>
      <c r="MKW20" s="64"/>
      <c r="MKX20" s="64"/>
      <c r="MKY20" s="64"/>
      <c r="MKZ20" s="64"/>
      <c r="MLA20" s="64"/>
      <c r="MLB20" s="64"/>
      <c r="MLC20" s="64"/>
      <c r="MLD20" s="64"/>
      <c r="MLE20" s="64"/>
      <c r="MLF20" s="64"/>
      <c r="MLG20" s="64"/>
      <c r="MLH20" s="64"/>
      <c r="MLI20" s="64"/>
      <c r="MLJ20" s="64"/>
      <c r="MLK20" s="64"/>
      <c r="MLL20" s="64"/>
      <c r="MLM20" s="64"/>
      <c r="MLN20" s="64"/>
      <c r="MLO20" s="64"/>
      <c r="MLP20" s="64"/>
      <c r="MLQ20" s="64"/>
      <c r="MLR20" s="64"/>
      <c r="MLS20" s="64"/>
      <c r="MLT20" s="64"/>
      <c r="MLU20" s="64"/>
      <c r="MLV20" s="64"/>
      <c r="MLW20" s="64"/>
      <c r="MLX20" s="64"/>
      <c r="MLY20" s="64"/>
      <c r="MLZ20" s="64"/>
      <c r="MMA20" s="64"/>
      <c r="MMB20" s="64"/>
      <c r="MMC20" s="64"/>
      <c r="MMD20" s="64"/>
      <c r="MME20" s="64"/>
      <c r="MMF20" s="64"/>
      <c r="MMG20" s="64"/>
      <c r="MMH20" s="64"/>
      <c r="MMI20" s="64"/>
      <c r="MMJ20" s="64"/>
      <c r="MMK20" s="64"/>
      <c r="MML20" s="64"/>
      <c r="MMM20" s="64"/>
      <c r="MMN20" s="64"/>
      <c r="MMO20" s="64"/>
      <c r="MMP20" s="64"/>
      <c r="MMQ20" s="64"/>
      <c r="MMR20" s="64"/>
      <c r="MMS20" s="64"/>
      <c r="MMT20" s="64"/>
      <c r="MMU20" s="64"/>
      <c r="MMV20" s="64"/>
      <c r="MMW20" s="64"/>
      <c r="MMX20" s="64"/>
      <c r="MMY20" s="64"/>
      <c r="MMZ20" s="64"/>
      <c r="MNA20" s="64"/>
      <c r="MNB20" s="64"/>
      <c r="MNC20" s="64"/>
      <c r="MND20" s="64"/>
      <c r="MNE20" s="64"/>
      <c r="MNF20" s="64"/>
      <c r="MNG20" s="64"/>
      <c r="MNH20" s="64"/>
      <c r="MNI20" s="64"/>
      <c r="MNJ20" s="64"/>
      <c r="MNK20" s="64"/>
      <c r="MNL20" s="64"/>
      <c r="MNM20" s="64"/>
      <c r="MNN20" s="64"/>
      <c r="MNO20" s="64"/>
      <c r="MNP20" s="64"/>
      <c r="MNQ20" s="64"/>
      <c r="MNR20" s="64"/>
      <c r="MNS20" s="64"/>
      <c r="MNT20" s="64"/>
      <c r="MNU20" s="64"/>
      <c r="MNV20" s="64"/>
      <c r="MNW20" s="64"/>
      <c r="MNX20" s="64"/>
      <c r="MNY20" s="64"/>
      <c r="MNZ20" s="64"/>
      <c r="MOA20" s="64"/>
      <c r="MOB20" s="64"/>
      <c r="MOC20" s="64"/>
      <c r="MOD20" s="64"/>
      <c r="MOE20" s="64"/>
      <c r="MOF20" s="64"/>
      <c r="MOG20" s="64"/>
      <c r="MOH20" s="64"/>
      <c r="MOI20" s="64"/>
      <c r="MOJ20" s="64"/>
      <c r="MOK20" s="64"/>
      <c r="MOL20" s="64"/>
      <c r="MOM20" s="64"/>
      <c r="MON20" s="64"/>
      <c r="MOO20" s="64"/>
      <c r="MOP20" s="64"/>
      <c r="MOQ20" s="64"/>
      <c r="MOR20" s="64"/>
      <c r="MOS20" s="64"/>
      <c r="MOT20" s="64"/>
      <c r="MOU20" s="64"/>
      <c r="MOV20" s="64"/>
      <c r="MOW20" s="64"/>
      <c r="MOX20" s="64"/>
      <c r="MOY20" s="64"/>
      <c r="MOZ20" s="64"/>
      <c r="MPA20" s="64"/>
      <c r="MPB20" s="64"/>
      <c r="MPC20" s="64"/>
      <c r="MPD20" s="64"/>
      <c r="MPE20" s="64"/>
      <c r="MPF20" s="64"/>
      <c r="MPG20" s="64"/>
      <c r="MPH20" s="64"/>
      <c r="MPI20" s="64"/>
      <c r="MPJ20" s="64"/>
      <c r="MPK20" s="64"/>
      <c r="MPL20" s="64"/>
      <c r="MPM20" s="64"/>
      <c r="MPN20" s="64"/>
      <c r="MPO20" s="64"/>
      <c r="MPP20" s="64"/>
      <c r="MPQ20" s="64"/>
      <c r="MPR20" s="64"/>
      <c r="MPS20" s="64"/>
      <c r="MPT20" s="64"/>
      <c r="MPU20" s="64"/>
      <c r="MPV20" s="64"/>
      <c r="MPW20" s="64"/>
      <c r="MPX20" s="64"/>
      <c r="MPY20" s="64"/>
      <c r="MPZ20" s="64"/>
      <c r="MQA20" s="64"/>
      <c r="MQB20" s="64"/>
      <c r="MQC20" s="64"/>
      <c r="MQD20" s="64"/>
      <c r="MQE20" s="64"/>
      <c r="MQF20" s="64"/>
      <c r="MQG20" s="64"/>
      <c r="MQH20" s="64"/>
      <c r="MQI20" s="64"/>
      <c r="MQJ20" s="64"/>
      <c r="MQK20" s="64"/>
      <c r="MQL20" s="64"/>
      <c r="MQM20" s="64"/>
      <c r="MQN20" s="64"/>
      <c r="MQO20" s="64"/>
      <c r="MQP20" s="64"/>
      <c r="MQQ20" s="64"/>
      <c r="MQR20" s="64"/>
      <c r="MQS20" s="64"/>
      <c r="MQT20" s="64"/>
      <c r="MQU20" s="64"/>
      <c r="MQV20" s="64"/>
      <c r="MQW20" s="64"/>
      <c r="MQX20" s="64"/>
      <c r="MQY20" s="64"/>
      <c r="MQZ20" s="64"/>
      <c r="MRA20" s="64"/>
      <c r="MRB20" s="64"/>
      <c r="MRC20" s="64"/>
      <c r="MRD20" s="64"/>
      <c r="MRE20" s="64"/>
      <c r="MRF20" s="64"/>
      <c r="MRG20" s="64"/>
      <c r="MRH20" s="64"/>
      <c r="MRI20" s="64"/>
      <c r="MRJ20" s="64"/>
      <c r="MRK20" s="64"/>
      <c r="MRL20" s="64"/>
      <c r="MRM20" s="64"/>
      <c r="MRN20" s="64"/>
      <c r="MRO20" s="64"/>
      <c r="MRP20" s="64"/>
      <c r="MRQ20" s="64"/>
      <c r="MRR20" s="64"/>
      <c r="MRS20" s="64"/>
      <c r="MRT20" s="64"/>
      <c r="MRU20" s="64"/>
      <c r="MRV20" s="64"/>
      <c r="MRW20" s="64"/>
      <c r="MRX20" s="64"/>
      <c r="MRY20" s="64"/>
      <c r="MRZ20" s="64"/>
      <c r="MSA20" s="64"/>
      <c r="MSB20" s="64"/>
      <c r="MSC20" s="64"/>
      <c r="MSD20" s="64"/>
      <c r="MSE20" s="64"/>
      <c r="MSF20" s="64"/>
      <c r="MSG20" s="64"/>
      <c r="MSH20" s="64"/>
      <c r="MSI20" s="64"/>
      <c r="MSJ20" s="64"/>
      <c r="MSK20" s="64"/>
      <c r="MSL20" s="64"/>
      <c r="MSM20" s="64"/>
      <c r="MSN20" s="64"/>
      <c r="MSO20" s="64"/>
      <c r="MSP20" s="64"/>
      <c r="MSQ20" s="64"/>
      <c r="MSR20" s="64"/>
      <c r="MSS20" s="64"/>
      <c r="MST20" s="64"/>
      <c r="MSU20" s="64"/>
      <c r="MSV20" s="64"/>
      <c r="MSW20" s="64"/>
      <c r="MSX20" s="64"/>
      <c r="MSY20" s="64"/>
      <c r="MSZ20" s="64"/>
      <c r="MTA20" s="64"/>
      <c r="MTB20" s="64"/>
      <c r="MTC20" s="64"/>
      <c r="MTD20" s="64"/>
      <c r="MTE20" s="64"/>
      <c r="MTF20" s="64"/>
      <c r="MTG20" s="64"/>
      <c r="MTH20" s="64"/>
      <c r="MTI20" s="64"/>
      <c r="MTJ20" s="64"/>
      <c r="MTK20" s="64"/>
      <c r="MTL20" s="64"/>
      <c r="MTM20" s="64"/>
      <c r="MTN20" s="64"/>
      <c r="MTO20" s="64"/>
      <c r="MTP20" s="64"/>
      <c r="MTQ20" s="64"/>
      <c r="MTR20" s="64"/>
      <c r="MTS20" s="64"/>
      <c r="MTT20" s="64"/>
      <c r="MTU20" s="64"/>
      <c r="MTV20" s="64"/>
      <c r="MTW20" s="64"/>
      <c r="MTX20" s="64"/>
      <c r="MTY20" s="64"/>
      <c r="MTZ20" s="64"/>
      <c r="MUA20" s="64"/>
      <c r="MUB20" s="64"/>
      <c r="MUC20" s="64"/>
      <c r="MUD20" s="64"/>
      <c r="MUE20" s="64"/>
      <c r="MUF20" s="64"/>
      <c r="MUG20" s="64"/>
      <c r="MUH20" s="64"/>
      <c r="MUI20" s="64"/>
      <c r="MUJ20" s="64"/>
      <c r="MUK20" s="64"/>
      <c r="MUL20" s="64"/>
      <c r="MUM20" s="64"/>
      <c r="MUN20" s="64"/>
      <c r="MUO20" s="64"/>
      <c r="MUP20" s="64"/>
      <c r="MUQ20" s="64"/>
      <c r="MUR20" s="64"/>
      <c r="MUS20" s="64"/>
      <c r="MUT20" s="64"/>
      <c r="MUU20" s="64"/>
      <c r="MUV20" s="64"/>
      <c r="MUW20" s="64"/>
      <c r="MUX20" s="64"/>
      <c r="MUY20" s="64"/>
      <c r="MUZ20" s="64"/>
      <c r="MVA20" s="64"/>
      <c r="MVB20" s="64"/>
      <c r="MVC20" s="64"/>
      <c r="MVD20" s="64"/>
      <c r="MVE20" s="64"/>
      <c r="MVF20" s="64"/>
      <c r="MVG20" s="64"/>
      <c r="MVH20" s="64"/>
      <c r="MVI20" s="64"/>
      <c r="MVJ20" s="64"/>
      <c r="MVK20" s="64"/>
      <c r="MVL20" s="64"/>
      <c r="MVM20" s="64"/>
      <c r="MVN20" s="64"/>
      <c r="MVO20" s="64"/>
      <c r="MVP20" s="64"/>
      <c r="MVQ20" s="64"/>
      <c r="MVR20" s="64"/>
      <c r="MVS20" s="64"/>
      <c r="MVT20" s="64"/>
      <c r="MVU20" s="64"/>
      <c r="MVV20" s="64"/>
      <c r="MVW20" s="64"/>
      <c r="MVX20" s="64"/>
      <c r="MVY20" s="64"/>
      <c r="MVZ20" s="64"/>
      <c r="MWA20" s="64"/>
      <c r="MWB20" s="64"/>
      <c r="MWC20" s="64"/>
      <c r="MWD20" s="64"/>
      <c r="MWE20" s="64"/>
      <c r="MWF20" s="64"/>
      <c r="MWG20" s="64"/>
      <c r="MWH20" s="64"/>
      <c r="MWI20" s="64"/>
      <c r="MWJ20" s="64"/>
      <c r="MWK20" s="64"/>
      <c r="MWL20" s="64"/>
      <c r="MWM20" s="64"/>
      <c r="MWN20" s="64"/>
      <c r="MWO20" s="64"/>
      <c r="MWP20" s="64"/>
      <c r="MWQ20" s="64"/>
      <c r="MWR20" s="64"/>
      <c r="MWS20" s="64"/>
      <c r="MWT20" s="64"/>
      <c r="MWU20" s="64"/>
      <c r="MWV20" s="64"/>
      <c r="MWW20" s="64"/>
      <c r="MWX20" s="64"/>
      <c r="MWY20" s="64"/>
      <c r="MWZ20" s="64"/>
      <c r="MXA20" s="64"/>
      <c r="MXB20" s="64"/>
      <c r="MXC20" s="64"/>
      <c r="MXD20" s="64"/>
      <c r="MXE20" s="64"/>
      <c r="MXF20" s="64"/>
      <c r="MXG20" s="64"/>
      <c r="MXH20" s="64"/>
      <c r="MXI20" s="64"/>
      <c r="MXJ20" s="64"/>
      <c r="MXK20" s="64"/>
      <c r="MXL20" s="64"/>
      <c r="MXM20" s="64"/>
      <c r="MXN20" s="64"/>
      <c r="MXO20" s="64"/>
      <c r="MXP20" s="64"/>
      <c r="MXQ20" s="64"/>
      <c r="MXR20" s="64"/>
      <c r="MXS20" s="64"/>
      <c r="MXT20" s="64"/>
      <c r="MXU20" s="64"/>
      <c r="MXV20" s="64"/>
      <c r="MXW20" s="64"/>
      <c r="MXX20" s="64"/>
      <c r="MXY20" s="64"/>
      <c r="MXZ20" s="64"/>
      <c r="MYA20" s="64"/>
      <c r="MYB20" s="64"/>
      <c r="MYC20" s="64"/>
      <c r="MYD20" s="64"/>
      <c r="MYE20" s="64"/>
      <c r="MYF20" s="64"/>
      <c r="MYG20" s="64"/>
      <c r="MYH20" s="64"/>
      <c r="MYI20" s="64"/>
      <c r="MYJ20" s="64"/>
      <c r="MYK20" s="64"/>
      <c r="MYL20" s="64"/>
      <c r="MYM20" s="64"/>
      <c r="MYN20" s="64"/>
      <c r="MYO20" s="64"/>
      <c r="MYP20" s="64"/>
      <c r="MYQ20" s="64"/>
      <c r="MYR20" s="64"/>
      <c r="MYS20" s="64"/>
      <c r="MYT20" s="64"/>
      <c r="MYU20" s="64"/>
      <c r="MYV20" s="64"/>
      <c r="MYW20" s="64"/>
      <c r="MYX20" s="64"/>
      <c r="MYY20" s="64"/>
      <c r="MYZ20" s="64"/>
      <c r="MZA20" s="64"/>
      <c r="MZB20" s="64"/>
      <c r="MZC20" s="64"/>
      <c r="MZD20" s="64"/>
      <c r="MZE20" s="64"/>
      <c r="MZF20" s="64"/>
      <c r="MZG20" s="64"/>
      <c r="MZH20" s="64"/>
      <c r="MZI20" s="64"/>
      <c r="MZJ20" s="64"/>
      <c r="MZK20" s="64"/>
      <c r="MZL20" s="64"/>
      <c r="MZM20" s="64"/>
      <c r="MZN20" s="64"/>
      <c r="MZO20" s="64"/>
      <c r="MZP20" s="64"/>
      <c r="MZQ20" s="64"/>
      <c r="MZR20" s="64"/>
      <c r="MZS20" s="64"/>
      <c r="MZT20" s="64"/>
      <c r="MZU20" s="64"/>
      <c r="MZV20" s="64"/>
      <c r="MZW20" s="64"/>
      <c r="MZX20" s="64"/>
      <c r="MZY20" s="64"/>
      <c r="MZZ20" s="64"/>
      <c r="NAA20" s="64"/>
      <c r="NAB20" s="64"/>
      <c r="NAC20" s="64"/>
      <c r="NAD20" s="64"/>
      <c r="NAE20" s="64"/>
      <c r="NAF20" s="64"/>
      <c r="NAG20" s="64"/>
      <c r="NAH20" s="64"/>
      <c r="NAI20" s="64"/>
      <c r="NAJ20" s="64"/>
      <c r="NAK20" s="64"/>
      <c r="NAL20" s="64"/>
      <c r="NAM20" s="64"/>
      <c r="NAN20" s="64"/>
      <c r="NAO20" s="64"/>
      <c r="NAP20" s="64"/>
      <c r="NAQ20" s="64"/>
      <c r="NAR20" s="64"/>
      <c r="NAS20" s="64"/>
      <c r="NAT20" s="64"/>
      <c r="NAU20" s="64"/>
      <c r="NAV20" s="64"/>
      <c r="NAW20" s="64"/>
      <c r="NAX20" s="64"/>
      <c r="NAY20" s="64"/>
      <c r="NAZ20" s="64"/>
      <c r="NBA20" s="64"/>
      <c r="NBB20" s="64"/>
      <c r="NBC20" s="64"/>
      <c r="NBD20" s="64"/>
      <c r="NBE20" s="64"/>
      <c r="NBF20" s="64"/>
      <c r="NBG20" s="64"/>
      <c r="NBH20" s="64"/>
      <c r="NBI20" s="64"/>
      <c r="NBJ20" s="64"/>
      <c r="NBK20" s="64"/>
      <c r="NBL20" s="64"/>
      <c r="NBM20" s="64"/>
      <c r="NBN20" s="64"/>
      <c r="NBO20" s="64"/>
      <c r="NBP20" s="64"/>
      <c r="NBQ20" s="64"/>
      <c r="NBR20" s="64"/>
      <c r="NBS20" s="64"/>
      <c r="NBT20" s="64"/>
      <c r="NBU20" s="64"/>
      <c r="NBV20" s="64"/>
      <c r="NBW20" s="64"/>
      <c r="NBX20" s="64"/>
      <c r="NBY20" s="64"/>
      <c r="NBZ20" s="64"/>
      <c r="NCA20" s="64"/>
      <c r="NCB20" s="64"/>
      <c r="NCC20" s="64"/>
      <c r="NCD20" s="64"/>
      <c r="NCE20" s="64"/>
      <c r="NCF20" s="64"/>
      <c r="NCG20" s="64"/>
      <c r="NCH20" s="64"/>
      <c r="NCI20" s="64"/>
      <c r="NCJ20" s="64"/>
      <c r="NCK20" s="64"/>
      <c r="NCL20" s="64"/>
      <c r="NCM20" s="64"/>
      <c r="NCN20" s="64"/>
      <c r="NCO20" s="64"/>
      <c r="NCP20" s="64"/>
      <c r="NCQ20" s="64"/>
      <c r="NCR20" s="64"/>
      <c r="NCS20" s="64"/>
      <c r="NCT20" s="64"/>
      <c r="NCU20" s="64"/>
      <c r="NCV20" s="64"/>
      <c r="NCW20" s="64"/>
      <c r="NCX20" s="64"/>
      <c r="NCY20" s="64"/>
      <c r="NCZ20" s="64"/>
      <c r="NDA20" s="64"/>
      <c r="NDB20" s="64"/>
      <c r="NDC20" s="64"/>
      <c r="NDD20" s="64"/>
      <c r="NDE20" s="64"/>
      <c r="NDF20" s="64"/>
      <c r="NDG20" s="64"/>
      <c r="NDH20" s="64"/>
      <c r="NDI20" s="64"/>
      <c r="NDJ20" s="64"/>
      <c r="NDK20" s="64"/>
      <c r="NDL20" s="64"/>
      <c r="NDM20" s="64"/>
      <c r="NDN20" s="64"/>
      <c r="NDO20" s="64"/>
      <c r="NDP20" s="64"/>
      <c r="NDQ20" s="64"/>
      <c r="NDR20" s="64"/>
      <c r="NDS20" s="64"/>
      <c r="NDT20" s="64"/>
      <c r="NDU20" s="64"/>
      <c r="NDV20" s="64"/>
      <c r="NDW20" s="64"/>
      <c r="NDX20" s="64"/>
      <c r="NDY20" s="64"/>
      <c r="NDZ20" s="64"/>
      <c r="NEA20" s="64"/>
      <c r="NEB20" s="64"/>
      <c r="NEC20" s="64"/>
      <c r="NED20" s="64"/>
      <c r="NEE20" s="64"/>
      <c r="NEF20" s="64"/>
      <c r="NEG20" s="64"/>
      <c r="NEH20" s="64"/>
      <c r="NEI20" s="64"/>
      <c r="NEJ20" s="64"/>
      <c r="NEK20" s="64"/>
      <c r="NEL20" s="64"/>
      <c r="NEM20" s="64"/>
      <c r="NEN20" s="64"/>
      <c r="NEO20" s="64"/>
      <c r="NEP20" s="64"/>
      <c r="NEQ20" s="64"/>
      <c r="NER20" s="64"/>
      <c r="NES20" s="64"/>
      <c r="NET20" s="64"/>
      <c r="NEU20" s="64"/>
      <c r="NEV20" s="64"/>
      <c r="NEW20" s="64"/>
      <c r="NEX20" s="64"/>
      <c r="NEY20" s="64"/>
      <c r="NEZ20" s="64"/>
      <c r="NFA20" s="64"/>
      <c r="NFB20" s="64"/>
      <c r="NFC20" s="64"/>
      <c r="NFD20" s="64"/>
      <c r="NFE20" s="64"/>
      <c r="NFF20" s="64"/>
      <c r="NFG20" s="64"/>
      <c r="NFH20" s="64"/>
      <c r="NFI20" s="64"/>
      <c r="NFJ20" s="64"/>
      <c r="NFK20" s="64"/>
      <c r="NFL20" s="64"/>
      <c r="NFM20" s="64"/>
      <c r="NFN20" s="64"/>
      <c r="NFO20" s="64"/>
      <c r="NFP20" s="64"/>
      <c r="NFQ20" s="64"/>
      <c r="NFR20" s="64"/>
      <c r="NFS20" s="64"/>
      <c r="NFT20" s="64"/>
      <c r="NFU20" s="64"/>
      <c r="NFV20" s="64"/>
      <c r="NFW20" s="64"/>
      <c r="NFX20" s="64"/>
      <c r="NFY20" s="64"/>
      <c r="NFZ20" s="64"/>
      <c r="NGA20" s="64"/>
      <c r="NGB20" s="64"/>
      <c r="NGC20" s="64"/>
      <c r="NGD20" s="64"/>
      <c r="NGE20" s="64"/>
      <c r="NGF20" s="64"/>
      <c r="NGG20" s="64"/>
      <c r="NGH20" s="64"/>
      <c r="NGI20" s="64"/>
      <c r="NGJ20" s="64"/>
      <c r="NGK20" s="64"/>
      <c r="NGL20" s="64"/>
      <c r="NGM20" s="64"/>
      <c r="NGN20" s="64"/>
      <c r="NGO20" s="64"/>
      <c r="NGP20" s="64"/>
      <c r="NGQ20" s="64"/>
      <c r="NGR20" s="64"/>
      <c r="NGS20" s="64"/>
      <c r="NGT20" s="64"/>
      <c r="NGU20" s="64"/>
      <c r="NGV20" s="64"/>
      <c r="NGW20" s="64"/>
      <c r="NGX20" s="64"/>
      <c r="NGY20" s="64"/>
      <c r="NGZ20" s="64"/>
      <c r="NHA20" s="64"/>
      <c r="NHB20" s="64"/>
      <c r="NHC20" s="64"/>
      <c r="NHD20" s="64"/>
      <c r="NHE20" s="64"/>
      <c r="NHF20" s="64"/>
      <c r="NHG20" s="64"/>
      <c r="NHH20" s="64"/>
      <c r="NHI20" s="64"/>
      <c r="NHJ20" s="64"/>
      <c r="NHK20" s="64"/>
      <c r="NHL20" s="64"/>
      <c r="NHM20" s="64"/>
      <c r="NHN20" s="64"/>
      <c r="NHO20" s="64"/>
      <c r="NHP20" s="64"/>
      <c r="NHQ20" s="64"/>
      <c r="NHR20" s="64"/>
      <c r="NHS20" s="64"/>
      <c r="NHT20" s="64"/>
      <c r="NHU20" s="64"/>
      <c r="NHV20" s="64"/>
      <c r="NHW20" s="64"/>
      <c r="NHX20" s="64"/>
      <c r="NHY20" s="64"/>
      <c r="NHZ20" s="64"/>
      <c r="NIA20" s="64"/>
      <c r="NIB20" s="64"/>
      <c r="NIC20" s="64"/>
      <c r="NID20" s="64"/>
      <c r="NIE20" s="64"/>
      <c r="NIF20" s="64"/>
      <c r="NIG20" s="64"/>
      <c r="NIH20" s="64"/>
      <c r="NII20" s="64"/>
      <c r="NIJ20" s="64"/>
      <c r="NIK20" s="64"/>
      <c r="NIL20" s="64"/>
      <c r="NIM20" s="64"/>
      <c r="NIN20" s="64"/>
      <c r="NIO20" s="64"/>
      <c r="NIP20" s="64"/>
      <c r="NIQ20" s="64"/>
      <c r="NIR20" s="64"/>
      <c r="NIS20" s="64"/>
      <c r="NIT20" s="64"/>
      <c r="NIU20" s="64"/>
      <c r="NIV20" s="64"/>
      <c r="NIW20" s="64"/>
      <c r="NIX20" s="64"/>
      <c r="NIY20" s="64"/>
      <c r="NIZ20" s="64"/>
      <c r="NJA20" s="64"/>
      <c r="NJB20" s="64"/>
      <c r="NJC20" s="64"/>
      <c r="NJD20" s="64"/>
      <c r="NJE20" s="64"/>
      <c r="NJF20" s="64"/>
      <c r="NJG20" s="64"/>
      <c r="NJH20" s="64"/>
      <c r="NJI20" s="64"/>
      <c r="NJJ20" s="64"/>
      <c r="NJK20" s="64"/>
      <c r="NJL20" s="64"/>
      <c r="NJM20" s="64"/>
      <c r="NJN20" s="64"/>
      <c r="NJO20" s="64"/>
      <c r="NJP20" s="64"/>
      <c r="NJQ20" s="64"/>
      <c r="NJR20" s="64"/>
      <c r="NJS20" s="64"/>
      <c r="NJT20" s="64"/>
      <c r="NJU20" s="64"/>
      <c r="NJV20" s="64"/>
      <c r="NJW20" s="64"/>
      <c r="NJX20" s="64"/>
      <c r="NJY20" s="64"/>
      <c r="NJZ20" s="64"/>
      <c r="NKA20" s="64"/>
      <c r="NKB20" s="64"/>
      <c r="NKC20" s="64"/>
      <c r="NKD20" s="64"/>
      <c r="NKE20" s="64"/>
      <c r="NKF20" s="64"/>
      <c r="NKG20" s="64"/>
      <c r="NKH20" s="64"/>
      <c r="NKI20" s="64"/>
      <c r="NKJ20" s="64"/>
      <c r="NKK20" s="64"/>
      <c r="NKL20" s="64"/>
      <c r="NKM20" s="64"/>
      <c r="NKN20" s="64"/>
      <c r="NKO20" s="64"/>
      <c r="NKP20" s="64"/>
      <c r="NKQ20" s="64"/>
      <c r="NKR20" s="64"/>
      <c r="NKS20" s="64"/>
      <c r="NKT20" s="64"/>
      <c r="NKU20" s="64"/>
      <c r="NKV20" s="64"/>
      <c r="NKW20" s="64"/>
      <c r="NKX20" s="64"/>
      <c r="NKY20" s="64"/>
      <c r="NKZ20" s="64"/>
      <c r="NLA20" s="64"/>
      <c r="NLB20" s="64"/>
      <c r="NLC20" s="64"/>
      <c r="NLD20" s="64"/>
      <c r="NLE20" s="64"/>
      <c r="NLF20" s="64"/>
      <c r="NLG20" s="64"/>
      <c r="NLH20" s="64"/>
      <c r="NLI20" s="64"/>
      <c r="NLJ20" s="64"/>
      <c r="NLK20" s="64"/>
      <c r="NLL20" s="64"/>
      <c r="NLM20" s="64"/>
      <c r="NLN20" s="64"/>
      <c r="NLO20" s="64"/>
      <c r="NLP20" s="64"/>
      <c r="NLQ20" s="64"/>
      <c r="NLR20" s="64"/>
      <c r="NLS20" s="64"/>
      <c r="NLT20" s="64"/>
      <c r="NLU20" s="64"/>
      <c r="NLV20" s="64"/>
      <c r="NLW20" s="64"/>
      <c r="NLX20" s="64"/>
      <c r="NLY20" s="64"/>
      <c r="NLZ20" s="64"/>
      <c r="NMA20" s="64"/>
      <c r="NMB20" s="64"/>
      <c r="NMC20" s="64"/>
      <c r="NMD20" s="64"/>
      <c r="NME20" s="64"/>
      <c r="NMF20" s="64"/>
      <c r="NMG20" s="64"/>
      <c r="NMH20" s="64"/>
      <c r="NMI20" s="64"/>
      <c r="NMJ20" s="64"/>
      <c r="NMK20" s="64"/>
      <c r="NML20" s="64"/>
      <c r="NMM20" s="64"/>
      <c r="NMN20" s="64"/>
      <c r="NMO20" s="64"/>
      <c r="NMP20" s="64"/>
      <c r="NMQ20" s="64"/>
      <c r="NMR20" s="64"/>
      <c r="NMS20" s="64"/>
      <c r="NMT20" s="64"/>
      <c r="NMU20" s="64"/>
      <c r="NMV20" s="64"/>
      <c r="NMW20" s="64"/>
      <c r="NMX20" s="64"/>
      <c r="NMY20" s="64"/>
      <c r="NMZ20" s="64"/>
      <c r="NNA20" s="64"/>
      <c r="NNB20" s="64"/>
      <c r="NNC20" s="64"/>
      <c r="NND20" s="64"/>
      <c r="NNE20" s="64"/>
      <c r="NNF20" s="64"/>
      <c r="NNG20" s="64"/>
      <c r="NNH20" s="64"/>
      <c r="NNI20" s="64"/>
      <c r="NNJ20" s="64"/>
      <c r="NNK20" s="64"/>
      <c r="NNL20" s="64"/>
      <c r="NNM20" s="64"/>
      <c r="NNN20" s="64"/>
      <c r="NNO20" s="64"/>
      <c r="NNP20" s="64"/>
      <c r="NNQ20" s="64"/>
      <c r="NNR20" s="64"/>
      <c r="NNS20" s="64"/>
      <c r="NNT20" s="64"/>
      <c r="NNU20" s="64"/>
      <c r="NNV20" s="64"/>
      <c r="NNW20" s="64"/>
      <c r="NNX20" s="64"/>
      <c r="NNY20" s="64"/>
      <c r="NNZ20" s="64"/>
      <c r="NOA20" s="64"/>
      <c r="NOB20" s="64"/>
      <c r="NOC20" s="64"/>
      <c r="NOD20" s="64"/>
      <c r="NOE20" s="64"/>
      <c r="NOF20" s="64"/>
      <c r="NOG20" s="64"/>
      <c r="NOH20" s="64"/>
      <c r="NOI20" s="64"/>
      <c r="NOJ20" s="64"/>
      <c r="NOK20" s="64"/>
      <c r="NOL20" s="64"/>
      <c r="NOM20" s="64"/>
      <c r="NON20" s="64"/>
      <c r="NOO20" s="64"/>
      <c r="NOP20" s="64"/>
      <c r="NOQ20" s="64"/>
      <c r="NOR20" s="64"/>
      <c r="NOS20" s="64"/>
      <c r="NOT20" s="64"/>
      <c r="NOU20" s="64"/>
      <c r="NOV20" s="64"/>
      <c r="NOW20" s="64"/>
      <c r="NOX20" s="64"/>
      <c r="NOY20" s="64"/>
      <c r="NOZ20" s="64"/>
      <c r="NPA20" s="64"/>
      <c r="NPB20" s="64"/>
      <c r="NPC20" s="64"/>
      <c r="NPD20" s="64"/>
      <c r="NPE20" s="64"/>
      <c r="NPF20" s="64"/>
      <c r="NPG20" s="64"/>
      <c r="NPH20" s="64"/>
      <c r="NPI20" s="64"/>
      <c r="NPJ20" s="64"/>
      <c r="NPK20" s="64"/>
      <c r="NPL20" s="64"/>
      <c r="NPM20" s="64"/>
      <c r="NPN20" s="64"/>
      <c r="NPO20" s="64"/>
      <c r="NPP20" s="64"/>
      <c r="NPQ20" s="64"/>
      <c r="NPR20" s="64"/>
      <c r="NPS20" s="64"/>
      <c r="NPT20" s="64"/>
      <c r="NPU20" s="64"/>
      <c r="NPV20" s="64"/>
      <c r="NPW20" s="64"/>
      <c r="NPX20" s="64"/>
      <c r="NPY20" s="64"/>
      <c r="NPZ20" s="64"/>
      <c r="NQA20" s="64"/>
      <c r="NQB20" s="64"/>
      <c r="NQC20" s="64"/>
      <c r="NQD20" s="64"/>
      <c r="NQE20" s="64"/>
      <c r="NQF20" s="64"/>
      <c r="NQG20" s="64"/>
      <c r="NQH20" s="64"/>
      <c r="NQI20" s="64"/>
      <c r="NQJ20" s="64"/>
      <c r="NQK20" s="64"/>
      <c r="NQL20" s="64"/>
      <c r="NQM20" s="64"/>
      <c r="NQN20" s="64"/>
      <c r="NQO20" s="64"/>
      <c r="NQP20" s="64"/>
      <c r="NQQ20" s="64"/>
      <c r="NQR20" s="64"/>
      <c r="NQS20" s="64"/>
      <c r="NQT20" s="64"/>
      <c r="NQU20" s="64"/>
      <c r="NQV20" s="64"/>
      <c r="NQW20" s="64"/>
      <c r="NQX20" s="64"/>
      <c r="NQY20" s="64"/>
      <c r="NQZ20" s="64"/>
      <c r="NRA20" s="64"/>
      <c r="NRB20" s="64"/>
      <c r="NRC20" s="64"/>
      <c r="NRD20" s="64"/>
      <c r="NRE20" s="64"/>
      <c r="NRF20" s="64"/>
      <c r="NRG20" s="64"/>
      <c r="NRH20" s="64"/>
      <c r="NRI20" s="64"/>
      <c r="NRJ20" s="64"/>
      <c r="NRK20" s="64"/>
      <c r="NRL20" s="64"/>
      <c r="NRM20" s="64"/>
      <c r="NRN20" s="64"/>
      <c r="NRO20" s="64"/>
      <c r="NRP20" s="64"/>
      <c r="NRQ20" s="64"/>
      <c r="NRR20" s="64"/>
      <c r="NRS20" s="64"/>
      <c r="NRT20" s="64"/>
      <c r="NRU20" s="64"/>
      <c r="NRV20" s="64"/>
      <c r="NRW20" s="64"/>
      <c r="NRX20" s="64"/>
      <c r="NRY20" s="64"/>
      <c r="NRZ20" s="64"/>
      <c r="NSA20" s="64"/>
      <c r="NSB20" s="64"/>
      <c r="NSC20" s="64"/>
      <c r="NSD20" s="64"/>
      <c r="NSE20" s="64"/>
      <c r="NSF20" s="64"/>
      <c r="NSG20" s="64"/>
      <c r="NSH20" s="64"/>
      <c r="NSI20" s="64"/>
      <c r="NSJ20" s="64"/>
      <c r="NSK20" s="64"/>
      <c r="NSL20" s="64"/>
      <c r="NSM20" s="64"/>
      <c r="NSN20" s="64"/>
      <c r="NSO20" s="64"/>
      <c r="NSP20" s="64"/>
      <c r="NSQ20" s="64"/>
      <c r="NSR20" s="64"/>
      <c r="NSS20" s="64"/>
      <c r="NST20" s="64"/>
      <c r="NSU20" s="64"/>
      <c r="NSV20" s="64"/>
      <c r="NSW20" s="64"/>
      <c r="NSX20" s="64"/>
      <c r="NSY20" s="64"/>
      <c r="NSZ20" s="64"/>
      <c r="NTA20" s="64"/>
      <c r="NTB20" s="64"/>
      <c r="NTC20" s="64"/>
      <c r="NTD20" s="64"/>
      <c r="NTE20" s="64"/>
      <c r="NTF20" s="64"/>
      <c r="NTG20" s="64"/>
      <c r="NTH20" s="64"/>
      <c r="NTI20" s="64"/>
      <c r="NTJ20" s="64"/>
      <c r="NTK20" s="64"/>
      <c r="NTL20" s="64"/>
      <c r="NTM20" s="64"/>
      <c r="NTN20" s="64"/>
      <c r="NTO20" s="64"/>
      <c r="NTP20" s="64"/>
      <c r="NTQ20" s="64"/>
      <c r="NTR20" s="64"/>
      <c r="NTS20" s="64"/>
      <c r="NTT20" s="64"/>
      <c r="NTU20" s="64"/>
      <c r="NTV20" s="64"/>
      <c r="NTW20" s="64"/>
      <c r="NTX20" s="64"/>
      <c r="NTY20" s="64"/>
      <c r="NTZ20" s="64"/>
      <c r="NUA20" s="64"/>
      <c r="NUB20" s="64"/>
      <c r="NUC20" s="64"/>
      <c r="NUD20" s="64"/>
      <c r="NUE20" s="64"/>
      <c r="NUF20" s="64"/>
      <c r="NUG20" s="64"/>
      <c r="NUH20" s="64"/>
      <c r="NUI20" s="64"/>
      <c r="NUJ20" s="64"/>
      <c r="NUK20" s="64"/>
      <c r="NUL20" s="64"/>
      <c r="NUM20" s="64"/>
      <c r="NUN20" s="64"/>
      <c r="NUO20" s="64"/>
      <c r="NUP20" s="64"/>
      <c r="NUQ20" s="64"/>
      <c r="NUR20" s="64"/>
      <c r="NUS20" s="64"/>
      <c r="NUT20" s="64"/>
      <c r="NUU20" s="64"/>
      <c r="NUV20" s="64"/>
      <c r="NUW20" s="64"/>
      <c r="NUX20" s="64"/>
      <c r="NUY20" s="64"/>
      <c r="NUZ20" s="64"/>
      <c r="NVA20" s="64"/>
      <c r="NVB20" s="64"/>
      <c r="NVC20" s="64"/>
      <c r="NVD20" s="64"/>
      <c r="NVE20" s="64"/>
      <c r="NVF20" s="64"/>
      <c r="NVG20" s="64"/>
      <c r="NVH20" s="64"/>
      <c r="NVI20" s="64"/>
      <c r="NVJ20" s="64"/>
      <c r="NVK20" s="64"/>
      <c r="NVL20" s="64"/>
      <c r="NVM20" s="64"/>
      <c r="NVN20" s="64"/>
      <c r="NVO20" s="64"/>
      <c r="NVP20" s="64"/>
      <c r="NVQ20" s="64"/>
      <c r="NVR20" s="64"/>
      <c r="NVS20" s="64"/>
      <c r="NVT20" s="64"/>
      <c r="NVU20" s="64"/>
      <c r="NVV20" s="64"/>
      <c r="NVW20" s="64"/>
      <c r="NVX20" s="64"/>
      <c r="NVY20" s="64"/>
      <c r="NVZ20" s="64"/>
      <c r="NWA20" s="64"/>
      <c r="NWB20" s="64"/>
      <c r="NWC20" s="64"/>
      <c r="NWD20" s="64"/>
      <c r="NWE20" s="64"/>
      <c r="NWF20" s="64"/>
      <c r="NWG20" s="64"/>
      <c r="NWH20" s="64"/>
      <c r="NWI20" s="64"/>
      <c r="NWJ20" s="64"/>
      <c r="NWK20" s="64"/>
      <c r="NWL20" s="64"/>
      <c r="NWM20" s="64"/>
      <c r="NWN20" s="64"/>
      <c r="NWO20" s="64"/>
      <c r="NWP20" s="64"/>
      <c r="NWQ20" s="64"/>
      <c r="NWR20" s="64"/>
      <c r="NWS20" s="64"/>
      <c r="NWT20" s="64"/>
      <c r="NWU20" s="64"/>
      <c r="NWV20" s="64"/>
      <c r="NWW20" s="64"/>
      <c r="NWX20" s="64"/>
      <c r="NWY20" s="64"/>
      <c r="NWZ20" s="64"/>
      <c r="NXA20" s="64"/>
      <c r="NXB20" s="64"/>
      <c r="NXC20" s="64"/>
      <c r="NXD20" s="64"/>
      <c r="NXE20" s="64"/>
      <c r="NXF20" s="64"/>
      <c r="NXG20" s="64"/>
      <c r="NXH20" s="64"/>
      <c r="NXI20" s="64"/>
      <c r="NXJ20" s="64"/>
      <c r="NXK20" s="64"/>
      <c r="NXL20" s="64"/>
      <c r="NXM20" s="64"/>
      <c r="NXN20" s="64"/>
      <c r="NXO20" s="64"/>
      <c r="NXP20" s="64"/>
      <c r="NXQ20" s="64"/>
      <c r="NXR20" s="64"/>
      <c r="NXS20" s="64"/>
      <c r="NXT20" s="64"/>
      <c r="NXU20" s="64"/>
      <c r="NXV20" s="64"/>
      <c r="NXW20" s="64"/>
      <c r="NXX20" s="64"/>
      <c r="NXY20" s="64"/>
      <c r="NXZ20" s="64"/>
      <c r="NYA20" s="64"/>
      <c r="NYB20" s="64"/>
      <c r="NYC20" s="64"/>
      <c r="NYD20" s="64"/>
      <c r="NYE20" s="64"/>
      <c r="NYF20" s="64"/>
      <c r="NYG20" s="64"/>
      <c r="NYH20" s="64"/>
      <c r="NYI20" s="64"/>
      <c r="NYJ20" s="64"/>
      <c r="NYK20" s="64"/>
      <c r="NYL20" s="64"/>
      <c r="NYM20" s="64"/>
      <c r="NYN20" s="64"/>
      <c r="NYO20" s="64"/>
      <c r="NYP20" s="64"/>
      <c r="NYQ20" s="64"/>
      <c r="NYR20" s="64"/>
      <c r="NYS20" s="64"/>
      <c r="NYT20" s="64"/>
      <c r="NYU20" s="64"/>
      <c r="NYV20" s="64"/>
      <c r="NYW20" s="64"/>
      <c r="NYX20" s="64"/>
      <c r="NYY20" s="64"/>
      <c r="NYZ20" s="64"/>
      <c r="NZA20" s="64"/>
      <c r="NZB20" s="64"/>
      <c r="NZC20" s="64"/>
      <c r="NZD20" s="64"/>
      <c r="NZE20" s="64"/>
      <c r="NZF20" s="64"/>
      <c r="NZG20" s="64"/>
      <c r="NZH20" s="64"/>
      <c r="NZI20" s="64"/>
      <c r="NZJ20" s="64"/>
      <c r="NZK20" s="64"/>
      <c r="NZL20" s="64"/>
      <c r="NZM20" s="64"/>
      <c r="NZN20" s="64"/>
      <c r="NZO20" s="64"/>
      <c r="NZP20" s="64"/>
      <c r="NZQ20" s="64"/>
      <c r="NZR20" s="64"/>
      <c r="NZS20" s="64"/>
      <c r="NZT20" s="64"/>
      <c r="NZU20" s="64"/>
      <c r="NZV20" s="64"/>
      <c r="NZW20" s="64"/>
      <c r="NZX20" s="64"/>
      <c r="NZY20" s="64"/>
      <c r="NZZ20" s="64"/>
      <c r="OAA20" s="64"/>
      <c r="OAB20" s="64"/>
      <c r="OAC20" s="64"/>
      <c r="OAD20" s="64"/>
      <c r="OAE20" s="64"/>
      <c r="OAF20" s="64"/>
      <c r="OAG20" s="64"/>
      <c r="OAH20" s="64"/>
      <c r="OAI20" s="64"/>
      <c r="OAJ20" s="64"/>
      <c r="OAK20" s="64"/>
      <c r="OAL20" s="64"/>
      <c r="OAM20" s="64"/>
      <c r="OAN20" s="64"/>
      <c r="OAO20" s="64"/>
      <c r="OAP20" s="64"/>
      <c r="OAQ20" s="64"/>
      <c r="OAR20" s="64"/>
      <c r="OAS20" s="64"/>
      <c r="OAT20" s="64"/>
      <c r="OAU20" s="64"/>
      <c r="OAV20" s="64"/>
      <c r="OAW20" s="64"/>
      <c r="OAX20" s="64"/>
      <c r="OAY20" s="64"/>
      <c r="OAZ20" s="64"/>
      <c r="OBA20" s="64"/>
      <c r="OBB20" s="64"/>
      <c r="OBC20" s="64"/>
      <c r="OBD20" s="64"/>
      <c r="OBE20" s="64"/>
      <c r="OBF20" s="64"/>
      <c r="OBG20" s="64"/>
      <c r="OBH20" s="64"/>
      <c r="OBI20" s="64"/>
      <c r="OBJ20" s="64"/>
      <c r="OBK20" s="64"/>
      <c r="OBL20" s="64"/>
      <c r="OBM20" s="64"/>
      <c r="OBN20" s="64"/>
      <c r="OBO20" s="64"/>
      <c r="OBP20" s="64"/>
      <c r="OBQ20" s="64"/>
      <c r="OBR20" s="64"/>
      <c r="OBS20" s="64"/>
      <c r="OBT20" s="64"/>
      <c r="OBU20" s="64"/>
      <c r="OBV20" s="64"/>
      <c r="OBW20" s="64"/>
      <c r="OBX20" s="64"/>
      <c r="OBY20" s="64"/>
      <c r="OBZ20" s="64"/>
      <c r="OCA20" s="64"/>
      <c r="OCB20" s="64"/>
      <c r="OCC20" s="64"/>
      <c r="OCD20" s="64"/>
      <c r="OCE20" s="64"/>
      <c r="OCF20" s="64"/>
      <c r="OCG20" s="64"/>
      <c r="OCH20" s="64"/>
      <c r="OCI20" s="64"/>
      <c r="OCJ20" s="64"/>
      <c r="OCK20" s="64"/>
      <c r="OCL20" s="64"/>
      <c r="OCM20" s="64"/>
      <c r="OCN20" s="64"/>
      <c r="OCO20" s="64"/>
      <c r="OCP20" s="64"/>
      <c r="OCQ20" s="64"/>
      <c r="OCR20" s="64"/>
      <c r="OCS20" s="64"/>
      <c r="OCT20" s="64"/>
      <c r="OCU20" s="64"/>
      <c r="OCV20" s="64"/>
      <c r="OCW20" s="64"/>
      <c r="OCX20" s="64"/>
      <c r="OCY20" s="64"/>
      <c r="OCZ20" s="64"/>
      <c r="ODA20" s="64"/>
      <c r="ODB20" s="64"/>
      <c r="ODC20" s="64"/>
      <c r="ODD20" s="64"/>
      <c r="ODE20" s="64"/>
      <c r="ODF20" s="64"/>
      <c r="ODG20" s="64"/>
      <c r="ODH20" s="64"/>
      <c r="ODI20" s="64"/>
      <c r="ODJ20" s="64"/>
      <c r="ODK20" s="64"/>
      <c r="ODL20" s="64"/>
      <c r="ODM20" s="64"/>
      <c r="ODN20" s="64"/>
      <c r="ODO20" s="64"/>
      <c r="ODP20" s="64"/>
      <c r="ODQ20" s="64"/>
      <c r="ODR20" s="64"/>
      <c r="ODS20" s="64"/>
      <c r="ODT20" s="64"/>
      <c r="ODU20" s="64"/>
      <c r="ODV20" s="64"/>
      <c r="ODW20" s="64"/>
      <c r="ODX20" s="64"/>
      <c r="ODY20" s="64"/>
      <c r="ODZ20" s="64"/>
      <c r="OEA20" s="64"/>
      <c r="OEB20" s="64"/>
      <c r="OEC20" s="64"/>
      <c r="OED20" s="64"/>
      <c r="OEE20" s="64"/>
      <c r="OEF20" s="64"/>
      <c r="OEG20" s="64"/>
      <c r="OEH20" s="64"/>
      <c r="OEI20" s="64"/>
      <c r="OEJ20" s="64"/>
      <c r="OEK20" s="64"/>
      <c r="OEL20" s="64"/>
      <c r="OEM20" s="64"/>
      <c r="OEN20" s="64"/>
      <c r="OEO20" s="64"/>
      <c r="OEP20" s="64"/>
      <c r="OEQ20" s="64"/>
      <c r="OER20" s="64"/>
      <c r="OES20" s="64"/>
      <c r="OET20" s="64"/>
      <c r="OEU20" s="64"/>
      <c r="OEV20" s="64"/>
      <c r="OEW20" s="64"/>
      <c r="OEX20" s="64"/>
      <c r="OEY20" s="64"/>
      <c r="OEZ20" s="64"/>
      <c r="OFA20" s="64"/>
      <c r="OFB20" s="64"/>
      <c r="OFC20" s="64"/>
      <c r="OFD20" s="64"/>
      <c r="OFE20" s="64"/>
      <c r="OFF20" s="64"/>
      <c r="OFG20" s="64"/>
      <c r="OFH20" s="64"/>
      <c r="OFI20" s="64"/>
      <c r="OFJ20" s="64"/>
      <c r="OFK20" s="64"/>
      <c r="OFL20" s="64"/>
      <c r="OFM20" s="64"/>
      <c r="OFN20" s="64"/>
      <c r="OFO20" s="64"/>
      <c r="OFP20" s="64"/>
      <c r="OFQ20" s="64"/>
      <c r="OFR20" s="64"/>
      <c r="OFS20" s="64"/>
      <c r="OFT20" s="64"/>
      <c r="OFU20" s="64"/>
      <c r="OFV20" s="64"/>
      <c r="OFW20" s="64"/>
      <c r="OFX20" s="64"/>
      <c r="OFY20" s="64"/>
      <c r="OFZ20" s="64"/>
      <c r="OGA20" s="64"/>
      <c r="OGB20" s="64"/>
      <c r="OGC20" s="64"/>
      <c r="OGD20" s="64"/>
      <c r="OGE20" s="64"/>
      <c r="OGF20" s="64"/>
      <c r="OGG20" s="64"/>
      <c r="OGH20" s="64"/>
      <c r="OGI20" s="64"/>
      <c r="OGJ20" s="64"/>
      <c r="OGK20" s="64"/>
      <c r="OGL20" s="64"/>
      <c r="OGM20" s="64"/>
      <c r="OGN20" s="64"/>
      <c r="OGO20" s="64"/>
      <c r="OGP20" s="64"/>
      <c r="OGQ20" s="64"/>
      <c r="OGR20" s="64"/>
      <c r="OGS20" s="64"/>
      <c r="OGT20" s="64"/>
      <c r="OGU20" s="64"/>
      <c r="OGV20" s="64"/>
      <c r="OGW20" s="64"/>
      <c r="OGX20" s="64"/>
      <c r="OGY20" s="64"/>
      <c r="OGZ20" s="64"/>
      <c r="OHA20" s="64"/>
      <c r="OHB20" s="64"/>
      <c r="OHC20" s="64"/>
      <c r="OHD20" s="64"/>
      <c r="OHE20" s="64"/>
      <c r="OHF20" s="64"/>
      <c r="OHG20" s="64"/>
      <c r="OHH20" s="64"/>
      <c r="OHI20" s="64"/>
      <c r="OHJ20" s="64"/>
      <c r="OHK20" s="64"/>
      <c r="OHL20" s="64"/>
      <c r="OHM20" s="64"/>
      <c r="OHN20" s="64"/>
      <c r="OHO20" s="64"/>
      <c r="OHP20" s="64"/>
      <c r="OHQ20" s="64"/>
      <c r="OHR20" s="64"/>
      <c r="OHS20" s="64"/>
      <c r="OHT20" s="64"/>
      <c r="OHU20" s="64"/>
      <c r="OHV20" s="64"/>
      <c r="OHW20" s="64"/>
      <c r="OHX20" s="64"/>
      <c r="OHY20" s="64"/>
      <c r="OHZ20" s="64"/>
      <c r="OIA20" s="64"/>
      <c r="OIB20" s="64"/>
      <c r="OIC20" s="64"/>
      <c r="OID20" s="64"/>
      <c r="OIE20" s="64"/>
      <c r="OIF20" s="64"/>
      <c r="OIG20" s="64"/>
      <c r="OIH20" s="64"/>
      <c r="OII20" s="64"/>
      <c r="OIJ20" s="64"/>
      <c r="OIK20" s="64"/>
      <c r="OIL20" s="64"/>
      <c r="OIM20" s="64"/>
      <c r="OIN20" s="64"/>
      <c r="OIO20" s="64"/>
      <c r="OIP20" s="64"/>
      <c r="OIQ20" s="64"/>
      <c r="OIR20" s="64"/>
      <c r="OIS20" s="64"/>
      <c r="OIT20" s="64"/>
      <c r="OIU20" s="64"/>
      <c r="OIV20" s="64"/>
      <c r="OIW20" s="64"/>
      <c r="OIX20" s="64"/>
      <c r="OIY20" s="64"/>
      <c r="OIZ20" s="64"/>
      <c r="OJA20" s="64"/>
      <c r="OJB20" s="64"/>
      <c r="OJC20" s="64"/>
      <c r="OJD20" s="64"/>
      <c r="OJE20" s="64"/>
      <c r="OJF20" s="64"/>
      <c r="OJG20" s="64"/>
      <c r="OJH20" s="64"/>
      <c r="OJI20" s="64"/>
      <c r="OJJ20" s="64"/>
      <c r="OJK20" s="64"/>
      <c r="OJL20" s="64"/>
      <c r="OJM20" s="64"/>
      <c r="OJN20" s="64"/>
      <c r="OJO20" s="64"/>
      <c r="OJP20" s="64"/>
      <c r="OJQ20" s="64"/>
      <c r="OJR20" s="64"/>
      <c r="OJS20" s="64"/>
      <c r="OJT20" s="64"/>
      <c r="OJU20" s="64"/>
      <c r="OJV20" s="64"/>
      <c r="OJW20" s="64"/>
      <c r="OJX20" s="64"/>
      <c r="OJY20" s="64"/>
      <c r="OJZ20" s="64"/>
      <c r="OKA20" s="64"/>
      <c r="OKB20" s="64"/>
      <c r="OKC20" s="64"/>
      <c r="OKD20" s="64"/>
      <c r="OKE20" s="64"/>
      <c r="OKF20" s="64"/>
      <c r="OKG20" s="64"/>
      <c r="OKH20" s="64"/>
      <c r="OKI20" s="64"/>
      <c r="OKJ20" s="64"/>
      <c r="OKK20" s="64"/>
      <c r="OKL20" s="64"/>
      <c r="OKM20" s="64"/>
      <c r="OKN20" s="64"/>
      <c r="OKO20" s="64"/>
      <c r="OKP20" s="64"/>
      <c r="OKQ20" s="64"/>
      <c r="OKR20" s="64"/>
      <c r="OKS20" s="64"/>
      <c r="OKT20" s="64"/>
      <c r="OKU20" s="64"/>
      <c r="OKV20" s="64"/>
      <c r="OKW20" s="64"/>
      <c r="OKX20" s="64"/>
      <c r="OKY20" s="64"/>
      <c r="OKZ20" s="64"/>
      <c r="OLA20" s="64"/>
      <c r="OLB20" s="64"/>
      <c r="OLC20" s="64"/>
      <c r="OLD20" s="64"/>
      <c r="OLE20" s="64"/>
      <c r="OLF20" s="64"/>
      <c r="OLG20" s="64"/>
      <c r="OLH20" s="64"/>
      <c r="OLI20" s="64"/>
      <c r="OLJ20" s="64"/>
      <c r="OLK20" s="64"/>
      <c r="OLL20" s="64"/>
      <c r="OLM20" s="64"/>
      <c r="OLN20" s="64"/>
      <c r="OLO20" s="64"/>
      <c r="OLP20" s="64"/>
      <c r="OLQ20" s="64"/>
      <c r="OLR20" s="64"/>
      <c r="OLS20" s="64"/>
      <c r="OLT20" s="64"/>
      <c r="OLU20" s="64"/>
      <c r="OLV20" s="64"/>
      <c r="OLW20" s="64"/>
      <c r="OLX20" s="64"/>
      <c r="OLY20" s="64"/>
      <c r="OLZ20" s="64"/>
      <c r="OMA20" s="64"/>
      <c r="OMB20" s="64"/>
      <c r="OMC20" s="64"/>
      <c r="OMD20" s="64"/>
      <c r="OME20" s="64"/>
      <c r="OMF20" s="64"/>
      <c r="OMG20" s="64"/>
      <c r="OMH20" s="64"/>
      <c r="OMI20" s="64"/>
      <c r="OMJ20" s="64"/>
      <c r="OMK20" s="64"/>
      <c r="OML20" s="64"/>
      <c r="OMM20" s="64"/>
      <c r="OMN20" s="64"/>
      <c r="OMO20" s="64"/>
      <c r="OMP20" s="64"/>
      <c r="OMQ20" s="64"/>
      <c r="OMR20" s="64"/>
      <c r="OMS20" s="64"/>
      <c r="OMT20" s="64"/>
      <c r="OMU20" s="64"/>
      <c r="OMV20" s="64"/>
      <c r="OMW20" s="64"/>
      <c r="OMX20" s="64"/>
      <c r="OMY20" s="64"/>
      <c r="OMZ20" s="64"/>
      <c r="ONA20" s="64"/>
      <c r="ONB20" s="64"/>
      <c r="ONC20" s="64"/>
      <c r="OND20" s="64"/>
      <c r="ONE20" s="64"/>
      <c r="ONF20" s="64"/>
      <c r="ONG20" s="64"/>
      <c r="ONH20" s="64"/>
      <c r="ONI20" s="64"/>
      <c r="ONJ20" s="64"/>
      <c r="ONK20" s="64"/>
      <c r="ONL20" s="64"/>
      <c r="ONM20" s="64"/>
      <c r="ONN20" s="64"/>
      <c r="ONO20" s="64"/>
      <c r="ONP20" s="64"/>
      <c r="ONQ20" s="64"/>
      <c r="ONR20" s="64"/>
      <c r="ONS20" s="64"/>
      <c r="ONT20" s="64"/>
      <c r="ONU20" s="64"/>
      <c r="ONV20" s="64"/>
      <c r="ONW20" s="64"/>
      <c r="ONX20" s="64"/>
      <c r="ONY20" s="64"/>
      <c r="ONZ20" s="64"/>
      <c r="OOA20" s="64"/>
      <c r="OOB20" s="64"/>
      <c r="OOC20" s="64"/>
      <c r="OOD20" s="64"/>
      <c r="OOE20" s="64"/>
      <c r="OOF20" s="64"/>
      <c r="OOG20" s="64"/>
      <c r="OOH20" s="64"/>
      <c r="OOI20" s="64"/>
      <c r="OOJ20" s="64"/>
      <c r="OOK20" s="64"/>
      <c r="OOL20" s="64"/>
      <c r="OOM20" s="64"/>
      <c r="OON20" s="64"/>
      <c r="OOO20" s="64"/>
      <c r="OOP20" s="64"/>
      <c r="OOQ20" s="64"/>
      <c r="OOR20" s="64"/>
      <c r="OOS20" s="64"/>
      <c r="OOT20" s="64"/>
      <c r="OOU20" s="64"/>
      <c r="OOV20" s="64"/>
      <c r="OOW20" s="64"/>
      <c r="OOX20" s="64"/>
      <c r="OOY20" s="64"/>
      <c r="OOZ20" s="64"/>
      <c r="OPA20" s="64"/>
      <c r="OPB20" s="64"/>
      <c r="OPC20" s="64"/>
      <c r="OPD20" s="64"/>
      <c r="OPE20" s="64"/>
      <c r="OPF20" s="64"/>
      <c r="OPG20" s="64"/>
      <c r="OPH20" s="64"/>
      <c r="OPI20" s="64"/>
      <c r="OPJ20" s="64"/>
      <c r="OPK20" s="64"/>
      <c r="OPL20" s="64"/>
      <c r="OPM20" s="64"/>
      <c r="OPN20" s="64"/>
      <c r="OPO20" s="64"/>
      <c r="OPP20" s="64"/>
      <c r="OPQ20" s="64"/>
      <c r="OPR20" s="64"/>
      <c r="OPS20" s="64"/>
      <c r="OPT20" s="64"/>
      <c r="OPU20" s="64"/>
      <c r="OPV20" s="64"/>
      <c r="OPW20" s="64"/>
      <c r="OPX20" s="64"/>
      <c r="OPY20" s="64"/>
      <c r="OPZ20" s="64"/>
      <c r="OQA20" s="64"/>
      <c r="OQB20" s="64"/>
      <c r="OQC20" s="64"/>
      <c r="OQD20" s="64"/>
      <c r="OQE20" s="64"/>
      <c r="OQF20" s="64"/>
      <c r="OQG20" s="64"/>
      <c r="OQH20" s="64"/>
      <c r="OQI20" s="64"/>
      <c r="OQJ20" s="64"/>
      <c r="OQK20" s="64"/>
      <c r="OQL20" s="64"/>
      <c r="OQM20" s="64"/>
      <c r="OQN20" s="64"/>
      <c r="OQO20" s="64"/>
      <c r="OQP20" s="64"/>
      <c r="OQQ20" s="64"/>
      <c r="OQR20" s="64"/>
      <c r="OQS20" s="64"/>
      <c r="OQT20" s="64"/>
      <c r="OQU20" s="64"/>
      <c r="OQV20" s="64"/>
      <c r="OQW20" s="64"/>
      <c r="OQX20" s="64"/>
      <c r="OQY20" s="64"/>
      <c r="OQZ20" s="64"/>
      <c r="ORA20" s="64"/>
      <c r="ORB20" s="64"/>
      <c r="ORC20" s="64"/>
      <c r="ORD20" s="64"/>
      <c r="ORE20" s="64"/>
      <c r="ORF20" s="64"/>
      <c r="ORG20" s="64"/>
      <c r="ORH20" s="64"/>
      <c r="ORI20" s="64"/>
      <c r="ORJ20" s="64"/>
      <c r="ORK20" s="64"/>
      <c r="ORL20" s="64"/>
      <c r="ORM20" s="64"/>
      <c r="ORN20" s="64"/>
      <c r="ORO20" s="64"/>
      <c r="ORP20" s="64"/>
      <c r="ORQ20" s="64"/>
      <c r="ORR20" s="64"/>
      <c r="ORS20" s="64"/>
      <c r="ORT20" s="64"/>
      <c r="ORU20" s="64"/>
      <c r="ORV20" s="64"/>
      <c r="ORW20" s="64"/>
      <c r="ORX20" s="64"/>
      <c r="ORY20" s="64"/>
      <c r="ORZ20" s="64"/>
      <c r="OSA20" s="64"/>
      <c r="OSB20" s="64"/>
      <c r="OSC20" s="64"/>
      <c r="OSD20" s="64"/>
      <c r="OSE20" s="64"/>
      <c r="OSF20" s="64"/>
      <c r="OSG20" s="64"/>
      <c r="OSH20" s="64"/>
      <c r="OSI20" s="64"/>
      <c r="OSJ20" s="64"/>
      <c r="OSK20" s="64"/>
      <c r="OSL20" s="64"/>
      <c r="OSM20" s="64"/>
      <c r="OSN20" s="64"/>
      <c r="OSO20" s="64"/>
      <c r="OSP20" s="64"/>
      <c r="OSQ20" s="64"/>
      <c r="OSR20" s="64"/>
      <c r="OSS20" s="64"/>
      <c r="OST20" s="64"/>
      <c r="OSU20" s="64"/>
      <c r="OSV20" s="64"/>
      <c r="OSW20" s="64"/>
      <c r="OSX20" s="64"/>
      <c r="OSY20" s="64"/>
      <c r="OSZ20" s="64"/>
      <c r="OTA20" s="64"/>
      <c r="OTB20" s="64"/>
      <c r="OTC20" s="64"/>
      <c r="OTD20" s="64"/>
      <c r="OTE20" s="64"/>
      <c r="OTF20" s="64"/>
      <c r="OTG20" s="64"/>
      <c r="OTH20" s="64"/>
      <c r="OTI20" s="64"/>
      <c r="OTJ20" s="64"/>
      <c r="OTK20" s="64"/>
      <c r="OTL20" s="64"/>
      <c r="OTM20" s="64"/>
      <c r="OTN20" s="64"/>
      <c r="OTO20" s="64"/>
      <c r="OTP20" s="64"/>
      <c r="OTQ20" s="64"/>
      <c r="OTR20" s="64"/>
      <c r="OTS20" s="64"/>
      <c r="OTT20" s="64"/>
      <c r="OTU20" s="64"/>
      <c r="OTV20" s="64"/>
      <c r="OTW20" s="64"/>
      <c r="OTX20" s="64"/>
      <c r="OTY20" s="64"/>
      <c r="OTZ20" s="64"/>
      <c r="OUA20" s="64"/>
      <c r="OUB20" s="64"/>
      <c r="OUC20" s="64"/>
      <c r="OUD20" s="64"/>
      <c r="OUE20" s="64"/>
      <c r="OUF20" s="64"/>
      <c r="OUG20" s="64"/>
      <c r="OUH20" s="64"/>
      <c r="OUI20" s="64"/>
      <c r="OUJ20" s="64"/>
      <c r="OUK20" s="64"/>
      <c r="OUL20" s="64"/>
      <c r="OUM20" s="64"/>
      <c r="OUN20" s="64"/>
      <c r="OUO20" s="64"/>
      <c r="OUP20" s="64"/>
      <c r="OUQ20" s="64"/>
      <c r="OUR20" s="64"/>
      <c r="OUS20" s="64"/>
      <c r="OUT20" s="64"/>
      <c r="OUU20" s="64"/>
      <c r="OUV20" s="64"/>
      <c r="OUW20" s="64"/>
      <c r="OUX20" s="64"/>
      <c r="OUY20" s="64"/>
      <c r="OUZ20" s="64"/>
      <c r="OVA20" s="64"/>
      <c r="OVB20" s="64"/>
      <c r="OVC20" s="64"/>
      <c r="OVD20" s="64"/>
      <c r="OVE20" s="64"/>
      <c r="OVF20" s="64"/>
      <c r="OVG20" s="64"/>
      <c r="OVH20" s="64"/>
      <c r="OVI20" s="64"/>
      <c r="OVJ20" s="64"/>
      <c r="OVK20" s="64"/>
      <c r="OVL20" s="64"/>
      <c r="OVM20" s="64"/>
      <c r="OVN20" s="64"/>
      <c r="OVO20" s="64"/>
      <c r="OVP20" s="64"/>
      <c r="OVQ20" s="64"/>
      <c r="OVR20" s="64"/>
      <c r="OVS20" s="64"/>
      <c r="OVT20" s="64"/>
      <c r="OVU20" s="64"/>
      <c r="OVV20" s="64"/>
      <c r="OVW20" s="64"/>
      <c r="OVX20" s="64"/>
      <c r="OVY20" s="64"/>
      <c r="OVZ20" s="64"/>
      <c r="OWA20" s="64"/>
      <c r="OWB20" s="64"/>
      <c r="OWC20" s="64"/>
      <c r="OWD20" s="64"/>
      <c r="OWE20" s="64"/>
      <c r="OWF20" s="64"/>
      <c r="OWG20" s="64"/>
      <c r="OWH20" s="64"/>
      <c r="OWI20" s="64"/>
      <c r="OWJ20" s="64"/>
      <c r="OWK20" s="64"/>
      <c r="OWL20" s="64"/>
      <c r="OWM20" s="64"/>
      <c r="OWN20" s="64"/>
      <c r="OWO20" s="64"/>
      <c r="OWP20" s="64"/>
      <c r="OWQ20" s="64"/>
      <c r="OWR20" s="64"/>
      <c r="OWS20" s="64"/>
      <c r="OWT20" s="64"/>
      <c r="OWU20" s="64"/>
      <c r="OWV20" s="64"/>
      <c r="OWW20" s="64"/>
      <c r="OWX20" s="64"/>
      <c r="OWY20" s="64"/>
      <c r="OWZ20" s="64"/>
      <c r="OXA20" s="64"/>
      <c r="OXB20" s="64"/>
      <c r="OXC20" s="64"/>
      <c r="OXD20" s="64"/>
      <c r="OXE20" s="64"/>
      <c r="OXF20" s="64"/>
      <c r="OXG20" s="64"/>
      <c r="OXH20" s="64"/>
      <c r="OXI20" s="64"/>
      <c r="OXJ20" s="64"/>
      <c r="OXK20" s="64"/>
      <c r="OXL20" s="64"/>
      <c r="OXM20" s="64"/>
      <c r="OXN20" s="64"/>
      <c r="OXO20" s="64"/>
      <c r="OXP20" s="64"/>
      <c r="OXQ20" s="64"/>
      <c r="OXR20" s="64"/>
      <c r="OXS20" s="64"/>
      <c r="OXT20" s="64"/>
      <c r="OXU20" s="64"/>
      <c r="OXV20" s="64"/>
      <c r="OXW20" s="64"/>
      <c r="OXX20" s="64"/>
      <c r="OXY20" s="64"/>
      <c r="OXZ20" s="64"/>
      <c r="OYA20" s="64"/>
      <c r="OYB20" s="64"/>
      <c r="OYC20" s="64"/>
      <c r="OYD20" s="64"/>
      <c r="OYE20" s="64"/>
      <c r="OYF20" s="64"/>
      <c r="OYG20" s="64"/>
      <c r="OYH20" s="64"/>
      <c r="OYI20" s="64"/>
      <c r="OYJ20" s="64"/>
      <c r="OYK20" s="64"/>
      <c r="OYL20" s="64"/>
      <c r="OYM20" s="64"/>
      <c r="OYN20" s="64"/>
      <c r="OYO20" s="64"/>
      <c r="OYP20" s="64"/>
      <c r="OYQ20" s="64"/>
      <c r="OYR20" s="64"/>
      <c r="OYS20" s="64"/>
      <c r="OYT20" s="64"/>
      <c r="OYU20" s="64"/>
      <c r="OYV20" s="64"/>
      <c r="OYW20" s="64"/>
      <c r="OYX20" s="64"/>
      <c r="OYY20" s="64"/>
      <c r="OYZ20" s="64"/>
      <c r="OZA20" s="64"/>
      <c r="OZB20" s="64"/>
      <c r="OZC20" s="64"/>
      <c r="OZD20" s="64"/>
      <c r="OZE20" s="64"/>
      <c r="OZF20" s="64"/>
      <c r="OZG20" s="64"/>
      <c r="OZH20" s="64"/>
      <c r="OZI20" s="64"/>
      <c r="OZJ20" s="64"/>
      <c r="OZK20" s="64"/>
      <c r="OZL20" s="64"/>
      <c r="OZM20" s="64"/>
      <c r="OZN20" s="64"/>
      <c r="OZO20" s="64"/>
      <c r="OZP20" s="64"/>
      <c r="OZQ20" s="64"/>
      <c r="OZR20" s="64"/>
      <c r="OZS20" s="64"/>
      <c r="OZT20" s="64"/>
      <c r="OZU20" s="64"/>
      <c r="OZV20" s="64"/>
      <c r="OZW20" s="64"/>
      <c r="OZX20" s="64"/>
      <c r="OZY20" s="64"/>
      <c r="OZZ20" s="64"/>
      <c r="PAA20" s="64"/>
      <c r="PAB20" s="64"/>
      <c r="PAC20" s="64"/>
      <c r="PAD20" s="64"/>
      <c r="PAE20" s="64"/>
      <c r="PAF20" s="64"/>
      <c r="PAG20" s="64"/>
      <c r="PAH20" s="64"/>
      <c r="PAI20" s="64"/>
      <c r="PAJ20" s="64"/>
      <c r="PAK20" s="64"/>
      <c r="PAL20" s="64"/>
      <c r="PAM20" s="64"/>
      <c r="PAN20" s="64"/>
      <c r="PAO20" s="64"/>
      <c r="PAP20" s="64"/>
      <c r="PAQ20" s="64"/>
      <c r="PAR20" s="64"/>
      <c r="PAS20" s="64"/>
      <c r="PAT20" s="64"/>
      <c r="PAU20" s="64"/>
      <c r="PAV20" s="64"/>
      <c r="PAW20" s="64"/>
      <c r="PAX20" s="64"/>
      <c r="PAY20" s="64"/>
      <c r="PAZ20" s="64"/>
      <c r="PBA20" s="64"/>
      <c r="PBB20" s="64"/>
      <c r="PBC20" s="64"/>
      <c r="PBD20" s="64"/>
      <c r="PBE20" s="64"/>
      <c r="PBF20" s="64"/>
      <c r="PBG20" s="64"/>
      <c r="PBH20" s="64"/>
      <c r="PBI20" s="64"/>
      <c r="PBJ20" s="64"/>
      <c r="PBK20" s="64"/>
      <c r="PBL20" s="64"/>
      <c r="PBM20" s="64"/>
      <c r="PBN20" s="64"/>
      <c r="PBO20" s="64"/>
      <c r="PBP20" s="64"/>
      <c r="PBQ20" s="64"/>
      <c r="PBR20" s="64"/>
      <c r="PBS20" s="64"/>
      <c r="PBT20" s="64"/>
      <c r="PBU20" s="64"/>
      <c r="PBV20" s="64"/>
      <c r="PBW20" s="64"/>
      <c r="PBX20" s="64"/>
      <c r="PBY20" s="64"/>
      <c r="PBZ20" s="64"/>
      <c r="PCA20" s="64"/>
      <c r="PCB20" s="64"/>
      <c r="PCC20" s="64"/>
      <c r="PCD20" s="64"/>
      <c r="PCE20" s="64"/>
      <c r="PCF20" s="64"/>
      <c r="PCG20" s="64"/>
      <c r="PCH20" s="64"/>
      <c r="PCI20" s="64"/>
      <c r="PCJ20" s="64"/>
      <c r="PCK20" s="64"/>
      <c r="PCL20" s="64"/>
      <c r="PCM20" s="64"/>
      <c r="PCN20" s="64"/>
      <c r="PCO20" s="64"/>
      <c r="PCP20" s="64"/>
      <c r="PCQ20" s="64"/>
      <c r="PCR20" s="64"/>
      <c r="PCS20" s="64"/>
      <c r="PCT20" s="64"/>
      <c r="PCU20" s="64"/>
      <c r="PCV20" s="64"/>
      <c r="PCW20" s="64"/>
      <c r="PCX20" s="64"/>
      <c r="PCY20" s="64"/>
      <c r="PCZ20" s="64"/>
      <c r="PDA20" s="64"/>
      <c r="PDB20" s="64"/>
      <c r="PDC20" s="64"/>
      <c r="PDD20" s="64"/>
      <c r="PDE20" s="64"/>
      <c r="PDF20" s="64"/>
      <c r="PDG20" s="64"/>
      <c r="PDH20" s="64"/>
      <c r="PDI20" s="64"/>
      <c r="PDJ20" s="64"/>
      <c r="PDK20" s="64"/>
      <c r="PDL20" s="64"/>
      <c r="PDM20" s="64"/>
      <c r="PDN20" s="64"/>
      <c r="PDO20" s="64"/>
      <c r="PDP20" s="64"/>
      <c r="PDQ20" s="64"/>
      <c r="PDR20" s="64"/>
      <c r="PDS20" s="64"/>
      <c r="PDT20" s="64"/>
      <c r="PDU20" s="64"/>
      <c r="PDV20" s="64"/>
      <c r="PDW20" s="64"/>
      <c r="PDX20" s="64"/>
      <c r="PDY20" s="64"/>
      <c r="PDZ20" s="64"/>
      <c r="PEA20" s="64"/>
      <c r="PEB20" s="64"/>
      <c r="PEC20" s="64"/>
      <c r="PED20" s="64"/>
      <c r="PEE20" s="64"/>
      <c r="PEF20" s="64"/>
      <c r="PEG20" s="64"/>
      <c r="PEH20" s="64"/>
      <c r="PEI20" s="64"/>
      <c r="PEJ20" s="64"/>
      <c r="PEK20" s="64"/>
      <c r="PEL20" s="64"/>
      <c r="PEM20" s="64"/>
      <c r="PEN20" s="64"/>
      <c r="PEO20" s="64"/>
      <c r="PEP20" s="64"/>
      <c r="PEQ20" s="64"/>
      <c r="PER20" s="64"/>
      <c r="PES20" s="64"/>
      <c r="PET20" s="64"/>
      <c r="PEU20" s="64"/>
      <c r="PEV20" s="64"/>
      <c r="PEW20" s="64"/>
      <c r="PEX20" s="64"/>
      <c r="PEY20" s="64"/>
      <c r="PEZ20" s="64"/>
      <c r="PFA20" s="64"/>
      <c r="PFB20" s="64"/>
      <c r="PFC20" s="64"/>
      <c r="PFD20" s="64"/>
      <c r="PFE20" s="64"/>
      <c r="PFF20" s="64"/>
      <c r="PFG20" s="64"/>
      <c r="PFH20" s="64"/>
      <c r="PFI20" s="64"/>
      <c r="PFJ20" s="64"/>
      <c r="PFK20" s="64"/>
      <c r="PFL20" s="64"/>
      <c r="PFM20" s="64"/>
      <c r="PFN20" s="64"/>
      <c r="PFO20" s="64"/>
      <c r="PFP20" s="64"/>
      <c r="PFQ20" s="64"/>
      <c r="PFR20" s="64"/>
      <c r="PFS20" s="64"/>
      <c r="PFT20" s="64"/>
      <c r="PFU20" s="64"/>
      <c r="PFV20" s="64"/>
      <c r="PFW20" s="64"/>
      <c r="PFX20" s="64"/>
      <c r="PFY20" s="64"/>
      <c r="PFZ20" s="64"/>
      <c r="PGA20" s="64"/>
      <c r="PGB20" s="64"/>
      <c r="PGC20" s="64"/>
      <c r="PGD20" s="64"/>
      <c r="PGE20" s="64"/>
      <c r="PGF20" s="64"/>
      <c r="PGG20" s="64"/>
      <c r="PGH20" s="64"/>
      <c r="PGI20" s="64"/>
      <c r="PGJ20" s="64"/>
      <c r="PGK20" s="64"/>
      <c r="PGL20" s="64"/>
      <c r="PGM20" s="64"/>
      <c r="PGN20" s="64"/>
      <c r="PGO20" s="64"/>
      <c r="PGP20" s="64"/>
      <c r="PGQ20" s="64"/>
      <c r="PGR20" s="64"/>
      <c r="PGS20" s="64"/>
      <c r="PGT20" s="64"/>
      <c r="PGU20" s="64"/>
      <c r="PGV20" s="64"/>
      <c r="PGW20" s="64"/>
      <c r="PGX20" s="64"/>
      <c r="PGY20" s="64"/>
      <c r="PGZ20" s="64"/>
      <c r="PHA20" s="64"/>
      <c r="PHB20" s="64"/>
      <c r="PHC20" s="64"/>
      <c r="PHD20" s="64"/>
      <c r="PHE20" s="64"/>
      <c r="PHF20" s="64"/>
      <c r="PHG20" s="64"/>
      <c r="PHH20" s="64"/>
      <c r="PHI20" s="64"/>
      <c r="PHJ20" s="64"/>
      <c r="PHK20" s="64"/>
      <c r="PHL20" s="64"/>
      <c r="PHM20" s="64"/>
      <c r="PHN20" s="64"/>
      <c r="PHO20" s="64"/>
      <c r="PHP20" s="64"/>
      <c r="PHQ20" s="64"/>
      <c r="PHR20" s="64"/>
      <c r="PHS20" s="64"/>
      <c r="PHT20" s="64"/>
      <c r="PHU20" s="64"/>
      <c r="PHV20" s="64"/>
      <c r="PHW20" s="64"/>
      <c r="PHX20" s="64"/>
      <c r="PHY20" s="64"/>
      <c r="PHZ20" s="64"/>
      <c r="PIA20" s="64"/>
      <c r="PIB20" s="64"/>
      <c r="PIC20" s="64"/>
      <c r="PID20" s="64"/>
      <c r="PIE20" s="64"/>
      <c r="PIF20" s="64"/>
      <c r="PIG20" s="64"/>
      <c r="PIH20" s="64"/>
      <c r="PII20" s="64"/>
      <c r="PIJ20" s="64"/>
      <c r="PIK20" s="64"/>
      <c r="PIL20" s="64"/>
      <c r="PIM20" s="64"/>
      <c r="PIN20" s="64"/>
      <c r="PIO20" s="64"/>
      <c r="PIP20" s="64"/>
      <c r="PIQ20" s="64"/>
      <c r="PIR20" s="64"/>
      <c r="PIS20" s="64"/>
      <c r="PIT20" s="64"/>
      <c r="PIU20" s="64"/>
      <c r="PIV20" s="64"/>
      <c r="PIW20" s="64"/>
      <c r="PIX20" s="64"/>
      <c r="PIY20" s="64"/>
      <c r="PIZ20" s="64"/>
      <c r="PJA20" s="64"/>
      <c r="PJB20" s="64"/>
      <c r="PJC20" s="64"/>
      <c r="PJD20" s="64"/>
      <c r="PJE20" s="64"/>
      <c r="PJF20" s="64"/>
      <c r="PJG20" s="64"/>
      <c r="PJH20" s="64"/>
      <c r="PJI20" s="64"/>
      <c r="PJJ20" s="64"/>
      <c r="PJK20" s="64"/>
      <c r="PJL20" s="64"/>
      <c r="PJM20" s="64"/>
      <c r="PJN20" s="64"/>
      <c r="PJO20" s="64"/>
      <c r="PJP20" s="64"/>
      <c r="PJQ20" s="64"/>
      <c r="PJR20" s="64"/>
      <c r="PJS20" s="64"/>
      <c r="PJT20" s="64"/>
      <c r="PJU20" s="64"/>
      <c r="PJV20" s="64"/>
      <c r="PJW20" s="64"/>
      <c r="PJX20" s="64"/>
      <c r="PJY20" s="64"/>
      <c r="PJZ20" s="64"/>
      <c r="PKA20" s="64"/>
      <c r="PKB20" s="64"/>
      <c r="PKC20" s="64"/>
      <c r="PKD20" s="64"/>
      <c r="PKE20" s="64"/>
      <c r="PKF20" s="64"/>
      <c r="PKG20" s="64"/>
      <c r="PKH20" s="64"/>
      <c r="PKI20" s="64"/>
      <c r="PKJ20" s="64"/>
      <c r="PKK20" s="64"/>
      <c r="PKL20" s="64"/>
      <c r="PKM20" s="64"/>
      <c r="PKN20" s="64"/>
      <c r="PKO20" s="64"/>
      <c r="PKP20" s="64"/>
      <c r="PKQ20" s="64"/>
      <c r="PKR20" s="64"/>
      <c r="PKS20" s="64"/>
      <c r="PKT20" s="64"/>
      <c r="PKU20" s="64"/>
      <c r="PKV20" s="64"/>
      <c r="PKW20" s="64"/>
      <c r="PKX20" s="64"/>
      <c r="PKY20" s="64"/>
      <c r="PKZ20" s="64"/>
      <c r="PLA20" s="64"/>
      <c r="PLB20" s="64"/>
      <c r="PLC20" s="64"/>
      <c r="PLD20" s="64"/>
      <c r="PLE20" s="64"/>
      <c r="PLF20" s="64"/>
      <c r="PLG20" s="64"/>
      <c r="PLH20" s="64"/>
      <c r="PLI20" s="64"/>
      <c r="PLJ20" s="64"/>
      <c r="PLK20" s="64"/>
      <c r="PLL20" s="64"/>
      <c r="PLM20" s="64"/>
      <c r="PLN20" s="64"/>
      <c r="PLO20" s="64"/>
      <c r="PLP20" s="64"/>
      <c r="PLQ20" s="64"/>
      <c r="PLR20" s="64"/>
      <c r="PLS20" s="64"/>
      <c r="PLT20" s="64"/>
      <c r="PLU20" s="64"/>
      <c r="PLV20" s="64"/>
      <c r="PLW20" s="64"/>
      <c r="PLX20" s="64"/>
      <c r="PLY20" s="64"/>
      <c r="PLZ20" s="64"/>
      <c r="PMA20" s="64"/>
      <c r="PMB20" s="64"/>
      <c r="PMC20" s="64"/>
      <c r="PMD20" s="64"/>
      <c r="PME20" s="64"/>
      <c r="PMF20" s="64"/>
      <c r="PMG20" s="64"/>
      <c r="PMH20" s="64"/>
      <c r="PMI20" s="64"/>
      <c r="PMJ20" s="64"/>
      <c r="PMK20" s="64"/>
      <c r="PML20" s="64"/>
      <c r="PMM20" s="64"/>
      <c r="PMN20" s="64"/>
      <c r="PMO20" s="64"/>
      <c r="PMP20" s="64"/>
      <c r="PMQ20" s="64"/>
      <c r="PMR20" s="64"/>
      <c r="PMS20" s="64"/>
      <c r="PMT20" s="64"/>
      <c r="PMU20" s="64"/>
      <c r="PMV20" s="64"/>
      <c r="PMW20" s="64"/>
      <c r="PMX20" s="64"/>
      <c r="PMY20" s="64"/>
      <c r="PMZ20" s="64"/>
      <c r="PNA20" s="64"/>
      <c r="PNB20" s="64"/>
      <c r="PNC20" s="64"/>
      <c r="PND20" s="64"/>
      <c r="PNE20" s="64"/>
      <c r="PNF20" s="64"/>
      <c r="PNG20" s="64"/>
      <c r="PNH20" s="64"/>
      <c r="PNI20" s="64"/>
      <c r="PNJ20" s="64"/>
      <c r="PNK20" s="64"/>
      <c r="PNL20" s="64"/>
      <c r="PNM20" s="64"/>
      <c r="PNN20" s="64"/>
      <c r="PNO20" s="64"/>
      <c r="PNP20" s="64"/>
      <c r="PNQ20" s="64"/>
      <c r="PNR20" s="64"/>
      <c r="PNS20" s="64"/>
      <c r="PNT20" s="64"/>
      <c r="PNU20" s="64"/>
      <c r="PNV20" s="64"/>
      <c r="PNW20" s="64"/>
      <c r="PNX20" s="64"/>
      <c r="PNY20" s="64"/>
      <c r="PNZ20" s="64"/>
      <c r="POA20" s="64"/>
      <c r="POB20" s="64"/>
      <c r="POC20" s="64"/>
      <c r="POD20" s="64"/>
      <c r="POE20" s="64"/>
      <c r="POF20" s="64"/>
      <c r="POG20" s="64"/>
      <c r="POH20" s="64"/>
      <c r="POI20" s="64"/>
      <c r="POJ20" s="64"/>
      <c r="POK20" s="64"/>
      <c r="POL20" s="64"/>
      <c r="POM20" s="64"/>
      <c r="PON20" s="64"/>
      <c r="POO20" s="64"/>
      <c r="POP20" s="64"/>
      <c r="POQ20" s="64"/>
      <c r="POR20" s="64"/>
      <c r="POS20" s="64"/>
      <c r="POT20" s="64"/>
      <c r="POU20" s="64"/>
      <c r="POV20" s="64"/>
      <c r="POW20" s="64"/>
      <c r="POX20" s="64"/>
      <c r="POY20" s="64"/>
      <c r="POZ20" s="64"/>
      <c r="PPA20" s="64"/>
      <c r="PPB20" s="64"/>
      <c r="PPC20" s="64"/>
      <c r="PPD20" s="64"/>
      <c r="PPE20" s="64"/>
      <c r="PPF20" s="64"/>
      <c r="PPG20" s="64"/>
      <c r="PPH20" s="64"/>
      <c r="PPI20" s="64"/>
      <c r="PPJ20" s="64"/>
      <c r="PPK20" s="64"/>
      <c r="PPL20" s="64"/>
      <c r="PPM20" s="64"/>
      <c r="PPN20" s="64"/>
      <c r="PPO20" s="64"/>
      <c r="PPP20" s="64"/>
      <c r="PPQ20" s="64"/>
      <c r="PPR20" s="64"/>
      <c r="PPS20" s="64"/>
      <c r="PPT20" s="64"/>
      <c r="PPU20" s="64"/>
      <c r="PPV20" s="64"/>
      <c r="PPW20" s="64"/>
      <c r="PPX20" s="64"/>
      <c r="PPY20" s="64"/>
      <c r="PPZ20" s="64"/>
      <c r="PQA20" s="64"/>
      <c r="PQB20" s="64"/>
      <c r="PQC20" s="64"/>
      <c r="PQD20" s="64"/>
      <c r="PQE20" s="64"/>
      <c r="PQF20" s="64"/>
      <c r="PQG20" s="64"/>
      <c r="PQH20" s="64"/>
      <c r="PQI20" s="64"/>
      <c r="PQJ20" s="64"/>
      <c r="PQK20" s="64"/>
      <c r="PQL20" s="64"/>
      <c r="PQM20" s="64"/>
      <c r="PQN20" s="64"/>
      <c r="PQO20" s="64"/>
      <c r="PQP20" s="64"/>
      <c r="PQQ20" s="64"/>
      <c r="PQR20" s="64"/>
      <c r="PQS20" s="64"/>
      <c r="PQT20" s="64"/>
      <c r="PQU20" s="64"/>
      <c r="PQV20" s="64"/>
      <c r="PQW20" s="64"/>
      <c r="PQX20" s="64"/>
      <c r="PQY20" s="64"/>
      <c r="PQZ20" s="64"/>
      <c r="PRA20" s="64"/>
      <c r="PRB20" s="64"/>
      <c r="PRC20" s="64"/>
      <c r="PRD20" s="64"/>
      <c r="PRE20" s="64"/>
      <c r="PRF20" s="64"/>
      <c r="PRG20" s="64"/>
      <c r="PRH20" s="64"/>
      <c r="PRI20" s="64"/>
      <c r="PRJ20" s="64"/>
      <c r="PRK20" s="64"/>
      <c r="PRL20" s="64"/>
      <c r="PRM20" s="64"/>
      <c r="PRN20" s="64"/>
      <c r="PRO20" s="64"/>
      <c r="PRP20" s="64"/>
      <c r="PRQ20" s="64"/>
      <c r="PRR20" s="64"/>
      <c r="PRS20" s="64"/>
      <c r="PRT20" s="64"/>
      <c r="PRU20" s="64"/>
      <c r="PRV20" s="64"/>
      <c r="PRW20" s="64"/>
      <c r="PRX20" s="64"/>
      <c r="PRY20" s="64"/>
      <c r="PRZ20" s="64"/>
      <c r="PSA20" s="64"/>
      <c r="PSB20" s="64"/>
      <c r="PSC20" s="64"/>
      <c r="PSD20" s="64"/>
      <c r="PSE20" s="64"/>
      <c r="PSF20" s="64"/>
      <c r="PSG20" s="64"/>
      <c r="PSH20" s="64"/>
      <c r="PSI20" s="64"/>
      <c r="PSJ20" s="64"/>
      <c r="PSK20" s="64"/>
      <c r="PSL20" s="64"/>
      <c r="PSM20" s="64"/>
      <c r="PSN20" s="64"/>
      <c r="PSO20" s="64"/>
      <c r="PSP20" s="64"/>
      <c r="PSQ20" s="64"/>
      <c r="PSR20" s="64"/>
      <c r="PSS20" s="64"/>
      <c r="PST20" s="64"/>
      <c r="PSU20" s="64"/>
      <c r="PSV20" s="64"/>
      <c r="PSW20" s="64"/>
      <c r="PSX20" s="64"/>
      <c r="PSY20" s="64"/>
      <c r="PSZ20" s="64"/>
      <c r="PTA20" s="64"/>
      <c r="PTB20" s="64"/>
      <c r="PTC20" s="64"/>
      <c r="PTD20" s="64"/>
      <c r="PTE20" s="64"/>
      <c r="PTF20" s="64"/>
      <c r="PTG20" s="64"/>
      <c r="PTH20" s="64"/>
      <c r="PTI20" s="64"/>
      <c r="PTJ20" s="64"/>
      <c r="PTK20" s="64"/>
      <c r="PTL20" s="64"/>
      <c r="PTM20" s="64"/>
      <c r="PTN20" s="64"/>
      <c r="PTO20" s="64"/>
      <c r="PTP20" s="64"/>
      <c r="PTQ20" s="64"/>
      <c r="PTR20" s="64"/>
      <c r="PTS20" s="64"/>
      <c r="PTT20" s="64"/>
      <c r="PTU20" s="64"/>
      <c r="PTV20" s="64"/>
      <c r="PTW20" s="64"/>
      <c r="PTX20" s="64"/>
      <c r="PTY20" s="64"/>
      <c r="PTZ20" s="64"/>
      <c r="PUA20" s="64"/>
      <c r="PUB20" s="64"/>
      <c r="PUC20" s="64"/>
      <c r="PUD20" s="64"/>
      <c r="PUE20" s="64"/>
      <c r="PUF20" s="64"/>
      <c r="PUG20" s="64"/>
      <c r="PUH20" s="64"/>
      <c r="PUI20" s="64"/>
      <c r="PUJ20" s="64"/>
      <c r="PUK20" s="64"/>
      <c r="PUL20" s="64"/>
      <c r="PUM20" s="64"/>
      <c r="PUN20" s="64"/>
      <c r="PUO20" s="64"/>
      <c r="PUP20" s="64"/>
      <c r="PUQ20" s="64"/>
      <c r="PUR20" s="64"/>
      <c r="PUS20" s="64"/>
      <c r="PUT20" s="64"/>
      <c r="PUU20" s="64"/>
      <c r="PUV20" s="64"/>
      <c r="PUW20" s="64"/>
      <c r="PUX20" s="64"/>
      <c r="PUY20" s="64"/>
      <c r="PUZ20" s="64"/>
      <c r="PVA20" s="64"/>
      <c r="PVB20" s="64"/>
      <c r="PVC20" s="64"/>
      <c r="PVD20" s="64"/>
      <c r="PVE20" s="64"/>
      <c r="PVF20" s="64"/>
      <c r="PVG20" s="64"/>
      <c r="PVH20" s="64"/>
      <c r="PVI20" s="64"/>
      <c r="PVJ20" s="64"/>
      <c r="PVK20" s="64"/>
      <c r="PVL20" s="64"/>
      <c r="PVM20" s="64"/>
      <c r="PVN20" s="64"/>
      <c r="PVO20" s="64"/>
      <c r="PVP20" s="64"/>
      <c r="PVQ20" s="64"/>
      <c r="PVR20" s="64"/>
      <c r="PVS20" s="64"/>
      <c r="PVT20" s="64"/>
      <c r="PVU20" s="64"/>
      <c r="PVV20" s="64"/>
      <c r="PVW20" s="64"/>
      <c r="PVX20" s="64"/>
      <c r="PVY20" s="64"/>
      <c r="PVZ20" s="64"/>
      <c r="PWA20" s="64"/>
      <c r="PWB20" s="64"/>
      <c r="PWC20" s="64"/>
      <c r="PWD20" s="64"/>
      <c r="PWE20" s="64"/>
      <c r="PWF20" s="64"/>
      <c r="PWG20" s="64"/>
      <c r="PWH20" s="64"/>
      <c r="PWI20" s="64"/>
      <c r="PWJ20" s="64"/>
      <c r="PWK20" s="64"/>
      <c r="PWL20" s="64"/>
      <c r="PWM20" s="64"/>
      <c r="PWN20" s="64"/>
      <c r="PWO20" s="64"/>
      <c r="PWP20" s="64"/>
      <c r="PWQ20" s="64"/>
      <c r="PWR20" s="64"/>
      <c r="PWS20" s="64"/>
      <c r="PWT20" s="64"/>
      <c r="PWU20" s="64"/>
      <c r="PWV20" s="64"/>
      <c r="PWW20" s="64"/>
      <c r="PWX20" s="64"/>
      <c r="PWY20" s="64"/>
      <c r="PWZ20" s="64"/>
      <c r="PXA20" s="64"/>
      <c r="PXB20" s="64"/>
      <c r="PXC20" s="64"/>
      <c r="PXD20" s="64"/>
      <c r="PXE20" s="64"/>
      <c r="PXF20" s="64"/>
      <c r="PXG20" s="64"/>
      <c r="PXH20" s="64"/>
      <c r="PXI20" s="64"/>
      <c r="PXJ20" s="64"/>
      <c r="PXK20" s="64"/>
      <c r="PXL20" s="64"/>
      <c r="PXM20" s="64"/>
      <c r="PXN20" s="64"/>
      <c r="PXO20" s="64"/>
      <c r="PXP20" s="64"/>
      <c r="PXQ20" s="64"/>
      <c r="PXR20" s="64"/>
      <c r="PXS20" s="64"/>
      <c r="PXT20" s="64"/>
      <c r="PXU20" s="64"/>
      <c r="PXV20" s="64"/>
      <c r="PXW20" s="64"/>
      <c r="PXX20" s="64"/>
      <c r="PXY20" s="64"/>
      <c r="PXZ20" s="64"/>
      <c r="PYA20" s="64"/>
      <c r="PYB20" s="64"/>
      <c r="PYC20" s="64"/>
      <c r="PYD20" s="64"/>
      <c r="PYE20" s="64"/>
      <c r="PYF20" s="64"/>
      <c r="PYG20" s="64"/>
      <c r="PYH20" s="64"/>
      <c r="PYI20" s="64"/>
      <c r="PYJ20" s="64"/>
      <c r="PYK20" s="64"/>
      <c r="PYL20" s="64"/>
      <c r="PYM20" s="64"/>
      <c r="PYN20" s="64"/>
      <c r="PYO20" s="64"/>
      <c r="PYP20" s="64"/>
      <c r="PYQ20" s="64"/>
      <c r="PYR20" s="64"/>
      <c r="PYS20" s="64"/>
      <c r="PYT20" s="64"/>
      <c r="PYU20" s="64"/>
      <c r="PYV20" s="64"/>
      <c r="PYW20" s="64"/>
      <c r="PYX20" s="64"/>
      <c r="PYY20" s="64"/>
      <c r="PYZ20" s="64"/>
      <c r="PZA20" s="64"/>
      <c r="PZB20" s="64"/>
      <c r="PZC20" s="64"/>
      <c r="PZD20" s="64"/>
      <c r="PZE20" s="64"/>
      <c r="PZF20" s="64"/>
      <c r="PZG20" s="64"/>
      <c r="PZH20" s="64"/>
      <c r="PZI20" s="64"/>
      <c r="PZJ20" s="64"/>
      <c r="PZK20" s="64"/>
      <c r="PZL20" s="64"/>
      <c r="PZM20" s="64"/>
      <c r="PZN20" s="64"/>
      <c r="PZO20" s="64"/>
      <c r="PZP20" s="64"/>
      <c r="PZQ20" s="64"/>
      <c r="PZR20" s="64"/>
      <c r="PZS20" s="64"/>
      <c r="PZT20" s="64"/>
      <c r="PZU20" s="64"/>
      <c r="PZV20" s="64"/>
      <c r="PZW20" s="64"/>
      <c r="PZX20" s="64"/>
      <c r="PZY20" s="64"/>
      <c r="PZZ20" s="64"/>
      <c r="QAA20" s="64"/>
      <c r="QAB20" s="64"/>
      <c r="QAC20" s="64"/>
      <c r="QAD20" s="64"/>
      <c r="QAE20" s="64"/>
      <c r="QAF20" s="64"/>
      <c r="QAG20" s="64"/>
      <c r="QAH20" s="64"/>
      <c r="QAI20" s="64"/>
      <c r="QAJ20" s="64"/>
      <c r="QAK20" s="64"/>
      <c r="QAL20" s="64"/>
      <c r="QAM20" s="64"/>
      <c r="QAN20" s="64"/>
      <c r="QAO20" s="64"/>
      <c r="QAP20" s="64"/>
      <c r="QAQ20" s="64"/>
      <c r="QAR20" s="64"/>
      <c r="QAS20" s="64"/>
      <c r="QAT20" s="64"/>
      <c r="QAU20" s="64"/>
      <c r="QAV20" s="64"/>
      <c r="QAW20" s="64"/>
      <c r="QAX20" s="64"/>
      <c r="QAY20" s="64"/>
      <c r="QAZ20" s="64"/>
      <c r="QBA20" s="64"/>
      <c r="QBB20" s="64"/>
      <c r="QBC20" s="64"/>
      <c r="QBD20" s="64"/>
      <c r="QBE20" s="64"/>
      <c r="QBF20" s="64"/>
      <c r="QBG20" s="64"/>
      <c r="QBH20" s="64"/>
      <c r="QBI20" s="64"/>
      <c r="QBJ20" s="64"/>
      <c r="QBK20" s="64"/>
      <c r="QBL20" s="64"/>
      <c r="QBM20" s="64"/>
      <c r="QBN20" s="64"/>
      <c r="QBO20" s="64"/>
      <c r="QBP20" s="64"/>
      <c r="QBQ20" s="64"/>
      <c r="QBR20" s="64"/>
      <c r="QBS20" s="64"/>
      <c r="QBT20" s="64"/>
      <c r="QBU20" s="64"/>
      <c r="QBV20" s="64"/>
      <c r="QBW20" s="64"/>
      <c r="QBX20" s="64"/>
      <c r="QBY20" s="64"/>
      <c r="QBZ20" s="64"/>
      <c r="QCA20" s="64"/>
      <c r="QCB20" s="64"/>
      <c r="QCC20" s="64"/>
      <c r="QCD20" s="64"/>
      <c r="QCE20" s="64"/>
      <c r="QCF20" s="64"/>
      <c r="QCG20" s="64"/>
      <c r="QCH20" s="64"/>
      <c r="QCI20" s="64"/>
      <c r="QCJ20" s="64"/>
      <c r="QCK20" s="64"/>
      <c r="QCL20" s="64"/>
      <c r="QCM20" s="64"/>
      <c r="QCN20" s="64"/>
      <c r="QCO20" s="64"/>
      <c r="QCP20" s="64"/>
      <c r="QCQ20" s="64"/>
      <c r="QCR20" s="64"/>
      <c r="QCS20" s="64"/>
      <c r="QCT20" s="64"/>
      <c r="QCU20" s="64"/>
      <c r="QCV20" s="64"/>
      <c r="QCW20" s="64"/>
      <c r="QCX20" s="64"/>
      <c r="QCY20" s="64"/>
      <c r="QCZ20" s="64"/>
      <c r="QDA20" s="64"/>
      <c r="QDB20" s="64"/>
      <c r="QDC20" s="64"/>
      <c r="QDD20" s="64"/>
      <c r="QDE20" s="64"/>
      <c r="QDF20" s="64"/>
      <c r="QDG20" s="64"/>
      <c r="QDH20" s="64"/>
      <c r="QDI20" s="64"/>
      <c r="QDJ20" s="64"/>
      <c r="QDK20" s="64"/>
      <c r="QDL20" s="64"/>
      <c r="QDM20" s="64"/>
      <c r="QDN20" s="64"/>
      <c r="QDO20" s="64"/>
      <c r="QDP20" s="64"/>
      <c r="QDQ20" s="64"/>
      <c r="QDR20" s="64"/>
      <c r="QDS20" s="64"/>
      <c r="QDT20" s="64"/>
      <c r="QDU20" s="64"/>
      <c r="QDV20" s="64"/>
      <c r="QDW20" s="64"/>
      <c r="QDX20" s="64"/>
      <c r="QDY20" s="64"/>
      <c r="QDZ20" s="64"/>
      <c r="QEA20" s="64"/>
      <c r="QEB20" s="64"/>
      <c r="QEC20" s="64"/>
      <c r="QED20" s="64"/>
      <c r="QEE20" s="64"/>
      <c r="QEF20" s="64"/>
      <c r="QEG20" s="64"/>
      <c r="QEH20" s="64"/>
      <c r="QEI20" s="64"/>
      <c r="QEJ20" s="64"/>
      <c r="QEK20" s="64"/>
      <c r="QEL20" s="64"/>
      <c r="QEM20" s="64"/>
      <c r="QEN20" s="64"/>
      <c r="QEO20" s="64"/>
      <c r="QEP20" s="64"/>
      <c r="QEQ20" s="64"/>
      <c r="QER20" s="64"/>
      <c r="QES20" s="64"/>
      <c r="QET20" s="64"/>
      <c r="QEU20" s="64"/>
      <c r="QEV20" s="64"/>
      <c r="QEW20" s="64"/>
      <c r="QEX20" s="64"/>
      <c r="QEY20" s="64"/>
      <c r="QEZ20" s="64"/>
      <c r="QFA20" s="64"/>
      <c r="QFB20" s="64"/>
      <c r="QFC20" s="64"/>
      <c r="QFD20" s="64"/>
      <c r="QFE20" s="64"/>
      <c r="QFF20" s="64"/>
      <c r="QFG20" s="64"/>
      <c r="QFH20" s="64"/>
      <c r="QFI20" s="64"/>
      <c r="QFJ20" s="64"/>
      <c r="QFK20" s="64"/>
      <c r="QFL20" s="64"/>
      <c r="QFM20" s="64"/>
      <c r="QFN20" s="64"/>
      <c r="QFO20" s="64"/>
      <c r="QFP20" s="64"/>
      <c r="QFQ20" s="64"/>
      <c r="QFR20" s="64"/>
      <c r="QFS20" s="64"/>
      <c r="QFT20" s="64"/>
      <c r="QFU20" s="64"/>
      <c r="QFV20" s="64"/>
      <c r="QFW20" s="64"/>
      <c r="QFX20" s="64"/>
      <c r="QFY20" s="64"/>
      <c r="QFZ20" s="64"/>
      <c r="QGA20" s="64"/>
      <c r="QGB20" s="64"/>
      <c r="QGC20" s="64"/>
      <c r="QGD20" s="64"/>
      <c r="QGE20" s="64"/>
      <c r="QGF20" s="64"/>
      <c r="QGG20" s="64"/>
      <c r="QGH20" s="64"/>
      <c r="QGI20" s="64"/>
      <c r="QGJ20" s="64"/>
      <c r="QGK20" s="64"/>
      <c r="QGL20" s="64"/>
      <c r="QGM20" s="64"/>
      <c r="QGN20" s="64"/>
      <c r="QGO20" s="64"/>
      <c r="QGP20" s="64"/>
      <c r="QGQ20" s="64"/>
      <c r="QGR20" s="64"/>
      <c r="QGS20" s="64"/>
      <c r="QGT20" s="64"/>
      <c r="QGU20" s="64"/>
      <c r="QGV20" s="64"/>
      <c r="QGW20" s="64"/>
      <c r="QGX20" s="64"/>
      <c r="QGY20" s="64"/>
      <c r="QGZ20" s="64"/>
      <c r="QHA20" s="64"/>
      <c r="QHB20" s="64"/>
      <c r="QHC20" s="64"/>
      <c r="QHD20" s="64"/>
      <c r="QHE20" s="64"/>
      <c r="QHF20" s="64"/>
      <c r="QHG20" s="64"/>
      <c r="QHH20" s="64"/>
      <c r="QHI20" s="64"/>
      <c r="QHJ20" s="64"/>
      <c r="QHK20" s="64"/>
      <c r="QHL20" s="64"/>
      <c r="QHM20" s="64"/>
      <c r="QHN20" s="64"/>
      <c r="QHO20" s="64"/>
      <c r="QHP20" s="64"/>
      <c r="QHQ20" s="64"/>
      <c r="QHR20" s="64"/>
      <c r="QHS20" s="64"/>
      <c r="QHT20" s="64"/>
      <c r="QHU20" s="64"/>
      <c r="QHV20" s="64"/>
      <c r="QHW20" s="64"/>
      <c r="QHX20" s="64"/>
      <c r="QHY20" s="64"/>
      <c r="QHZ20" s="64"/>
      <c r="QIA20" s="64"/>
      <c r="QIB20" s="64"/>
      <c r="QIC20" s="64"/>
      <c r="QID20" s="64"/>
      <c r="QIE20" s="64"/>
      <c r="QIF20" s="64"/>
      <c r="QIG20" s="64"/>
      <c r="QIH20" s="64"/>
      <c r="QII20" s="64"/>
      <c r="QIJ20" s="64"/>
      <c r="QIK20" s="64"/>
      <c r="QIL20" s="64"/>
      <c r="QIM20" s="64"/>
      <c r="QIN20" s="64"/>
      <c r="QIO20" s="64"/>
      <c r="QIP20" s="64"/>
      <c r="QIQ20" s="64"/>
      <c r="QIR20" s="64"/>
      <c r="QIS20" s="64"/>
      <c r="QIT20" s="64"/>
      <c r="QIU20" s="64"/>
      <c r="QIV20" s="64"/>
      <c r="QIW20" s="64"/>
      <c r="QIX20" s="64"/>
      <c r="QIY20" s="64"/>
      <c r="QIZ20" s="64"/>
      <c r="QJA20" s="64"/>
      <c r="QJB20" s="64"/>
      <c r="QJC20" s="64"/>
      <c r="QJD20" s="64"/>
      <c r="QJE20" s="64"/>
      <c r="QJF20" s="64"/>
      <c r="QJG20" s="64"/>
      <c r="QJH20" s="64"/>
      <c r="QJI20" s="64"/>
      <c r="QJJ20" s="64"/>
      <c r="QJK20" s="64"/>
      <c r="QJL20" s="64"/>
      <c r="QJM20" s="64"/>
      <c r="QJN20" s="64"/>
      <c r="QJO20" s="64"/>
      <c r="QJP20" s="64"/>
      <c r="QJQ20" s="64"/>
      <c r="QJR20" s="64"/>
      <c r="QJS20" s="64"/>
      <c r="QJT20" s="64"/>
      <c r="QJU20" s="64"/>
      <c r="QJV20" s="64"/>
      <c r="QJW20" s="64"/>
      <c r="QJX20" s="64"/>
      <c r="QJY20" s="64"/>
      <c r="QJZ20" s="64"/>
      <c r="QKA20" s="64"/>
      <c r="QKB20" s="64"/>
      <c r="QKC20" s="64"/>
      <c r="QKD20" s="64"/>
      <c r="QKE20" s="64"/>
      <c r="QKF20" s="64"/>
      <c r="QKG20" s="64"/>
      <c r="QKH20" s="64"/>
      <c r="QKI20" s="64"/>
      <c r="QKJ20" s="64"/>
      <c r="QKK20" s="64"/>
      <c r="QKL20" s="64"/>
      <c r="QKM20" s="64"/>
      <c r="QKN20" s="64"/>
      <c r="QKO20" s="64"/>
      <c r="QKP20" s="64"/>
      <c r="QKQ20" s="64"/>
      <c r="QKR20" s="64"/>
      <c r="QKS20" s="64"/>
      <c r="QKT20" s="64"/>
      <c r="QKU20" s="64"/>
      <c r="QKV20" s="64"/>
      <c r="QKW20" s="64"/>
      <c r="QKX20" s="64"/>
      <c r="QKY20" s="64"/>
      <c r="QKZ20" s="64"/>
      <c r="QLA20" s="64"/>
      <c r="QLB20" s="64"/>
      <c r="QLC20" s="64"/>
      <c r="QLD20" s="64"/>
      <c r="QLE20" s="64"/>
      <c r="QLF20" s="64"/>
      <c r="QLG20" s="64"/>
      <c r="QLH20" s="64"/>
      <c r="QLI20" s="64"/>
      <c r="QLJ20" s="64"/>
      <c r="QLK20" s="64"/>
      <c r="QLL20" s="64"/>
      <c r="QLM20" s="64"/>
      <c r="QLN20" s="64"/>
      <c r="QLO20" s="64"/>
      <c r="QLP20" s="64"/>
      <c r="QLQ20" s="64"/>
      <c r="QLR20" s="64"/>
      <c r="QLS20" s="64"/>
      <c r="QLT20" s="64"/>
      <c r="QLU20" s="64"/>
      <c r="QLV20" s="64"/>
      <c r="QLW20" s="64"/>
      <c r="QLX20" s="64"/>
      <c r="QLY20" s="64"/>
      <c r="QLZ20" s="64"/>
      <c r="QMA20" s="64"/>
      <c r="QMB20" s="64"/>
      <c r="QMC20" s="64"/>
      <c r="QMD20" s="64"/>
      <c r="QME20" s="64"/>
      <c r="QMF20" s="64"/>
      <c r="QMG20" s="64"/>
      <c r="QMH20" s="64"/>
      <c r="QMI20" s="64"/>
      <c r="QMJ20" s="64"/>
      <c r="QMK20" s="64"/>
      <c r="QML20" s="64"/>
      <c r="QMM20" s="64"/>
      <c r="QMN20" s="64"/>
      <c r="QMO20" s="64"/>
      <c r="QMP20" s="64"/>
      <c r="QMQ20" s="64"/>
      <c r="QMR20" s="64"/>
      <c r="QMS20" s="64"/>
      <c r="QMT20" s="64"/>
      <c r="QMU20" s="64"/>
      <c r="QMV20" s="64"/>
      <c r="QMW20" s="64"/>
      <c r="QMX20" s="64"/>
      <c r="QMY20" s="64"/>
      <c r="QMZ20" s="64"/>
      <c r="QNA20" s="64"/>
      <c r="QNB20" s="64"/>
      <c r="QNC20" s="64"/>
      <c r="QND20" s="64"/>
      <c r="QNE20" s="64"/>
      <c r="QNF20" s="64"/>
      <c r="QNG20" s="64"/>
      <c r="QNH20" s="64"/>
      <c r="QNI20" s="64"/>
      <c r="QNJ20" s="64"/>
      <c r="QNK20" s="64"/>
      <c r="QNL20" s="64"/>
      <c r="QNM20" s="64"/>
      <c r="QNN20" s="64"/>
      <c r="QNO20" s="64"/>
      <c r="QNP20" s="64"/>
      <c r="QNQ20" s="64"/>
      <c r="QNR20" s="64"/>
      <c r="QNS20" s="64"/>
      <c r="QNT20" s="64"/>
      <c r="QNU20" s="64"/>
      <c r="QNV20" s="64"/>
      <c r="QNW20" s="64"/>
      <c r="QNX20" s="64"/>
      <c r="QNY20" s="64"/>
      <c r="QNZ20" s="64"/>
      <c r="QOA20" s="64"/>
      <c r="QOB20" s="64"/>
      <c r="QOC20" s="64"/>
      <c r="QOD20" s="64"/>
      <c r="QOE20" s="64"/>
      <c r="QOF20" s="64"/>
      <c r="QOG20" s="64"/>
      <c r="QOH20" s="64"/>
      <c r="QOI20" s="64"/>
      <c r="QOJ20" s="64"/>
      <c r="QOK20" s="64"/>
      <c r="QOL20" s="64"/>
      <c r="QOM20" s="64"/>
      <c r="QON20" s="64"/>
      <c r="QOO20" s="64"/>
      <c r="QOP20" s="64"/>
      <c r="QOQ20" s="64"/>
      <c r="QOR20" s="64"/>
      <c r="QOS20" s="64"/>
      <c r="QOT20" s="64"/>
      <c r="QOU20" s="64"/>
      <c r="QOV20" s="64"/>
      <c r="QOW20" s="64"/>
      <c r="QOX20" s="64"/>
      <c r="QOY20" s="64"/>
      <c r="QOZ20" s="64"/>
      <c r="QPA20" s="64"/>
      <c r="QPB20" s="64"/>
      <c r="QPC20" s="64"/>
      <c r="QPD20" s="64"/>
      <c r="QPE20" s="64"/>
      <c r="QPF20" s="64"/>
      <c r="QPG20" s="64"/>
      <c r="QPH20" s="64"/>
      <c r="QPI20" s="64"/>
      <c r="QPJ20" s="64"/>
      <c r="QPK20" s="64"/>
      <c r="QPL20" s="64"/>
      <c r="QPM20" s="64"/>
      <c r="QPN20" s="64"/>
      <c r="QPO20" s="64"/>
      <c r="QPP20" s="64"/>
      <c r="QPQ20" s="64"/>
      <c r="QPR20" s="64"/>
      <c r="QPS20" s="64"/>
      <c r="QPT20" s="64"/>
      <c r="QPU20" s="64"/>
      <c r="QPV20" s="64"/>
      <c r="QPW20" s="64"/>
      <c r="QPX20" s="64"/>
      <c r="QPY20" s="64"/>
      <c r="QPZ20" s="64"/>
      <c r="QQA20" s="64"/>
      <c r="QQB20" s="64"/>
      <c r="QQC20" s="64"/>
      <c r="QQD20" s="64"/>
      <c r="QQE20" s="64"/>
      <c r="QQF20" s="64"/>
      <c r="QQG20" s="64"/>
      <c r="QQH20" s="64"/>
      <c r="QQI20" s="64"/>
      <c r="QQJ20" s="64"/>
      <c r="QQK20" s="64"/>
      <c r="QQL20" s="64"/>
      <c r="QQM20" s="64"/>
      <c r="QQN20" s="64"/>
      <c r="QQO20" s="64"/>
      <c r="QQP20" s="64"/>
      <c r="QQQ20" s="64"/>
      <c r="QQR20" s="64"/>
      <c r="QQS20" s="64"/>
      <c r="QQT20" s="64"/>
      <c r="QQU20" s="64"/>
      <c r="QQV20" s="64"/>
      <c r="QQW20" s="64"/>
      <c r="QQX20" s="64"/>
      <c r="QQY20" s="64"/>
      <c r="QQZ20" s="64"/>
      <c r="QRA20" s="64"/>
      <c r="QRB20" s="64"/>
      <c r="QRC20" s="64"/>
      <c r="QRD20" s="64"/>
      <c r="QRE20" s="64"/>
      <c r="QRF20" s="64"/>
      <c r="QRG20" s="64"/>
      <c r="QRH20" s="64"/>
      <c r="QRI20" s="64"/>
      <c r="QRJ20" s="64"/>
      <c r="QRK20" s="64"/>
      <c r="QRL20" s="64"/>
      <c r="QRM20" s="64"/>
      <c r="QRN20" s="64"/>
      <c r="QRO20" s="64"/>
      <c r="QRP20" s="64"/>
      <c r="QRQ20" s="64"/>
      <c r="QRR20" s="64"/>
      <c r="QRS20" s="64"/>
      <c r="QRT20" s="64"/>
      <c r="QRU20" s="64"/>
      <c r="QRV20" s="64"/>
      <c r="QRW20" s="64"/>
      <c r="QRX20" s="64"/>
      <c r="QRY20" s="64"/>
      <c r="QRZ20" s="64"/>
      <c r="QSA20" s="64"/>
      <c r="QSB20" s="64"/>
      <c r="QSC20" s="64"/>
      <c r="QSD20" s="64"/>
      <c r="QSE20" s="64"/>
      <c r="QSF20" s="64"/>
      <c r="QSG20" s="64"/>
      <c r="QSH20" s="64"/>
      <c r="QSI20" s="64"/>
      <c r="QSJ20" s="64"/>
      <c r="QSK20" s="64"/>
      <c r="QSL20" s="64"/>
      <c r="QSM20" s="64"/>
      <c r="QSN20" s="64"/>
      <c r="QSO20" s="64"/>
      <c r="QSP20" s="64"/>
      <c r="QSQ20" s="64"/>
      <c r="QSR20" s="64"/>
      <c r="QSS20" s="64"/>
      <c r="QST20" s="64"/>
      <c r="QSU20" s="64"/>
      <c r="QSV20" s="64"/>
      <c r="QSW20" s="64"/>
      <c r="QSX20" s="64"/>
      <c r="QSY20" s="64"/>
      <c r="QSZ20" s="64"/>
      <c r="QTA20" s="64"/>
      <c r="QTB20" s="64"/>
      <c r="QTC20" s="64"/>
      <c r="QTD20" s="64"/>
      <c r="QTE20" s="64"/>
      <c r="QTF20" s="64"/>
      <c r="QTG20" s="64"/>
      <c r="QTH20" s="64"/>
      <c r="QTI20" s="64"/>
      <c r="QTJ20" s="64"/>
      <c r="QTK20" s="64"/>
      <c r="QTL20" s="64"/>
      <c r="QTM20" s="64"/>
      <c r="QTN20" s="64"/>
      <c r="QTO20" s="64"/>
      <c r="QTP20" s="64"/>
      <c r="QTQ20" s="64"/>
      <c r="QTR20" s="64"/>
      <c r="QTS20" s="64"/>
      <c r="QTT20" s="64"/>
      <c r="QTU20" s="64"/>
      <c r="QTV20" s="64"/>
      <c r="QTW20" s="64"/>
      <c r="QTX20" s="64"/>
      <c r="QTY20" s="64"/>
      <c r="QTZ20" s="64"/>
      <c r="QUA20" s="64"/>
      <c r="QUB20" s="64"/>
      <c r="QUC20" s="64"/>
      <c r="QUD20" s="64"/>
      <c r="QUE20" s="64"/>
      <c r="QUF20" s="64"/>
      <c r="QUG20" s="64"/>
      <c r="QUH20" s="64"/>
      <c r="QUI20" s="64"/>
      <c r="QUJ20" s="64"/>
      <c r="QUK20" s="64"/>
      <c r="QUL20" s="64"/>
      <c r="QUM20" s="64"/>
      <c r="QUN20" s="64"/>
      <c r="QUO20" s="64"/>
      <c r="QUP20" s="64"/>
      <c r="QUQ20" s="64"/>
      <c r="QUR20" s="64"/>
      <c r="QUS20" s="64"/>
      <c r="QUT20" s="64"/>
      <c r="QUU20" s="64"/>
      <c r="QUV20" s="64"/>
      <c r="QUW20" s="64"/>
      <c r="QUX20" s="64"/>
      <c r="QUY20" s="64"/>
      <c r="QUZ20" s="64"/>
      <c r="QVA20" s="64"/>
      <c r="QVB20" s="64"/>
      <c r="QVC20" s="64"/>
      <c r="QVD20" s="64"/>
      <c r="QVE20" s="64"/>
      <c r="QVF20" s="64"/>
      <c r="QVG20" s="64"/>
      <c r="QVH20" s="64"/>
      <c r="QVI20" s="64"/>
      <c r="QVJ20" s="64"/>
      <c r="QVK20" s="64"/>
      <c r="QVL20" s="64"/>
      <c r="QVM20" s="64"/>
      <c r="QVN20" s="64"/>
      <c r="QVO20" s="64"/>
      <c r="QVP20" s="64"/>
      <c r="QVQ20" s="64"/>
      <c r="QVR20" s="64"/>
      <c r="QVS20" s="64"/>
      <c r="QVT20" s="64"/>
      <c r="QVU20" s="64"/>
      <c r="QVV20" s="64"/>
      <c r="QVW20" s="64"/>
      <c r="QVX20" s="64"/>
      <c r="QVY20" s="64"/>
      <c r="QVZ20" s="64"/>
      <c r="QWA20" s="64"/>
      <c r="QWB20" s="64"/>
      <c r="QWC20" s="64"/>
      <c r="QWD20" s="64"/>
      <c r="QWE20" s="64"/>
      <c r="QWF20" s="64"/>
      <c r="QWG20" s="64"/>
      <c r="QWH20" s="64"/>
      <c r="QWI20" s="64"/>
      <c r="QWJ20" s="64"/>
      <c r="QWK20" s="64"/>
      <c r="QWL20" s="64"/>
      <c r="QWM20" s="64"/>
      <c r="QWN20" s="64"/>
      <c r="QWO20" s="64"/>
      <c r="QWP20" s="64"/>
      <c r="QWQ20" s="64"/>
      <c r="QWR20" s="64"/>
      <c r="QWS20" s="64"/>
      <c r="QWT20" s="64"/>
      <c r="QWU20" s="64"/>
      <c r="QWV20" s="64"/>
      <c r="QWW20" s="64"/>
      <c r="QWX20" s="64"/>
      <c r="QWY20" s="64"/>
      <c r="QWZ20" s="64"/>
      <c r="QXA20" s="64"/>
      <c r="QXB20" s="64"/>
      <c r="QXC20" s="64"/>
      <c r="QXD20" s="64"/>
      <c r="QXE20" s="64"/>
      <c r="QXF20" s="64"/>
      <c r="QXG20" s="64"/>
      <c r="QXH20" s="64"/>
      <c r="QXI20" s="64"/>
      <c r="QXJ20" s="64"/>
      <c r="QXK20" s="64"/>
      <c r="QXL20" s="64"/>
      <c r="QXM20" s="64"/>
      <c r="QXN20" s="64"/>
      <c r="QXO20" s="64"/>
      <c r="QXP20" s="64"/>
      <c r="QXQ20" s="64"/>
      <c r="QXR20" s="64"/>
      <c r="QXS20" s="64"/>
      <c r="QXT20" s="64"/>
      <c r="QXU20" s="64"/>
      <c r="QXV20" s="64"/>
      <c r="QXW20" s="64"/>
      <c r="QXX20" s="64"/>
      <c r="QXY20" s="64"/>
      <c r="QXZ20" s="64"/>
      <c r="QYA20" s="64"/>
      <c r="QYB20" s="64"/>
      <c r="QYC20" s="64"/>
      <c r="QYD20" s="64"/>
      <c r="QYE20" s="64"/>
      <c r="QYF20" s="64"/>
      <c r="QYG20" s="64"/>
      <c r="QYH20" s="64"/>
      <c r="QYI20" s="64"/>
      <c r="QYJ20" s="64"/>
      <c r="QYK20" s="64"/>
      <c r="QYL20" s="64"/>
      <c r="QYM20" s="64"/>
      <c r="QYN20" s="64"/>
      <c r="QYO20" s="64"/>
      <c r="QYP20" s="64"/>
      <c r="QYQ20" s="64"/>
      <c r="QYR20" s="64"/>
      <c r="QYS20" s="64"/>
      <c r="QYT20" s="64"/>
      <c r="QYU20" s="64"/>
      <c r="QYV20" s="64"/>
      <c r="QYW20" s="64"/>
      <c r="QYX20" s="64"/>
      <c r="QYY20" s="64"/>
      <c r="QYZ20" s="64"/>
      <c r="QZA20" s="64"/>
      <c r="QZB20" s="64"/>
      <c r="QZC20" s="64"/>
      <c r="QZD20" s="64"/>
      <c r="QZE20" s="64"/>
      <c r="QZF20" s="64"/>
      <c r="QZG20" s="64"/>
      <c r="QZH20" s="64"/>
      <c r="QZI20" s="64"/>
      <c r="QZJ20" s="64"/>
      <c r="QZK20" s="64"/>
      <c r="QZL20" s="64"/>
      <c r="QZM20" s="64"/>
      <c r="QZN20" s="64"/>
      <c r="QZO20" s="64"/>
      <c r="QZP20" s="64"/>
      <c r="QZQ20" s="64"/>
      <c r="QZR20" s="64"/>
      <c r="QZS20" s="64"/>
      <c r="QZT20" s="64"/>
      <c r="QZU20" s="64"/>
      <c r="QZV20" s="64"/>
      <c r="QZW20" s="64"/>
      <c r="QZX20" s="64"/>
      <c r="QZY20" s="64"/>
      <c r="QZZ20" s="64"/>
      <c r="RAA20" s="64"/>
      <c r="RAB20" s="64"/>
      <c r="RAC20" s="64"/>
      <c r="RAD20" s="64"/>
      <c r="RAE20" s="64"/>
      <c r="RAF20" s="64"/>
      <c r="RAG20" s="64"/>
      <c r="RAH20" s="64"/>
      <c r="RAI20" s="64"/>
      <c r="RAJ20" s="64"/>
      <c r="RAK20" s="64"/>
      <c r="RAL20" s="64"/>
      <c r="RAM20" s="64"/>
      <c r="RAN20" s="64"/>
      <c r="RAO20" s="64"/>
      <c r="RAP20" s="64"/>
      <c r="RAQ20" s="64"/>
      <c r="RAR20" s="64"/>
      <c r="RAS20" s="64"/>
      <c r="RAT20" s="64"/>
      <c r="RAU20" s="64"/>
      <c r="RAV20" s="64"/>
      <c r="RAW20" s="64"/>
      <c r="RAX20" s="64"/>
      <c r="RAY20" s="64"/>
      <c r="RAZ20" s="64"/>
      <c r="RBA20" s="64"/>
      <c r="RBB20" s="64"/>
      <c r="RBC20" s="64"/>
      <c r="RBD20" s="64"/>
      <c r="RBE20" s="64"/>
      <c r="RBF20" s="64"/>
      <c r="RBG20" s="64"/>
      <c r="RBH20" s="64"/>
      <c r="RBI20" s="64"/>
      <c r="RBJ20" s="64"/>
      <c r="RBK20" s="64"/>
      <c r="RBL20" s="64"/>
      <c r="RBM20" s="64"/>
      <c r="RBN20" s="64"/>
      <c r="RBO20" s="64"/>
      <c r="RBP20" s="64"/>
      <c r="RBQ20" s="64"/>
      <c r="RBR20" s="64"/>
      <c r="RBS20" s="64"/>
      <c r="RBT20" s="64"/>
      <c r="RBU20" s="64"/>
      <c r="RBV20" s="64"/>
      <c r="RBW20" s="64"/>
      <c r="RBX20" s="64"/>
      <c r="RBY20" s="64"/>
      <c r="RBZ20" s="64"/>
      <c r="RCA20" s="64"/>
      <c r="RCB20" s="64"/>
      <c r="RCC20" s="64"/>
      <c r="RCD20" s="64"/>
      <c r="RCE20" s="64"/>
      <c r="RCF20" s="64"/>
      <c r="RCG20" s="64"/>
      <c r="RCH20" s="64"/>
      <c r="RCI20" s="64"/>
      <c r="RCJ20" s="64"/>
      <c r="RCK20" s="64"/>
      <c r="RCL20" s="64"/>
      <c r="RCM20" s="64"/>
      <c r="RCN20" s="64"/>
      <c r="RCO20" s="64"/>
      <c r="RCP20" s="64"/>
      <c r="RCQ20" s="64"/>
      <c r="RCR20" s="64"/>
      <c r="RCS20" s="64"/>
      <c r="RCT20" s="64"/>
      <c r="RCU20" s="64"/>
      <c r="RCV20" s="64"/>
      <c r="RCW20" s="64"/>
      <c r="RCX20" s="64"/>
      <c r="RCY20" s="64"/>
      <c r="RCZ20" s="64"/>
      <c r="RDA20" s="64"/>
      <c r="RDB20" s="64"/>
      <c r="RDC20" s="64"/>
      <c r="RDD20" s="64"/>
      <c r="RDE20" s="64"/>
      <c r="RDF20" s="64"/>
      <c r="RDG20" s="64"/>
      <c r="RDH20" s="64"/>
      <c r="RDI20" s="64"/>
      <c r="RDJ20" s="64"/>
      <c r="RDK20" s="64"/>
      <c r="RDL20" s="64"/>
      <c r="RDM20" s="64"/>
      <c r="RDN20" s="64"/>
      <c r="RDO20" s="64"/>
      <c r="RDP20" s="64"/>
      <c r="RDQ20" s="64"/>
      <c r="RDR20" s="64"/>
      <c r="RDS20" s="64"/>
      <c r="RDT20" s="64"/>
      <c r="RDU20" s="64"/>
      <c r="RDV20" s="64"/>
      <c r="RDW20" s="64"/>
      <c r="RDX20" s="64"/>
      <c r="RDY20" s="64"/>
      <c r="RDZ20" s="64"/>
      <c r="REA20" s="64"/>
      <c r="REB20" s="64"/>
      <c r="REC20" s="64"/>
      <c r="RED20" s="64"/>
      <c r="REE20" s="64"/>
      <c r="REF20" s="64"/>
      <c r="REG20" s="64"/>
      <c r="REH20" s="64"/>
      <c r="REI20" s="64"/>
      <c r="REJ20" s="64"/>
      <c r="REK20" s="64"/>
      <c r="REL20" s="64"/>
      <c r="REM20" s="64"/>
      <c r="REN20" s="64"/>
      <c r="REO20" s="64"/>
      <c r="REP20" s="64"/>
      <c r="REQ20" s="64"/>
      <c r="RER20" s="64"/>
      <c r="RES20" s="64"/>
      <c r="RET20" s="64"/>
      <c r="REU20" s="64"/>
      <c r="REV20" s="64"/>
      <c r="REW20" s="64"/>
      <c r="REX20" s="64"/>
      <c r="REY20" s="64"/>
      <c r="REZ20" s="64"/>
      <c r="RFA20" s="64"/>
      <c r="RFB20" s="64"/>
      <c r="RFC20" s="64"/>
      <c r="RFD20" s="64"/>
      <c r="RFE20" s="64"/>
      <c r="RFF20" s="64"/>
      <c r="RFG20" s="64"/>
      <c r="RFH20" s="64"/>
      <c r="RFI20" s="64"/>
      <c r="RFJ20" s="64"/>
      <c r="RFK20" s="64"/>
      <c r="RFL20" s="64"/>
      <c r="RFM20" s="64"/>
      <c r="RFN20" s="64"/>
      <c r="RFO20" s="64"/>
      <c r="RFP20" s="64"/>
      <c r="RFQ20" s="64"/>
      <c r="RFR20" s="64"/>
      <c r="RFS20" s="64"/>
      <c r="RFT20" s="64"/>
      <c r="RFU20" s="64"/>
      <c r="RFV20" s="64"/>
      <c r="RFW20" s="64"/>
      <c r="RFX20" s="64"/>
      <c r="RFY20" s="64"/>
      <c r="RFZ20" s="64"/>
      <c r="RGA20" s="64"/>
      <c r="RGB20" s="64"/>
      <c r="RGC20" s="64"/>
      <c r="RGD20" s="64"/>
      <c r="RGE20" s="64"/>
      <c r="RGF20" s="64"/>
      <c r="RGG20" s="64"/>
      <c r="RGH20" s="64"/>
      <c r="RGI20" s="64"/>
      <c r="RGJ20" s="64"/>
      <c r="RGK20" s="64"/>
      <c r="RGL20" s="64"/>
      <c r="RGM20" s="64"/>
      <c r="RGN20" s="64"/>
      <c r="RGO20" s="64"/>
      <c r="RGP20" s="64"/>
      <c r="RGQ20" s="64"/>
      <c r="RGR20" s="64"/>
      <c r="RGS20" s="64"/>
      <c r="RGT20" s="64"/>
      <c r="RGU20" s="64"/>
      <c r="RGV20" s="64"/>
      <c r="RGW20" s="64"/>
      <c r="RGX20" s="64"/>
      <c r="RGY20" s="64"/>
      <c r="RGZ20" s="64"/>
      <c r="RHA20" s="64"/>
      <c r="RHB20" s="64"/>
      <c r="RHC20" s="64"/>
      <c r="RHD20" s="64"/>
      <c r="RHE20" s="64"/>
      <c r="RHF20" s="64"/>
      <c r="RHG20" s="64"/>
      <c r="RHH20" s="64"/>
      <c r="RHI20" s="64"/>
      <c r="RHJ20" s="64"/>
      <c r="RHK20" s="64"/>
      <c r="RHL20" s="64"/>
      <c r="RHM20" s="64"/>
      <c r="RHN20" s="64"/>
      <c r="RHO20" s="64"/>
      <c r="RHP20" s="64"/>
      <c r="RHQ20" s="64"/>
      <c r="RHR20" s="64"/>
      <c r="RHS20" s="64"/>
      <c r="RHT20" s="64"/>
      <c r="RHU20" s="64"/>
      <c r="RHV20" s="64"/>
      <c r="RHW20" s="64"/>
      <c r="RHX20" s="64"/>
      <c r="RHY20" s="64"/>
      <c r="RHZ20" s="64"/>
      <c r="RIA20" s="64"/>
      <c r="RIB20" s="64"/>
      <c r="RIC20" s="64"/>
      <c r="RID20" s="64"/>
      <c r="RIE20" s="64"/>
      <c r="RIF20" s="64"/>
      <c r="RIG20" s="64"/>
      <c r="RIH20" s="64"/>
      <c r="RII20" s="64"/>
      <c r="RIJ20" s="64"/>
      <c r="RIK20" s="64"/>
      <c r="RIL20" s="64"/>
      <c r="RIM20" s="64"/>
      <c r="RIN20" s="64"/>
      <c r="RIO20" s="64"/>
      <c r="RIP20" s="64"/>
      <c r="RIQ20" s="64"/>
      <c r="RIR20" s="64"/>
      <c r="RIS20" s="64"/>
      <c r="RIT20" s="64"/>
      <c r="RIU20" s="64"/>
      <c r="RIV20" s="64"/>
      <c r="RIW20" s="64"/>
      <c r="RIX20" s="64"/>
      <c r="RIY20" s="64"/>
      <c r="RIZ20" s="64"/>
      <c r="RJA20" s="64"/>
      <c r="RJB20" s="64"/>
      <c r="RJC20" s="64"/>
      <c r="RJD20" s="64"/>
      <c r="RJE20" s="64"/>
      <c r="RJF20" s="64"/>
      <c r="RJG20" s="64"/>
      <c r="RJH20" s="64"/>
      <c r="RJI20" s="64"/>
      <c r="RJJ20" s="64"/>
      <c r="RJK20" s="64"/>
      <c r="RJL20" s="64"/>
      <c r="RJM20" s="64"/>
      <c r="RJN20" s="64"/>
      <c r="RJO20" s="64"/>
      <c r="RJP20" s="64"/>
      <c r="RJQ20" s="64"/>
      <c r="RJR20" s="64"/>
      <c r="RJS20" s="64"/>
      <c r="RJT20" s="64"/>
      <c r="RJU20" s="64"/>
      <c r="RJV20" s="64"/>
      <c r="RJW20" s="64"/>
      <c r="RJX20" s="64"/>
      <c r="RJY20" s="64"/>
      <c r="RJZ20" s="64"/>
      <c r="RKA20" s="64"/>
      <c r="RKB20" s="64"/>
      <c r="RKC20" s="64"/>
      <c r="RKD20" s="64"/>
      <c r="RKE20" s="64"/>
      <c r="RKF20" s="64"/>
      <c r="RKG20" s="64"/>
      <c r="RKH20" s="64"/>
      <c r="RKI20" s="64"/>
      <c r="RKJ20" s="64"/>
      <c r="RKK20" s="64"/>
      <c r="RKL20" s="64"/>
      <c r="RKM20" s="64"/>
      <c r="RKN20" s="64"/>
      <c r="RKO20" s="64"/>
      <c r="RKP20" s="64"/>
      <c r="RKQ20" s="64"/>
      <c r="RKR20" s="64"/>
      <c r="RKS20" s="64"/>
      <c r="RKT20" s="64"/>
      <c r="RKU20" s="64"/>
      <c r="RKV20" s="64"/>
      <c r="RKW20" s="64"/>
      <c r="RKX20" s="64"/>
      <c r="RKY20" s="64"/>
      <c r="RKZ20" s="64"/>
      <c r="RLA20" s="64"/>
      <c r="RLB20" s="64"/>
      <c r="RLC20" s="64"/>
      <c r="RLD20" s="64"/>
      <c r="RLE20" s="64"/>
      <c r="RLF20" s="64"/>
      <c r="RLG20" s="64"/>
      <c r="RLH20" s="64"/>
      <c r="RLI20" s="64"/>
      <c r="RLJ20" s="64"/>
      <c r="RLK20" s="64"/>
      <c r="RLL20" s="64"/>
      <c r="RLM20" s="64"/>
      <c r="RLN20" s="64"/>
      <c r="RLO20" s="64"/>
      <c r="RLP20" s="64"/>
      <c r="RLQ20" s="64"/>
      <c r="RLR20" s="64"/>
      <c r="RLS20" s="64"/>
      <c r="RLT20" s="64"/>
      <c r="RLU20" s="64"/>
      <c r="RLV20" s="64"/>
      <c r="RLW20" s="64"/>
      <c r="RLX20" s="64"/>
      <c r="RLY20" s="64"/>
      <c r="RLZ20" s="64"/>
      <c r="RMA20" s="64"/>
      <c r="RMB20" s="64"/>
      <c r="RMC20" s="64"/>
      <c r="RMD20" s="64"/>
      <c r="RME20" s="64"/>
      <c r="RMF20" s="64"/>
      <c r="RMG20" s="64"/>
      <c r="RMH20" s="64"/>
      <c r="RMI20" s="64"/>
      <c r="RMJ20" s="64"/>
      <c r="RMK20" s="64"/>
      <c r="RML20" s="64"/>
      <c r="RMM20" s="64"/>
      <c r="RMN20" s="64"/>
      <c r="RMO20" s="64"/>
      <c r="RMP20" s="64"/>
      <c r="RMQ20" s="64"/>
      <c r="RMR20" s="64"/>
      <c r="RMS20" s="64"/>
      <c r="RMT20" s="64"/>
      <c r="RMU20" s="64"/>
      <c r="RMV20" s="64"/>
      <c r="RMW20" s="64"/>
      <c r="RMX20" s="64"/>
      <c r="RMY20" s="64"/>
      <c r="RMZ20" s="64"/>
      <c r="RNA20" s="64"/>
      <c r="RNB20" s="64"/>
      <c r="RNC20" s="64"/>
      <c r="RND20" s="64"/>
      <c r="RNE20" s="64"/>
      <c r="RNF20" s="64"/>
      <c r="RNG20" s="64"/>
      <c r="RNH20" s="64"/>
      <c r="RNI20" s="64"/>
      <c r="RNJ20" s="64"/>
      <c r="RNK20" s="64"/>
      <c r="RNL20" s="64"/>
      <c r="RNM20" s="64"/>
      <c r="RNN20" s="64"/>
      <c r="RNO20" s="64"/>
      <c r="RNP20" s="64"/>
      <c r="RNQ20" s="64"/>
      <c r="RNR20" s="64"/>
      <c r="RNS20" s="64"/>
      <c r="RNT20" s="64"/>
      <c r="RNU20" s="64"/>
      <c r="RNV20" s="64"/>
      <c r="RNW20" s="64"/>
      <c r="RNX20" s="64"/>
      <c r="RNY20" s="64"/>
      <c r="RNZ20" s="64"/>
      <c r="ROA20" s="64"/>
      <c r="ROB20" s="64"/>
      <c r="ROC20" s="64"/>
      <c r="ROD20" s="64"/>
      <c r="ROE20" s="64"/>
      <c r="ROF20" s="64"/>
      <c r="ROG20" s="64"/>
      <c r="ROH20" s="64"/>
      <c r="ROI20" s="64"/>
      <c r="ROJ20" s="64"/>
      <c r="ROK20" s="64"/>
      <c r="ROL20" s="64"/>
      <c r="ROM20" s="64"/>
      <c r="RON20" s="64"/>
      <c r="ROO20" s="64"/>
      <c r="ROP20" s="64"/>
      <c r="ROQ20" s="64"/>
      <c r="ROR20" s="64"/>
      <c r="ROS20" s="64"/>
      <c r="ROT20" s="64"/>
      <c r="ROU20" s="64"/>
      <c r="ROV20" s="64"/>
      <c r="ROW20" s="64"/>
      <c r="ROX20" s="64"/>
      <c r="ROY20" s="64"/>
      <c r="ROZ20" s="64"/>
      <c r="RPA20" s="64"/>
      <c r="RPB20" s="64"/>
      <c r="RPC20" s="64"/>
      <c r="RPD20" s="64"/>
      <c r="RPE20" s="64"/>
      <c r="RPF20" s="64"/>
      <c r="RPG20" s="64"/>
      <c r="RPH20" s="64"/>
      <c r="RPI20" s="64"/>
      <c r="RPJ20" s="64"/>
      <c r="RPK20" s="64"/>
      <c r="RPL20" s="64"/>
      <c r="RPM20" s="64"/>
      <c r="RPN20" s="64"/>
      <c r="RPO20" s="64"/>
      <c r="RPP20" s="64"/>
      <c r="RPQ20" s="64"/>
      <c r="RPR20" s="64"/>
      <c r="RPS20" s="64"/>
      <c r="RPT20" s="64"/>
      <c r="RPU20" s="64"/>
      <c r="RPV20" s="64"/>
      <c r="RPW20" s="64"/>
      <c r="RPX20" s="64"/>
      <c r="RPY20" s="64"/>
      <c r="RPZ20" s="64"/>
      <c r="RQA20" s="64"/>
      <c r="RQB20" s="64"/>
      <c r="RQC20" s="64"/>
      <c r="RQD20" s="64"/>
      <c r="RQE20" s="64"/>
      <c r="RQF20" s="64"/>
      <c r="RQG20" s="64"/>
      <c r="RQH20" s="64"/>
      <c r="RQI20" s="64"/>
      <c r="RQJ20" s="64"/>
      <c r="RQK20" s="64"/>
      <c r="RQL20" s="64"/>
      <c r="RQM20" s="64"/>
      <c r="RQN20" s="64"/>
      <c r="RQO20" s="64"/>
      <c r="RQP20" s="64"/>
      <c r="RQQ20" s="64"/>
      <c r="RQR20" s="64"/>
      <c r="RQS20" s="64"/>
      <c r="RQT20" s="64"/>
      <c r="RQU20" s="64"/>
      <c r="RQV20" s="64"/>
      <c r="RQW20" s="64"/>
      <c r="RQX20" s="64"/>
      <c r="RQY20" s="64"/>
      <c r="RQZ20" s="64"/>
      <c r="RRA20" s="64"/>
      <c r="RRB20" s="64"/>
      <c r="RRC20" s="64"/>
      <c r="RRD20" s="64"/>
      <c r="RRE20" s="64"/>
      <c r="RRF20" s="64"/>
      <c r="RRG20" s="64"/>
      <c r="RRH20" s="64"/>
      <c r="RRI20" s="64"/>
      <c r="RRJ20" s="64"/>
      <c r="RRK20" s="64"/>
      <c r="RRL20" s="64"/>
      <c r="RRM20" s="64"/>
      <c r="RRN20" s="64"/>
      <c r="RRO20" s="64"/>
      <c r="RRP20" s="64"/>
      <c r="RRQ20" s="64"/>
      <c r="RRR20" s="64"/>
      <c r="RRS20" s="64"/>
      <c r="RRT20" s="64"/>
      <c r="RRU20" s="64"/>
      <c r="RRV20" s="64"/>
      <c r="RRW20" s="64"/>
      <c r="RRX20" s="64"/>
      <c r="RRY20" s="64"/>
      <c r="RRZ20" s="64"/>
      <c r="RSA20" s="64"/>
      <c r="RSB20" s="64"/>
      <c r="RSC20" s="64"/>
      <c r="RSD20" s="64"/>
      <c r="RSE20" s="64"/>
      <c r="RSF20" s="64"/>
      <c r="RSG20" s="64"/>
      <c r="RSH20" s="64"/>
      <c r="RSI20" s="64"/>
      <c r="RSJ20" s="64"/>
      <c r="RSK20" s="64"/>
      <c r="RSL20" s="64"/>
      <c r="RSM20" s="64"/>
      <c r="RSN20" s="64"/>
      <c r="RSO20" s="64"/>
      <c r="RSP20" s="64"/>
      <c r="RSQ20" s="64"/>
      <c r="RSR20" s="64"/>
      <c r="RSS20" s="64"/>
      <c r="RST20" s="64"/>
      <c r="RSU20" s="64"/>
      <c r="RSV20" s="64"/>
      <c r="RSW20" s="64"/>
      <c r="RSX20" s="64"/>
      <c r="RSY20" s="64"/>
      <c r="RSZ20" s="64"/>
      <c r="RTA20" s="64"/>
      <c r="RTB20" s="64"/>
      <c r="RTC20" s="64"/>
      <c r="RTD20" s="64"/>
      <c r="RTE20" s="64"/>
      <c r="RTF20" s="64"/>
      <c r="RTG20" s="64"/>
      <c r="RTH20" s="64"/>
      <c r="RTI20" s="64"/>
      <c r="RTJ20" s="64"/>
      <c r="RTK20" s="64"/>
      <c r="RTL20" s="64"/>
      <c r="RTM20" s="64"/>
      <c r="RTN20" s="64"/>
      <c r="RTO20" s="64"/>
      <c r="RTP20" s="64"/>
      <c r="RTQ20" s="64"/>
      <c r="RTR20" s="64"/>
      <c r="RTS20" s="64"/>
      <c r="RTT20" s="64"/>
      <c r="RTU20" s="64"/>
      <c r="RTV20" s="64"/>
      <c r="RTW20" s="64"/>
      <c r="RTX20" s="64"/>
      <c r="RTY20" s="64"/>
      <c r="RTZ20" s="64"/>
      <c r="RUA20" s="64"/>
      <c r="RUB20" s="64"/>
      <c r="RUC20" s="64"/>
      <c r="RUD20" s="64"/>
      <c r="RUE20" s="64"/>
      <c r="RUF20" s="64"/>
      <c r="RUG20" s="64"/>
      <c r="RUH20" s="64"/>
      <c r="RUI20" s="64"/>
      <c r="RUJ20" s="64"/>
      <c r="RUK20" s="64"/>
      <c r="RUL20" s="64"/>
      <c r="RUM20" s="64"/>
      <c r="RUN20" s="64"/>
      <c r="RUO20" s="64"/>
      <c r="RUP20" s="64"/>
      <c r="RUQ20" s="64"/>
      <c r="RUR20" s="64"/>
      <c r="RUS20" s="64"/>
      <c r="RUT20" s="64"/>
      <c r="RUU20" s="64"/>
      <c r="RUV20" s="64"/>
      <c r="RUW20" s="64"/>
      <c r="RUX20" s="64"/>
      <c r="RUY20" s="64"/>
      <c r="RUZ20" s="64"/>
      <c r="RVA20" s="64"/>
      <c r="RVB20" s="64"/>
      <c r="RVC20" s="64"/>
      <c r="RVD20" s="64"/>
      <c r="RVE20" s="64"/>
      <c r="RVF20" s="64"/>
      <c r="RVG20" s="64"/>
      <c r="RVH20" s="64"/>
      <c r="RVI20" s="64"/>
      <c r="RVJ20" s="64"/>
      <c r="RVK20" s="64"/>
      <c r="RVL20" s="64"/>
      <c r="RVM20" s="64"/>
      <c r="RVN20" s="64"/>
      <c r="RVO20" s="64"/>
      <c r="RVP20" s="64"/>
      <c r="RVQ20" s="64"/>
      <c r="RVR20" s="64"/>
      <c r="RVS20" s="64"/>
      <c r="RVT20" s="64"/>
      <c r="RVU20" s="64"/>
      <c r="RVV20" s="64"/>
      <c r="RVW20" s="64"/>
      <c r="RVX20" s="64"/>
      <c r="RVY20" s="64"/>
      <c r="RVZ20" s="64"/>
      <c r="RWA20" s="64"/>
      <c r="RWB20" s="64"/>
      <c r="RWC20" s="64"/>
      <c r="RWD20" s="64"/>
      <c r="RWE20" s="64"/>
      <c r="RWF20" s="64"/>
      <c r="RWG20" s="64"/>
      <c r="RWH20" s="64"/>
      <c r="RWI20" s="64"/>
      <c r="RWJ20" s="64"/>
      <c r="RWK20" s="64"/>
      <c r="RWL20" s="64"/>
      <c r="RWM20" s="64"/>
      <c r="RWN20" s="64"/>
      <c r="RWO20" s="64"/>
      <c r="RWP20" s="64"/>
      <c r="RWQ20" s="64"/>
      <c r="RWR20" s="64"/>
      <c r="RWS20" s="64"/>
      <c r="RWT20" s="64"/>
      <c r="RWU20" s="64"/>
      <c r="RWV20" s="64"/>
      <c r="RWW20" s="64"/>
      <c r="RWX20" s="64"/>
      <c r="RWY20" s="64"/>
      <c r="RWZ20" s="64"/>
      <c r="RXA20" s="64"/>
      <c r="RXB20" s="64"/>
      <c r="RXC20" s="64"/>
      <c r="RXD20" s="64"/>
      <c r="RXE20" s="64"/>
      <c r="RXF20" s="64"/>
      <c r="RXG20" s="64"/>
      <c r="RXH20" s="64"/>
      <c r="RXI20" s="64"/>
      <c r="RXJ20" s="64"/>
      <c r="RXK20" s="64"/>
      <c r="RXL20" s="64"/>
      <c r="RXM20" s="64"/>
      <c r="RXN20" s="64"/>
      <c r="RXO20" s="64"/>
      <c r="RXP20" s="64"/>
      <c r="RXQ20" s="64"/>
      <c r="RXR20" s="64"/>
      <c r="RXS20" s="64"/>
      <c r="RXT20" s="64"/>
      <c r="RXU20" s="64"/>
      <c r="RXV20" s="64"/>
      <c r="RXW20" s="64"/>
      <c r="RXX20" s="64"/>
      <c r="RXY20" s="64"/>
      <c r="RXZ20" s="64"/>
      <c r="RYA20" s="64"/>
      <c r="RYB20" s="64"/>
      <c r="RYC20" s="64"/>
      <c r="RYD20" s="64"/>
      <c r="RYE20" s="64"/>
      <c r="RYF20" s="64"/>
      <c r="RYG20" s="64"/>
      <c r="RYH20" s="64"/>
      <c r="RYI20" s="64"/>
      <c r="RYJ20" s="64"/>
      <c r="RYK20" s="64"/>
      <c r="RYL20" s="64"/>
      <c r="RYM20" s="64"/>
      <c r="RYN20" s="64"/>
      <c r="RYO20" s="64"/>
      <c r="RYP20" s="64"/>
      <c r="RYQ20" s="64"/>
      <c r="RYR20" s="64"/>
      <c r="RYS20" s="64"/>
      <c r="RYT20" s="64"/>
      <c r="RYU20" s="64"/>
      <c r="RYV20" s="64"/>
      <c r="RYW20" s="64"/>
      <c r="RYX20" s="64"/>
      <c r="RYY20" s="64"/>
      <c r="RYZ20" s="64"/>
      <c r="RZA20" s="64"/>
      <c r="RZB20" s="64"/>
      <c r="RZC20" s="64"/>
      <c r="RZD20" s="64"/>
      <c r="RZE20" s="64"/>
      <c r="RZF20" s="64"/>
      <c r="RZG20" s="64"/>
      <c r="RZH20" s="64"/>
      <c r="RZI20" s="64"/>
      <c r="RZJ20" s="64"/>
      <c r="RZK20" s="64"/>
      <c r="RZL20" s="64"/>
      <c r="RZM20" s="64"/>
      <c r="RZN20" s="64"/>
      <c r="RZO20" s="64"/>
      <c r="RZP20" s="64"/>
      <c r="RZQ20" s="64"/>
      <c r="RZR20" s="64"/>
      <c r="RZS20" s="64"/>
      <c r="RZT20" s="64"/>
      <c r="RZU20" s="64"/>
      <c r="RZV20" s="64"/>
      <c r="RZW20" s="64"/>
      <c r="RZX20" s="64"/>
      <c r="RZY20" s="64"/>
      <c r="RZZ20" s="64"/>
      <c r="SAA20" s="64"/>
      <c r="SAB20" s="64"/>
      <c r="SAC20" s="64"/>
      <c r="SAD20" s="64"/>
      <c r="SAE20" s="64"/>
      <c r="SAF20" s="64"/>
      <c r="SAG20" s="64"/>
      <c r="SAH20" s="64"/>
      <c r="SAI20" s="64"/>
      <c r="SAJ20" s="64"/>
      <c r="SAK20" s="64"/>
      <c r="SAL20" s="64"/>
      <c r="SAM20" s="64"/>
      <c r="SAN20" s="64"/>
      <c r="SAO20" s="64"/>
      <c r="SAP20" s="64"/>
      <c r="SAQ20" s="64"/>
      <c r="SAR20" s="64"/>
      <c r="SAS20" s="64"/>
      <c r="SAT20" s="64"/>
      <c r="SAU20" s="64"/>
      <c r="SAV20" s="64"/>
      <c r="SAW20" s="64"/>
      <c r="SAX20" s="64"/>
      <c r="SAY20" s="64"/>
      <c r="SAZ20" s="64"/>
      <c r="SBA20" s="64"/>
      <c r="SBB20" s="64"/>
      <c r="SBC20" s="64"/>
      <c r="SBD20" s="64"/>
      <c r="SBE20" s="64"/>
      <c r="SBF20" s="64"/>
      <c r="SBG20" s="64"/>
      <c r="SBH20" s="64"/>
      <c r="SBI20" s="64"/>
      <c r="SBJ20" s="64"/>
      <c r="SBK20" s="64"/>
      <c r="SBL20" s="64"/>
      <c r="SBM20" s="64"/>
      <c r="SBN20" s="64"/>
      <c r="SBO20" s="64"/>
      <c r="SBP20" s="64"/>
      <c r="SBQ20" s="64"/>
      <c r="SBR20" s="64"/>
      <c r="SBS20" s="64"/>
      <c r="SBT20" s="64"/>
      <c r="SBU20" s="64"/>
      <c r="SBV20" s="64"/>
      <c r="SBW20" s="64"/>
      <c r="SBX20" s="64"/>
      <c r="SBY20" s="64"/>
      <c r="SBZ20" s="64"/>
      <c r="SCA20" s="64"/>
      <c r="SCB20" s="64"/>
      <c r="SCC20" s="64"/>
      <c r="SCD20" s="64"/>
      <c r="SCE20" s="64"/>
      <c r="SCF20" s="64"/>
      <c r="SCG20" s="64"/>
      <c r="SCH20" s="64"/>
      <c r="SCI20" s="64"/>
      <c r="SCJ20" s="64"/>
      <c r="SCK20" s="64"/>
      <c r="SCL20" s="64"/>
      <c r="SCM20" s="64"/>
      <c r="SCN20" s="64"/>
      <c r="SCO20" s="64"/>
      <c r="SCP20" s="64"/>
      <c r="SCQ20" s="64"/>
      <c r="SCR20" s="64"/>
      <c r="SCS20" s="64"/>
      <c r="SCT20" s="64"/>
      <c r="SCU20" s="64"/>
      <c r="SCV20" s="64"/>
      <c r="SCW20" s="64"/>
      <c r="SCX20" s="64"/>
      <c r="SCY20" s="64"/>
      <c r="SCZ20" s="64"/>
      <c r="SDA20" s="64"/>
      <c r="SDB20" s="64"/>
      <c r="SDC20" s="64"/>
      <c r="SDD20" s="64"/>
      <c r="SDE20" s="64"/>
      <c r="SDF20" s="64"/>
      <c r="SDG20" s="64"/>
      <c r="SDH20" s="64"/>
      <c r="SDI20" s="64"/>
      <c r="SDJ20" s="64"/>
      <c r="SDK20" s="64"/>
      <c r="SDL20" s="64"/>
      <c r="SDM20" s="64"/>
      <c r="SDN20" s="64"/>
      <c r="SDO20" s="64"/>
      <c r="SDP20" s="64"/>
      <c r="SDQ20" s="64"/>
      <c r="SDR20" s="64"/>
      <c r="SDS20" s="64"/>
      <c r="SDT20" s="64"/>
      <c r="SDU20" s="64"/>
      <c r="SDV20" s="64"/>
      <c r="SDW20" s="64"/>
      <c r="SDX20" s="64"/>
      <c r="SDY20" s="64"/>
      <c r="SDZ20" s="64"/>
      <c r="SEA20" s="64"/>
      <c r="SEB20" s="64"/>
      <c r="SEC20" s="64"/>
      <c r="SED20" s="64"/>
      <c r="SEE20" s="64"/>
      <c r="SEF20" s="64"/>
      <c r="SEG20" s="64"/>
      <c r="SEH20" s="64"/>
      <c r="SEI20" s="64"/>
      <c r="SEJ20" s="64"/>
      <c r="SEK20" s="64"/>
      <c r="SEL20" s="64"/>
      <c r="SEM20" s="64"/>
      <c r="SEN20" s="64"/>
      <c r="SEO20" s="64"/>
      <c r="SEP20" s="64"/>
      <c r="SEQ20" s="64"/>
      <c r="SER20" s="64"/>
      <c r="SES20" s="64"/>
      <c r="SET20" s="64"/>
      <c r="SEU20" s="64"/>
      <c r="SEV20" s="64"/>
      <c r="SEW20" s="64"/>
      <c r="SEX20" s="64"/>
      <c r="SEY20" s="64"/>
      <c r="SEZ20" s="64"/>
      <c r="SFA20" s="64"/>
      <c r="SFB20" s="64"/>
      <c r="SFC20" s="64"/>
      <c r="SFD20" s="64"/>
      <c r="SFE20" s="64"/>
      <c r="SFF20" s="64"/>
      <c r="SFG20" s="64"/>
      <c r="SFH20" s="64"/>
      <c r="SFI20" s="64"/>
      <c r="SFJ20" s="64"/>
      <c r="SFK20" s="64"/>
      <c r="SFL20" s="64"/>
      <c r="SFM20" s="64"/>
      <c r="SFN20" s="64"/>
      <c r="SFO20" s="64"/>
      <c r="SFP20" s="64"/>
      <c r="SFQ20" s="64"/>
      <c r="SFR20" s="64"/>
      <c r="SFS20" s="64"/>
      <c r="SFT20" s="64"/>
      <c r="SFU20" s="64"/>
      <c r="SFV20" s="64"/>
      <c r="SFW20" s="64"/>
      <c r="SFX20" s="64"/>
      <c r="SFY20" s="64"/>
      <c r="SFZ20" s="64"/>
      <c r="SGA20" s="64"/>
      <c r="SGB20" s="64"/>
      <c r="SGC20" s="64"/>
      <c r="SGD20" s="64"/>
      <c r="SGE20" s="64"/>
      <c r="SGF20" s="64"/>
      <c r="SGG20" s="64"/>
      <c r="SGH20" s="64"/>
      <c r="SGI20" s="64"/>
      <c r="SGJ20" s="64"/>
      <c r="SGK20" s="64"/>
      <c r="SGL20" s="64"/>
      <c r="SGM20" s="64"/>
      <c r="SGN20" s="64"/>
      <c r="SGO20" s="64"/>
      <c r="SGP20" s="64"/>
      <c r="SGQ20" s="64"/>
      <c r="SGR20" s="64"/>
      <c r="SGS20" s="64"/>
      <c r="SGT20" s="64"/>
      <c r="SGU20" s="64"/>
      <c r="SGV20" s="64"/>
      <c r="SGW20" s="64"/>
      <c r="SGX20" s="64"/>
      <c r="SGY20" s="64"/>
      <c r="SGZ20" s="64"/>
      <c r="SHA20" s="64"/>
      <c r="SHB20" s="64"/>
      <c r="SHC20" s="64"/>
      <c r="SHD20" s="64"/>
      <c r="SHE20" s="64"/>
      <c r="SHF20" s="64"/>
      <c r="SHG20" s="64"/>
      <c r="SHH20" s="64"/>
      <c r="SHI20" s="64"/>
      <c r="SHJ20" s="64"/>
      <c r="SHK20" s="64"/>
      <c r="SHL20" s="64"/>
      <c r="SHM20" s="64"/>
      <c r="SHN20" s="64"/>
      <c r="SHO20" s="64"/>
      <c r="SHP20" s="64"/>
      <c r="SHQ20" s="64"/>
      <c r="SHR20" s="64"/>
      <c r="SHS20" s="64"/>
      <c r="SHT20" s="64"/>
      <c r="SHU20" s="64"/>
      <c r="SHV20" s="64"/>
      <c r="SHW20" s="64"/>
      <c r="SHX20" s="64"/>
      <c r="SHY20" s="64"/>
      <c r="SHZ20" s="64"/>
      <c r="SIA20" s="64"/>
      <c r="SIB20" s="64"/>
      <c r="SIC20" s="64"/>
      <c r="SID20" s="64"/>
      <c r="SIE20" s="64"/>
      <c r="SIF20" s="64"/>
      <c r="SIG20" s="64"/>
      <c r="SIH20" s="64"/>
      <c r="SII20" s="64"/>
      <c r="SIJ20" s="64"/>
      <c r="SIK20" s="64"/>
      <c r="SIL20" s="64"/>
      <c r="SIM20" s="64"/>
      <c r="SIN20" s="64"/>
      <c r="SIO20" s="64"/>
      <c r="SIP20" s="64"/>
      <c r="SIQ20" s="64"/>
      <c r="SIR20" s="64"/>
      <c r="SIS20" s="64"/>
      <c r="SIT20" s="64"/>
      <c r="SIU20" s="64"/>
      <c r="SIV20" s="64"/>
      <c r="SIW20" s="64"/>
      <c r="SIX20" s="64"/>
      <c r="SIY20" s="64"/>
      <c r="SIZ20" s="64"/>
      <c r="SJA20" s="64"/>
      <c r="SJB20" s="64"/>
      <c r="SJC20" s="64"/>
      <c r="SJD20" s="64"/>
      <c r="SJE20" s="64"/>
      <c r="SJF20" s="64"/>
      <c r="SJG20" s="64"/>
      <c r="SJH20" s="64"/>
      <c r="SJI20" s="64"/>
      <c r="SJJ20" s="64"/>
      <c r="SJK20" s="64"/>
      <c r="SJL20" s="64"/>
      <c r="SJM20" s="64"/>
      <c r="SJN20" s="64"/>
      <c r="SJO20" s="64"/>
      <c r="SJP20" s="64"/>
      <c r="SJQ20" s="64"/>
      <c r="SJR20" s="64"/>
      <c r="SJS20" s="64"/>
      <c r="SJT20" s="64"/>
      <c r="SJU20" s="64"/>
      <c r="SJV20" s="64"/>
      <c r="SJW20" s="64"/>
      <c r="SJX20" s="64"/>
      <c r="SJY20" s="64"/>
      <c r="SJZ20" s="64"/>
      <c r="SKA20" s="64"/>
      <c r="SKB20" s="64"/>
      <c r="SKC20" s="64"/>
      <c r="SKD20" s="64"/>
      <c r="SKE20" s="64"/>
      <c r="SKF20" s="64"/>
      <c r="SKG20" s="64"/>
      <c r="SKH20" s="64"/>
      <c r="SKI20" s="64"/>
      <c r="SKJ20" s="64"/>
      <c r="SKK20" s="64"/>
      <c r="SKL20" s="64"/>
      <c r="SKM20" s="64"/>
      <c r="SKN20" s="64"/>
      <c r="SKO20" s="64"/>
      <c r="SKP20" s="64"/>
      <c r="SKQ20" s="64"/>
      <c r="SKR20" s="64"/>
      <c r="SKS20" s="64"/>
      <c r="SKT20" s="64"/>
      <c r="SKU20" s="64"/>
      <c r="SKV20" s="64"/>
      <c r="SKW20" s="64"/>
      <c r="SKX20" s="64"/>
      <c r="SKY20" s="64"/>
      <c r="SKZ20" s="64"/>
      <c r="SLA20" s="64"/>
      <c r="SLB20" s="64"/>
      <c r="SLC20" s="64"/>
      <c r="SLD20" s="64"/>
      <c r="SLE20" s="64"/>
      <c r="SLF20" s="64"/>
      <c r="SLG20" s="64"/>
      <c r="SLH20" s="64"/>
      <c r="SLI20" s="64"/>
      <c r="SLJ20" s="64"/>
      <c r="SLK20" s="64"/>
      <c r="SLL20" s="64"/>
      <c r="SLM20" s="64"/>
      <c r="SLN20" s="64"/>
      <c r="SLO20" s="64"/>
      <c r="SLP20" s="64"/>
      <c r="SLQ20" s="64"/>
      <c r="SLR20" s="64"/>
      <c r="SLS20" s="64"/>
      <c r="SLT20" s="64"/>
      <c r="SLU20" s="64"/>
      <c r="SLV20" s="64"/>
      <c r="SLW20" s="64"/>
      <c r="SLX20" s="64"/>
      <c r="SLY20" s="64"/>
      <c r="SLZ20" s="64"/>
      <c r="SMA20" s="64"/>
      <c r="SMB20" s="64"/>
      <c r="SMC20" s="64"/>
      <c r="SMD20" s="64"/>
      <c r="SME20" s="64"/>
      <c r="SMF20" s="64"/>
      <c r="SMG20" s="64"/>
      <c r="SMH20" s="64"/>
      <c r="SMI20" s="64"/>
      <c r="SMJ20" s="64"/>
      <c r="SMK20" s="64"/>
      <c r="SML20" s="64"/>
      <c r="SMM20" s="64"/>
      <c r="SMN20" s="64"/>
      <c r="SMO20" s="64"/>
      <c r="SMP20" s="64"/>
      <c r="SMQ20" s="64"/>
      <c r="SMR20" s="64"/>
      <c r="SMS20" s="64"/>
      <c r="SMT20" s="64"/>
      <c r="SMU20" s="64"/>
      <c r="SMV20" s="64"/>
      <c r="SMW20" s="64"/>
      <c r="SMX20" s="64"/>
      <c r="SMY20" s="64"/>
      <c r="SMZ20" s="64"/>
      <c r="SNA20" s="64"/>
      <c r="SNB20" s="64"/>
      <c r="SNC20" s="64"/>
      <c r="SND20" s="64"/>
      <c r="SNE20" s="64"/>
      <c r="SNF20" s="64"/>
      <c r="SNG20" s="64"/>
      <c r="SNH20" s="64"/>
      <c r="SNI20" s="64"/>
      <c r="SNJ20" s="64"/>
      <c r="SNK20" s="64"/>
      <c r="SNL20" s="64"/>
      <c r="SNM20" s="64"/>
      <c r="SNN20" s="64"/>
      <c r="SNO20" s="64"/>
      <c r="SNP20" s="64"/>
      <c r="SNQ20" s="64"/>
      <c r="SNR20" s="64"/>
      <c r="SNS20" s="64"/>
      <c r="SNT20" s="64"/>
      <c r="SNU20" s="64"/>
      <c r="SNV20" s="64"/>
      <c r="SNW20" s="64"/>
      <c r="SNX20" s="64"/>
      <c r="SNY20" s="64"/>
      <c r="SNZ20" s="64"/>
      <c r="SOA20" s="64"/>
      <c r="SOB20" s="64"/>
      <c r="SOC20" s="64"/>
      <c r="SOD20" s="64"/>
      <c r="SOE20" s="64"/>
      <c r="SOF20" s="64"/>
      <c r="SOG20" s="64"/>
      <c r="SOH20" s="64"/>
      <c r="SOI20" s="64"/>
      <c r="SOJ20" s="64"/>
      <c r="SOK20" s="64"/>
      <c r="SOL20" s="64"/>
      <c r="SOM20" s="64"/>
      <c r="SON20" s="64"/>
      <c r="SOO20" s="64"/>
      <c r="SOP20" s="64"/>
      <c r="SOQ20" s="64"/>
      <c r="SOR20" s="64"/>
      <c r="SOS20" s="64"/>
      <c r="SOT20" s="64"/>
      <c r="SOU20" s="64"/>
      <c r="SOV20" s="64"/>
      <c r="SOW20" s="64"/>
      <c r="SOX20" s="64"/>
      <c r="SOY20" s="64"/>
      <c r="SOZ20" s="64"/>
      <c r="SPA20" s="64"/>
      <c r="SPB20" s="64"/>
      <c r="SPC20" s="64"/>
      <c r="SPD20" s="64"/>
      <c r="SPE20" s="64"/>
      <c r="SPF20" s="64"/>
      <c r="SPG20" s="64"/>
      <c r="SPH20" s="64"/>
      <c r="SPI20" s="64"/>
      <c r="SPJ20" s="64"/>
      <c r="SPK20" s="64"/>
      <c r="SPL20" s="64"/>
      <c r="SPM20" s="64"/>
      <c r="SPN20" s="64"/>
      <c r="SPO20" s="64"/>
      <c r="SPP20" s="64"/>
      <c r="SPQ20" s="64"/>
      <c r="SPR20" s="64"/>
      <c r="SPS20" s="64"/>
      <c r="SPT20" s="64"/>
      <c r="SPU20" s="64"/>
      <c r="SPV20" s="64"/>
      <c r="SPW20" s="64"/>
      <c r="SPX20" s="64"/>
      <c r="SPY20" s="64"/>
      <c r="SPZ20" s="64"/>
      <c r="SQA20" s="64"/>
      <c r="SQB20" s="64"/>
      <c r="SQC20" s="64"/>
      <c r="SQD20" s="64"/>
      <c r="SQE20" s="64"/>
      <c r="SQF20" s="64"/>
      <c r="SQG20" s="64"/>
      <c r="SQH20" s="64"/>
      <c r="SQI20" s="64"/>
      <c r="SQJ20" s="64"/>
      <c r="SQK20" s="64"/>
      <c r="SQL20" s="64"/>
      <c r="SQM20" s="64"/>
      <c r="SQN20" s="64"/>
      <c r="SQO20" s="64"/>
      <c r="SQP20" s="64"/>
      <c r="SQQ20" s="64"/>
      <c r="SQR20" s="64"/>
      <c r="SQS20" s="64"/>
      <c r="SQT20" s="64"/>
      <c r="SQU20" s="64"/>
      <c r="SQV20" s="64"/>
      <c r="SQW20" s="64"/>
      <c r="SQX20" s="64"/>
      <c r="SQY20" s="64"/>
      <c r="SQZ20" s="64"/>
      <c r="SRA20" s="64"/>
      <c r="SRB20" s="64"/>
      <c r="SRC20" s="64"/>
      <c r="SRD20" s="64"/>
      <c r="SRE20" s="64"/>
      <c r="SRF20" s="64"/>
      <c r="SRG20" s="64"/>
      <c r="SRH20" s="64"/>
      <c r="SRI20" s="64"/>
      <c r="SRJ20" s="64"/>
      <c r="SRK20" s="64"/>
      <c r="SRL20" s="64"/>
      <c r="SRM20" s="64"/>
      <c r="SRN20" s="64"/>
      <c r="SRO20" s="64"/>
      <c r="SRP20" s="64"/>
      <c r="SRQ20" s="64"/>
      <c r="SRR20" s="64"/>
      <c r="SRS20" s="64"/>
      <c r="SRT20" s="64"/>
      <c r="SRU20" s="64"/>
      <c r="SRV20" s="64"/>
      <c r="SRW20" s="64"/>
      <c r="SRX20" s="64"/>
      <c r="SRY20" s="64"/>
      <c r="SRZ20" s="64"/>
      <c r="SSA20" s="64"/>
      <c r="SSB20" s="64"/>
      <c r="SSC20" s="64"/>
      <c r="SSD20" s="64"/>
      <c r="SSE20" s="64"/>
      <c r="SSF20" s="64"/>
      <c r="SSG20" s="64"/>
      <c r="SSH20" s="64"/>
      <c r="SSI20" s="64"/>
      <c r="SSJ20" s="64"/>
      <c r="SSK20" s="64"/>
      <c r="SSL20" s="64"/>
      <c r="SSM20" s="64"/>
      <c r="SSN20" s="64"/>
      <c r="SSO20" s="64"/>
      <c r="SSP20" s="64"/>
      <c r="SSQ20" s="64"/>
      <c r="SSR20" s="64"/>
      <c r="SSS20" s="64"/>
      <c r="SST20" s="64"/>
      <c r="SSU20" s="64"/>
      <c r="SSV20" s="64"/>
      <c r="SSW20" s="64"/>
      <c r="SSX20" s="64"/>
      <c r="SSY20" s="64"/>
      <c r="SSZ20" s="64"/>
      <c r="STA20" s="64"/>
      <c r="STB20" s="64"/>
      <c r="STC20" s="64"/>
      <c r="STD20" s="64"/>
      <c r="STE20" s="64"/>
      <c r="STF20" s="64"/>
      <c r="STG20" s="64"/>
      <c r="STH20" s="64"/>
      <c r="STI20" s="64"/>
      <c r="STJ20" s="64"/>
      <c r="STK20" s="64"/>
      <c r="STL20" s="64"/>
      <c r="STM20" s="64"/>
      <c r="STN20" s="64"/>
      <c r="STO20" s="64"/>
      <c r="STP20" s="64"/>
      <c r="STQ20" s="64"/>
      <c r="STR20" s="64"/>
      <c r="STS20" s="64"/>
      <c r="STT20" s="64"/>
      <c r="STU20" s="64"/>
      <c r="STV20" s="64"/>
      <c r="STW20" s="64"/>
      <c r="STX20" s="64"/>
      <c r="STY20" s="64"/>
      <c r="STZ20" s="64"/>
      <c r="SUA20" s="64"/>
      <c r="SUB20" s="64"/>
      <c r="SUC20" s="64"/>
      <c r="SUD20" s="64"/>
      <c r="SUE20" s="64"/>
      <c r="SUF20" s="64"/>
      <c r="SUG20" s="64"/>
      <c r="SUH20" s="64"/>
      <c r="SUI20" s="64"/>
      <c r="SUJ20" s="64"/>
      <c r="SUK20" s="64"/>
      <c r="SUL20" s="64"/>
      <c r="SUM20" s="64"/>
      <c r="SUN20" s="64"/>
      <c r="SUO20" s="64"/>
      <c r="SUP20" s="64"/>
      <c r="SUQ20" s="64"/>
      <c r="SUR20" s="64"/>
      <c r="SUS20" s="64"/>
      <c r="SUT20" s="64"/>
      <c r="SUU20" s="64"/>
      <c r="SUV20" s="64"/>
      <c r="SUW20" s="64"/>
      <c r="SUX20" s="64"/>
      <c r="SUY20" s="64"/>
      <c r="SUZ20" s="64"/>
      <c r="SVA20" s="64"/>
      <c r="SVB20" s="64"/>
      <c r="SVC20" s="64"/>
      <c r="SVD20" s="64"/>
      <c r="SVE20" s="64"/>
      <c r="SVF20" s="64"/>
      <c r="SVG20" s="64"/>
      <c r="SVH20" s="64"/>
      <c r="SVI20" s="64"/>
      <c r="SVJ20" s="64"/>
      <c r="SVK20" s="64"/>
      <c r="SVL20" s="64"/>
      <c r="SVM20" s="64"/>
      <c r="SVN20" s="64"/>
      <c r="SVO20" s="64"/>
      <c r="SVP20" s="64"/>
      <c r="SVQ20" s="64"/>
      <c r="SVR20" s="64"/>
      <c r="SVS20" s="64"/>
      <c r="SVT20" s="64"/>
      <c r="SVU20" s="64"/>
      <c r="SVV20" s="64"/>
      <c r="SVW20" s="64"/>
      <c r="SVX20" s="64"/>
      <c r="SVY20" s="64"/>
      <c r="SVZ20" s="64"/>
      <c r="SWA20" s="64"/>
      <c r="SWB20" s="64"/>
      <c r="SWC20" s="64"/>
      <c r="SWD20" s="64"/>
      <c r="SWE20" s="64"/>
      <c r="SWF20" s="64"/>
      <c r="SWG20" s="64"/>
      <c r="SWH20" s="64"/>
      <c r="SWI20" s="64"/>
      <c r="SWJ20" s="64"/>
      <c r="SWK20" s="64"/>
      <c r="SWL20" s="64"/>
      <c r="SWM20" s="64"/>
      <c r="SWN20" s="64"/>
      <c r="SWO20" s="64"/>
      <c r="SWP20" s="64"/>
      <c r="SWQ20" s="64"/>
      <c r="SWR20" s="64"/>
      <c r="SWS20" s="64"/>
      <c r="SWT20" s="64"/>
      <c r="SWU20" s="64"/>
      <c r="SWV20" s="64"/>
      <c r="SWW20" s="64"/>
      <c r="SWX20" s="64"/>
      <c r="SWY20" s="64"/>
      <c r="SWZ20" s="64"/>
      <c r="SXA20" s="64"/>
      <c r="SXB20" s="64"/>
      <c r="SXC20" s="64"/>
      <c r="SXD20" s="64"/>
      <c r="SXE20" s="64"/>
      <c r="SXF20" s="64"/>
      <c r="SXG20" s="64"/>
      <c r="SXH20" s="64"/>
      <c r="SXI20" s="64"/>
      <c r="SXJ20" s="64"/>
      <c r="SXK20" s="64"/>
      <c r="SXL20" s="64"/>
      <c r="SXM20" s="64"/>
      <c r="SXN20" s="64"/>
      <c r="SXO20" s="64"/>
      <c r="SXP20" s="64"/>
      <c r="SXQ20" s="64"/>
      <c r="SXR20" s="64"/>
      <c r="SXS20" s="64"/>
      <c r="SXT20" s="64"/>
      <c r="SXU20" s="64"/>
      <c r="SXV20" s="64"/>
      <c r="SXW20" s="64"/>
      <c r="SXX20" s="64"/>
      <c r="SXY20" s="64"/>
      <c r="SXZ20" s="64"/>
      <c r="SYA20" s="64"/>
      <c r="SYB20" s="64"/>
      <c r="SYC20" s="64"/>
      <c r="SYD20" s="64"/>
      <c r="SYE20" s="64"/>
      <c r="SYF20" s="64"/>
      <c r="SYG20" s="64"/>
      <c r="SYH20" s="64"/>
      <c r="SYI20" s="64"/>
      <c r="SYJ20" s="64"/>
      <c r="SYK20" s="64"/>
      <c r="SYL20" s="64"/>
      <c r="SYM20" s="64"/>
      <c r="SYN20" s="64"/>
      <c r="SYO20" s="64"/>
      <c r="SYP20" s="64"/>
      <c r="SYQ20" s="64"/>
      <c r="SYR20" s="64"/>
      <c r="SYS20" s="64"/>
      <c r="SYT20" s="64"/>
      <c r="SYU20" s="64"/>
      <c r="SYV20" s="64"/>
      <c r="SYW20" s="64"/>
      <c r="SYX20" s="64"/>
      <c r="SYY20" s="64"/>
      <c r="SYZ20" s="64"/>
      <c r="SZA20" s="64"/>
      <c r="SZB20" s="64"/>
      <c r="SZC20" s="64"/>
      <c r="SZD20" s="64"/>
      <c r="SZE20" s="64"/>
      <c r="SZF20" s="64"/>
      <c r="SZG20" s="64"/>
      <c r="SZH20" s="64"/>
      <c r="SZI20" s="64"/>
      <c r="SZJ20" s="64"/>
      <c r="SZK20" s="64"/>
      <c r="SZL20" s="64"/>
      <c r="SZM20" s="64"/>
      <c r="SZN20" s="64"/>
      <c r="SZO20" s="64"/>
      <c r="SZP20" s="64"/>
      <c r="SZQ20" s="64"/>
      <c r="SZR20" s="64"/>
      <c r="SZS20" s="64"/>
      <c r="SZT20" s="64"/>
      <c r="SZU20" s="64"/>
      <c r="SZV20" s="64"/>
      <c r="SZW20" s="64"/>
      <c r="SZX20" s="64"/>
      <c r="SZY20" s="64"/>
      <c r="SZZ20" s="64"/>
      <c r="TAA20" s="64"/>
      <c r="TAB20" s="64"/>
      <c r="TAC20" s="64"/>
      <c r="TAD20" s="64"/>
      <c r="TAE20" s="64"/>
      <c r="TAF20" s="64"/>
      <c r="TAG20" s="64"/>
      <c r="TAH20" s="64"/>
      <c r="TAI20" s="64"/>
      <c r="TAJ20" s="64"/>
      <c r="TAK20" s="64"/>
      <c r="TAL20" s="64"/>
      <c r="TAM20" s="64"/>
      <c r="TAN20" s="64"/>
      <c r="TAO20" s="64"/>
      <c r="TAP20" s="64"/>
      <c r="TAQ20" s="64"/>
      <c r="TAR20" s="64"/>
      <c r="TAS20" s="64"/>
      <c r="TAT20" s="64"/>
      <c r="TAU20" s="64"/>
      <c r="TAV20" s="64"/>
      <c r="TAW20" s="64"/>
      <c r="TAX20" s="64"/>
      <c r="TAY20" s="64"/>
      <c r="TAZ20" s="64"/>
      <c r="TBA20" s="64"/>
      <c r="TBB20" s="64"/>
      <c r="TBC20" s="64"/>
      <c r="TBD20" s="64"/>
      <c r="TBE20" s="64"/>
      <c r="TBF20" s="64"/>
      <c r="TBG20" s="64"/>
      <c r="TBH20" s="64"/>
      <c r="TBI20" s="64"/>
      <c r="TBJ20" s="64"/>
      <c r="TBK20" s="64"/>
      <c r="TBL20" s="64"/>
      <c r="TBM20" s="64"/>
      <c r="TBN20" s="64"/>
      <c r="TBO20" s="64"/>
      <c r="TBP20" s="64"/>
      <c r="TBQ20" s="64"/>
      <c r="TBR20" s="64"/>
      <c r="TBS20" s="64"/>
      <c r="TBT20" s="64"/>
      <c r="TBU20" s="64"/>
      <c r="TBV20" s="64"/>
      <c r="TBW20" s="64"/>
      <c r="TBX20" s="64"/>
      <c r="TBY20" s="64"/>
      <c r="TBZ20" s="64"/>
      <c r="TCA20" s="64"/>
      <c r="TCB20" s="64"/>
      <c r="TCC20" s="64"/>
      <c r="TCD20" s="64"/>
      <c r="TCE20" s="64"/>
      <c r="TCF20" s="64"/>
      <c r="TCG20" s="64"/>
      <c r="TCH20" s="64"/>
      <c r="TCI20" s="64"/>
      <c r="TCJ20" s="64"/>
      <c r="TCK20" s="64"/>
      <c r="TCL20" s="64"/>
      <c r="TCM20" s="64"/>
      <c r="TCN20" s="64"/>
      <c r="TCO20" s="64"/>
      <c r="TCP20" s="64"/>
      <c r="TCQ20" s="64"/>
      <c r="TCR20" s="64"/>
      <c r="TCS20" s="64"/>
      <c r="TCT20" s="64"/>
      <c r="TCU20" s="64"/>
      <c r="TCV20" s="64"/>
      <c r="TCW20" s="64"/>
      <c r="TCX20" s="64"/>
      <c r="TCY20" s="64"/>
      <c r="TCZ20" s="64"/>
      <c r="TDA20" s="64"/>
      <c r="TDB20" s="64"/>
      <c r="TDC20" s="64"/>
      <c r="TDD20" s="64"/>
      <c r="TDE20" s="64"/>
      <c r="TDF20" s="64"/>
      <c r="TDG20" s="64"/>
      <c r="TDH20" s="64"/>
      <c r="TDI20" s="64"/>
      <c r="TDJ20" s="64"/>
      <c r="TDK20" s="64"/>
      <c r="TDL20" s="64"/>
      <c r="TDM20" s="64"/>
      <c r="TDN20" s="64"/>
      <c r="TDO20" s="64"/>
      <c r="TDP20" s="64"/>
      <c r="TDQ20" s="64"/>
      <c r="TDR20" s="64"/>
      <c r="TDS20" s="64"/>
      <c r="TDT20" s="64"/>
      <c r="TDU20" s="64"/>
      <c r="TDV20" s="64"/>
      <c r="TDW20" s="64"/>
      <c r="TDX20" s="64"/>
      <c r="TDY20" s="64"/>
      <c r="TDZ20" s="64"/>
      <c r="TEA20" s="64"/>
      <c r="TEB20" s="64"/>
      <c r="TEC20" s="64"/>
      <c r="TED20" s="64"/>
      <c r="TEE20" s="64"/>
      <c r="TEF20" s="64"/>
      <c r="TEG20" s="64"/>
      <c r="TEH20" s="64"/>
      <c r="TEI20" s="64"/>
      <c r="TEJ20" s="64"/>
      <c r="TEK20" s="64"/>
      <c r="TEL20" s="64"/>
      <c r="TEM20" s="64"/>
      <c r="TEN20" s="64"/>
      <c r="TEO20" s="64"/>
      <c r="TEP20" s="64"/>
      <c r="TEQ20" s="64"/>
      <c r="TER20" s="64"/>
      <c r="TES20" s="64"/>
      <c r="TET20" s="64"/>
      <c r="TEU20" s="64"/>
      <c r="TEV20" s="64"/>
      <c r="TEW20" s="64"/>
      <c r="TEX20" s="64"/>
      <c r="TEY20" s="64"/>
      <c r="TEZ20" s="64"/>
      <c r="TFA20" s="64"/>
      <c r="TFB20" s="64"/>
      <c r="TFC20" s="64"/>
      <c r="TFD20" s="64"/>
      <c r="TFE20" s="64"/>
      <c r="TFF20" s="64"/>
      <c r="TFG20" s="64"/>
      <c r="TFH20" s="64"/>
      <c r="TFI20" s="64"/>
      <c r="TFJ20" s="64"/>
      <c r="TFK20" s="64"/>
      <c r="TFL20" s="64"/>
      <c r="TFM20" s="64"/>
      <c r="TFN20" s="64"/>
      <c r="TFO20" s="64"/>
      <c r="TFP20" s="64"/>
      <c r="TFQ20" s="64"/>
      <c r="TFR20" s="64"/>
      <c r="TFS20" s="64"/>
      <c r="TFT20" s="64"/>
      <c r="TFU20" s="64"/>
      <c r="TFV20" s="64"/>
      <c r="TFW20" s="64"/>
      <c r="TFX20" s="64"/>
      <c r="TFY20" s="64"/>
      <c r="TFZ20" s="64"/>
      <c r="TGA20" s="64"/>
      <c r="TGB20" s="64"/>
      <c r="TGC20" s="64"/>
      <c r="TGD20" s="64"/>
      <c r="TGE20" s="64"/>
      <c r="TGF20" s="64"/>
      <c r="TGG20" s="64"/>
      <c r="TGH20" s="64"/>
      <c r="TGI20" s="64"/>
      <c r="TGJ20" s="64"/>
      <c r="TGK20" s="64"/>
      <c r="TGL20" s="64"/>
      <c r="TGM20" s="64"/>
      <c r="TGN20" s="64"/>
      <c r="TGO20" s="64"/>
      <c r="TGP20" s="64"/>
      <c r="TGQ20" s="64"/>
      <c r="TGR20" s="64"/>
      <c r="TGS20" s="64"/>
      <c r="TGT20" s="64"/>
      <c r="TGU20" s="64"/>
      <c r="TGV20" s="64"/>
      <c r="TGW20" s="64"/>
      <c r="TGX20" s="64"/>
      <c r="TGY20" s="64"/>
      <c r="TGZ20" s="64"/>
      <c r="THA20" s="64"/>
      <c r="THB20" s="64"/>
      <c r="THC20" s="64"/>
      <c r="THD20" s="64"/>
      <c r="THE20" s="64"/>
      <c r="THF20" s="64"/>
      <c r="THG20" s="64"/>
      <c r="THH20" s="64"/>
      <c r="THI20" s="64"/>
      <c r="THJ20" s="64"/>
      <c r="THK20" s="64"/>
      <c r="THL20" s="64"/>
      <c r="THM20" s="64"/>
      <c r="THN20" s="64"/>
      <c r="THO20" s="64"/>
      <c r="THP20" s="64"/>
      <c r="THQ20" s="64"/>
      <c r="THR20" s="64"/>
      <c r="THS20" s="64"/>
      <c r="THT20" s="64"/>
      <c r="THU20" s="64"/>
      <c r="THV20" s="64"/>
      <c r="THW20" s="64"/>
      <c r="THX20" s="64"/>
      <c r="THY20" s="64"/>
      <c r="THZ20" s="64"/>
      <c r="TIA20" s="64"/>
      <c r="TIB20" s="64"/>
      <c r="TIC20" s="64"/>
      <c r="TID20" s="64"/>
      <c r="TIE20" s="64"/>
      <c r="TIF20" s="64"/>
      <c r="TIG20" s="64"/>
      <c r="TIH20" s="64"/>
      <c r="TII20" s="64"/>
      <c r="TIJ20" s="64"/>
      <c r="TIK20" s="64"/>
      <c r="TIL20" s="64"/>
      <c r="TIM20" s="64"/>
      <c r="TIN20" s="64"/>
      <c r="TIO20" s="64"/>
      <c r="TIP20" s="64"/>
      <c r="TIQ20" s="64"/>
      <c r="TIR20" s="64"/>
      <c r="TIS20" s="64"/>
      <c r="TIT20" s="64"/>
      <c r="TIU20" s="64"/>
      <c r="TIV20" s="64"/>
      <c r="TIW20" s="64"/>
      <c r="TIX20" s="64"/>
      <c r="TIY20" s="64"/>
      <c r="TIZ20" s="64"/>
      <c r="TJA20" s="64"/>
      <c r="TJB20" s="64"/>
      <c r="TJC20" s="64"/>
      <c r="TJD20" s="64"/>
      <c r="TJE20" s="64"/>
      <c r="TJF20" s="64"/>
      <c r="TJG20" s="64"/>
      <c r="TJH20" s="64"/>
      <c r="TJI20" s="64"/>
      <c r="TJJ20" s="64"/>
      <c r="TJK20" s="64"/>
      <c r="TJL20" s="64"/>
      <c r="TJM20" s="64"/>
      <c r="TJN20" s="64"/>
      <c r="TJO20" s="64"/>
      <c r="TJP20" s="64"/>
      <c r="TJQ20" s="64"/>
      <c r="TJR20" s="64"/>
      <c r="TJS20" s="64"/>
      <c r="TJT20" s="64"/>
      <c r="TJU20" s="64"/>
      <c r="TJV20" s="64"/>
      <c r="TJW20" s="64"/>
      <c r="TJX20" s="64"/>
      <c r="TJY20" s="64"/>
      <c r="TJZ20" s="64"/>
      <c r="TKA20" s="64"/>
      <c r="TKB20" s="64"/>
      <c r="TKC20" s="64"/>
      <c r="TKD20" s="64"/>
      <c r="TKE20" s="64"/>
      <c r="TKF20" s="64"/>
      <c r="TKG20" s="64"/>
      <c r="TKH20" s="64"/>
      <c r="TKI20" s="64"/>
      <c r="TKJ20" s="64"/>
      <c r="TKK20" s="64"/>
      <c r="TKL20" s="64"/>
      <c r="TKM20" s="64"/>
      <c r="TKN20" s="64"/>
      <c r="TKO20" s="64"/>
      <c r="TKP20" s="64"/>
      <c r="TKQ20" s="64"/>
      <c r="TKR20" s="64"/>
      <c r="TKS20" s="64"/>
      <c r="TKT20" s="64"/>
      <c r="TKU20" s="64"/>
      <c r="TKV20" s="64"/>
      <c r="TKW20" s="64"/>
      <c r="TKX20" s="64"/>
      <c r="TKY20" s="64"/>
      <c r="TKZ20" s="64"/>
      <c r="TLA20" s="64"/>
      <c r="TLB20" s="64"/>
      <c r="TLC20" s="64"/>
      <c r="TLD20" s="64"/>
      <c r="TLE20" s="64"/>
      <c r="TLF20" s="64"/>
      <c r="TLG20" s="64"/>
      <c r="TLH20" s="64"/>
      <c r="TLI20" s="64"/>
      <c r="TLJ20" s="64"/>
      <c r="TLK20" s="64"/>
      <c r="TLL20" s="64"/>
      <c r="TLM20" s="64"/>
      <c r="TLN20" s="64"/>
      <c r="TLO20" s="64"/>
      <c r="TLP20" s="64"/>
      <c r="TLQ20" s="64"/>
      <c r="TLR20" s="64"/>
      <c r="TLS20" s="64"/>
      <c r="TLT20" s="64"/>
      <c r="TLU20" s="64"/>
      <c r="TLV20" s="64"/>
      <c r="TLW20" s="64"/>
      <c r="TLX20" s="64"/>
      <c r="TLY20" s="64"/>
      <c r="TLZ20" s="64"/>
      <c r="TMA20" s="64"/>
      <c r="TMB20" s="64"/>
      <c r="TMC20" s="64"/>
      <c r="TMD20" s="64"/>
      <c r="TME20" s="64"/>
      <c r="TMF20" s="64"/>
      <c r="TMG20" s="64"/>
      <c r="TMH20" s="64"/>
      <c r="TMI20" s="64"/>
      <c r="TMJ20" s="64"/>
      <c r="TMK20" s="64"/>
      <c r="TML20" s="64"/>
      <c r="TMM20" s="64"/>
      <c r="TMN20" s="64"/>
      <c r="TMO20" s="64"/>
      <c r="TMP20" s="64"/>
      <c r="TMQ20" s="64"/>
      <c r="TMR20" s="64"/>
      <c r="TMS20" s="64"/>
      <c r="TMT20" s="64"/>
      <c r="TMU20" s="64"/>
      <c r="TMV20" s="64"/>
      <c r="TMW20" s="64"/>
      <c r="TMX20" s="64"/>
      <c r="TMY20" s="64"/>
      <c r="TMZ20" s="64"/>
      <c r="TNA20" s="64"/>
      <c r="TNB20" s="64"/>
      <c r="TNC20" s="64"/>
      <c r="TND20" s="64"/>
      <c r="TNE20" s="64"/>
      <c r="TNF20" s="64"/>
      <c r="TNG20" s="64"/>
      <c r="TNH20" s="64"/>
      <c r="TNI20" s="64"/>
      <c r="TNJ20" s="64"/>
      <c r="TNK20" s="64"/>
      <c r="TNL20" s="64"/>
      <c r="TNM20" s="64"/>
      <c r="TNN20" s="64"/>
      <c r="TNO20" s="64"/>
      <c r="TNP20" s="64"/>
      <c r="TNQ20" s="64"/>
      <c r="TNR20" s="64"/>
      <c r="TNS20" s="64"/>
      <c r="TNT20" s="64"/>
      <c r="TNU20" s="64"/>
      <c r="TNV20" s="64"/>
      <c r="TNW20" s="64"/>
      <c r="TNX20" s="64"/>
      <c r="TNY20" s="64"/>
      <c r="TNZ20" s="64"/>
      <c r="TOA20" s="64"/>
      <c r="TOB20" s="64"/>
      <c r="TOC20" s="64"/>
      <c r="TOD20" s="64"/>
      <c r="TOE20" s="64"/>
      <c r="TOF20" s="64"/>
      <c r="TOG20" s="64"/>
      <c r="TOH20" s="64"/>
      <c r="TOI20" s="64"/>
      <c r="TOJ20" s="64"/>
      <c r="TOK20" s="64"/>
      <c r="TOL20" s="64"/>
      <c r="TOM20" s="64"/>
      <c r="TON20" s="64"/>
      <c r="TOO20" s="64"/>
      <c r="TOP20" s="64"/>
      <c r="TOQ20" s="64"/>
      <c r="TOR20" s="64"/>
      <c r="TOS20" s="64"/>
      <c r="TOT20" s="64"/>
      <c r="TOU20" s="64"/>
      <c r="TOV20" s="64"/>
      <c r="TOW20" s="64"/>
      <c r="TOX20" s="64"/>
      <c r="TOY20" s="64"/>
      <c r="TOZ20" s="64"/>
      <c r="TPA20" s="64"/>
      <c r="TPB20" s="64"/>
      <c r="TPC20" s="64"/>
      <c r="TPD20" s="64"/>
      <c r="TPE20" s="64"/>
      <c r="TPF20" s="64"/>
      <c r="TPG20" s="64"/>
      <c r="TPH20" s="64"/>
      <c r="TPI20" s="64"/>
      <c r="TPJ20" s="64"/>
      <c r="TPK20" s="64"/>
      <c r="TPL20" s="64"/>
      <c r="TPM20" s="64"/>
      <c r="TPN20" s="64"/>
      <c r="TPO20" s="64"/>
      <c r="TPP20" s="64"/>
      <c r="TPQ20" s="64"/>
      <c r="TPR20" s="64"/>
      <c r="TPS20" s="64"/>
      <c r="TPT20" s="64"/>
      <c r="TPU20" s="64"/>
      <c r="TPV20" s="64"/>
      <c r="TPW20" s="64"/>
      <c r="TPX20" s="64"/>
      <c r="TPY20" s="64"/>
      <c r="TPZ20" s="64"/>
      <c r="TQA20" s="64"/>
      <c r="TQB20" s="64"/>
      <c r="TQC20" s="64"/>
      <c r="TQD20" s="64"/>
      <c r="TQE20" s="64"/>
      <c r="TQF20" s="64"/>
      <c r="TQG20" s="64"/>
      <c r="TQH20" s="64"/>
      <c r="TQI20" s="64"/>
      <c r="TQJ20" s="64"/>
      <c r="TQK20" s="64"/>
      <c r="TQL20" s="64"/>
      <c r="TQM20" s="64"/>
      <c r="TQN20" s="64"/>
      <c r="TQO20" s="64"/>
      <c r="TQP20" s="64"/>
      <c r="TQQ20" s="64"/>
      <c r="TQR20" s="64"/>
      <c r="TQS20" s="64"/>
      <c r="TQT20" s="64"/>
      <c r="TQU20" s="64"/>
      <c r="TQV20" s="64"/>
      <c r="TQW20" s="64"/>
      <c r="TQX20" s="64"/>
      <c r="TQY20" s="64"/>
      <c r="TQZ20" s="64"/>
      <c r="TRA20" s="64"/>
      <c r="TRB20" s="64"/>
      <c r="TRC20" s="64"/>
      <c r="TRD20" s="64"/>
      <c r="TRE20" s="64"/>
      <c r="TRF20" s="64"/>
      <c r="TRG20" s="64"/>
      <c r="TRH20" s="64"/>
      <c r="TRI20" s="64"/>
      <c r="TRJ20" s="64"/>
      <c r="TRK20" s="64"/>
      <c r="TRL20" s="64"/>
      <c r="TRM20" s="64"/>
      <c r="TRN20" s="64"/>
      <c r="TRO20" s="64"/>
      <c r="TRP20" s="64"/>
      <c r="TRQ20" s="64"/>
      <c r="TRR20" s="64"/>
      <c r="TRS20" s="64"/>
      <c r="TRT20" s="64"/>
      <c r="TRU20" s="64"/>
      <c r="TRV20" s="64"/>
      <c r="TRW20" s="64"/>
      <c r="TRX20" s="64"/>
      <c r="TRY20" s="64"/>
      <c r="TRZ20" s="64"/>
      <c r="TSA20" s="64"/>
      <c r="TSB20" s="64"/>
      <c r="TSC20" s="64"/>
      <c r="TSD20" s="64"/>
      <c r="TSE20" s="64"/>
      <c r="TSF20" s="64"/>
      <c r="TSG20" s="64"/>
      <c r="TSH20" s="64"/>
      <c r="TSI20" s="64"/>
      <c r="TSJ20" s="64"/>
      <c r="TSK20" s="64"/>
      <c r="TSL20" s="64"/>
      <c r="TSM20" s="64"/>
      <c r="TSN20" s="64"/>
      <c r="TSO20" s="64"/>
      <c r="TSP20" s="64"/>
      <c r="TSQ20" s="64"/>
      <c r="TSR20" s="64"/>
      <c r="TSS20" s="64"/>
      <c r="TST20" s="64"/>
      <c r="TSU20" s="64"/>
      <c r="TSV20" s="64"/>
      <c r="TSW20" s="64"/>
      <c r="TSX20" s="64"/>
      <c r="TSY20" s="64"/>
      <c r="TSZ20" s="64"/>
      <c r="TTA20" s="64"/>
      <c r="TTB20" s="64"/>
      <c r="TTC20" s="64"/>
      <c r="TTD20" s="64"/>
      <c r="TTE20" s="64"/>
      <c r="TTF20" s="64"/>
      <c r="TTG20" s="64"/>
      <c r="TTH20" s="64"/>
      <c r="TTI20" s="64"/>
      <c r="TTJ20" s="64"/>
      <c r="TTK20" s="64"/>
      <c r="TTL20" s="64"/>
      <c r="TTM20" s="64"/>
      <c r="TTN20" s="64"/>
      <c r="TTO20" s="64"/>
      <c r="TTP20" s="64"/>
      <c r="TTQ20" s="64"/>
      <c r="TTR20" s="64"/>
      <c r="TTS20" s="64"/>
      <c r="TTT20" s="64"/>
      <c r="TTU20" s="64"/>
      <c r="TTV20" s="64"/>
      <c r="TTW20" s="64"/>
      <c r="TTX20" s="64"/>
      <c r="TTY20" s="64"/>
      <c r="TTZ20" s="64"/>
      <c r="TUA20" s="64"/>
      <c r="TUB20" s="64"/>
      <c r="TUC20" s="64"/>
      <c r="TUD20" s="64"/>
      <c r="TUE20" s="64"/>
      <c r="TUF20" s="64"/>
      <c r="TUG20" s="64"/>
      <c r="TUH20" s="64"/>
      <c r="TUI20" s="64"/>
      <c r="TUJ20" s="64"/>
      <c r="TUK20" s="64"/>
      <c r="TUL20" s="64"/>
      <c r="TUM20" s="64"/>
      <c r="TUN20" s="64"/>
      <c r="TUO20" s="64"/>
      <c r="TUP20" s="64"/>
      <c r="TUQ20" s="64"/>
      <c r="TUR20" s="64"/>
      <c r="TUS20" s="64"/>
      <c r="TUT20" s="64"/>
      <c r="TUU20" s="64"/>
      <c r="TUV20" s="64"/>
      <c r="TUW20" s="64"/>
      <c r="TUX20" s="64"/>
      <c r="TUY20" s="64"/>
      <c r="TUZ20" s="64"/>
      <c r="TVA20" s="64"/>
      <c r="TVB20" s="64"/>
      <c r="TVC20" s="64"/>
      <c r="TVD20" s="64"/>
      <c r="TVE20" s="64"/>
      <c r="TVF20" s="64"/>
      <c r="TVG20" s="64"/>
      <c r="TVH20" s="64"/>
      <c r="TVI20" s="64"/>
      <c r="TVJ20" s="64"/>
      <c r="TVK20" s="64"/>
      <c r="TVL20" s="64"/>
      <c r="TVM20" s="64"/>
      <c r="TVN20" s="64"/>
      <c r="TVO20" s="64"/>
      <c r="TVP20" s="64"/>
      <c r="TVQ20" s="64"/>
      <c r="TVR20" s="64"/>
      <c r="TVS20" s="64"/>
      <c r="TVT20" s="64"/>
      <c r="TVU20" s="64"/>
      <c r="TVV20" s="64"/>
      <c r="TVW20" s="64"/>
      <c r="TVX20" s="64"/>
      <c r="TVY20" s="64"/>
      <c r="TVZ20" s="64"/>
      <c r="TWA20" s="64"/>
      <c r="TWB20" s="64"/>
      <c r="TWC20" s="64"/>
      <c r="TWD20" s="64"/>
      <c r="TWE20" s="64"/>
      <c r="TWF20" s="64"/>
      <c r="TWG20" s="64"/>
      <c r="TWH20" s="64"/>
      <c r="TWI20" s="64"/>
      <c r="TWJ20" s="64"/>
      <c r="TWK20" s="64"/>
      <c r="TWL20" s="64"/>
      <c r="TWM20" s="64"/>
      <c r="TWN20" s="64"/>
      <c r="TWO20" s="64"/>
      <c r="TWP20" s="64"/>
      <c r="TWQ20" s="64"/>
      <c r="TWR20" s="64"/>
      <c r="TWS20" s="64"/>
      <c r="TWT20" s="64"/>
      <c r="TWU20" s="64"/>
      <c r="TWV20" s="64"/>
      <c r="TWW20" s="64"/>
      <c r="TWX20" s="64"/>
      <c r="TWY20" s="64"/>
      <c r="TWZ20" s="64"/>
      <c r="TXA20" s="64"/>
      <c r="TXB20" s="64"/>
      <c r="TXC20" s="64"/>
      <c r="TXD20" s="64"/>
      <c r="TXE20" s="64"/>
      <c r="TXF20" s="64"/>
      <c r="TXG20" s="64"/>
      <c r="TXH20" s="64"/>
      <c r="TXI20" s="64"/>
      <c r="TXJ20" s="64"/>
      <c r="TXK20" s="64"/>
      <c r="TXL20" s="64"/>
      <c r="TXM20" s="64"/>
      <c r="TXN20" s="64"/>
      <c r="TXO20" s="64"/>
      <c r="TXP20" s="64"/>
      <c r="TXQ20" s="64"/>
      <c r="TXR20" s="64"/>
      <c r="TXS20" s="64"/>
      <c r="TXT20" s="64"/>
      <c r="TXU20" s="64"/>
      <c r="TXV20" s="64"/>
      <c r="TXW20" s="64"/>
      <c r="TXX20" s="64"/>
      <c r="TXY20" s="64"/>
      <c r="TXZ20" s="64"/>
      <c r="TYA20" s="64"/>
      <c r="TYB20" s="64"/>
      <c r="TYC20" s="64"/>
      <c r="TYD20" s="64"/>
      <c r="TYE20" s="64"/>
      <c r="TYF20" s="64"/>
      <c r="TYG20" s="64"/>
      <c r="TYH20" s="64"/>
      <c r="TYI20" s="64"/>
      <c r="TYJ20" s="64"/>
      <c r="TYK20" s="64"/>
      <c r="TYL20" s="64"/>
      <c r="TYM20" s="64"/>
      <c r="TYN20" s="64"/>
      <c r="TYO20" s="64"/>
      <c r="TYP20" s="64"/>
      <c r="TYQ20" s="64"/>
      <c r="TYR20" s="64"/>
      <c r="TYS20" s="64"/>
      <c r="TYT20" s="64"/>
      <c r="TYU20" s="64"/>
      <c r="TYV20" s="64"/>
      <c r="TYW20" s="64"/>
      <c r="TYX20" s="64"/>
      <c r="TYY20" s="64"/>
      <c r="TYZ20" s="64"/>
      <c r="TZA20" s="64"/>
      <c r="TZB20" s="64"/>
      <c r="TZC20" s="64"/>
      <c r="TZD20" s="64"/>
      <c r="TZE20" s="64"/>
      <c r="TZF20" s="64"/>
      <c r="TZG20" s="64"/>
      <c r="TZH20" s="64"/>
      <c r="TZI20" s="64"/>
      <c r="TZJ20" s="64"/>
      <c r="TZK20" s="64"/>
      <c r="TZL20" s="64"/>
      <c r="TZM20" s="64"/>
      <c r="TZN20" s="64"/>
      <c r="TZO20" s="64"/>
      <c r="TZP20" s="64"/>
      <c r="TZQ20" s="64"/>
      <c r="TZR20" s="64"/>
      <c r="TZS20" s="64"/>
      <c r="TZT20" s="64"/>
      <c r="TZU20" s="64"/>
      <c r="TZV20" s="64"/>
      <c r="TZW20" s="64"/>
      <c r="TZX20" s="64"/>
      <c r="TZY20" s="64"/>
      <c r="TZZ20" s="64"/>
      <c r="UAA20" s="64"/>
      <c r="UAB20" s="64"/>
      <c r="UAC20" s="64"/>
      <c r="UAD20" s="64"/>
      <c r="UAE20" s="64"/>
      <c r="UAF20" s="64"/>
      <c r="UAG20" s="64"/>
      <c r="UAH20" s="64"/>
      <c r="UAI20" s="64"/>
      <c r="UAJ20" s="64"/>
      <c r="UAK20" s="64"/>
      <c r="UAL20" s="64"/>
      <c r="UAM20" s="64"/>
      <c r="UAN20" s="64"/>
      <c r="UAO20" s="64"/>
      <c r="UAP20" s="64"/>
      <c r="UAQ20" s="64"/>
      <c r="UAR20" s="64"/>
      <c r="UAS20" s="64"/>
      <c r="UAT20" s="64"/>
      <c r="UAU20" s="64"/>
      <c r="UAV20" s="64"/>
      <c r="UAW20" s="64"/>
      <c r="UAX20" s="64"/>
      <c r="UAY20" s="64"/>
      <c r="UAZ20" s="64"/>
      <c r="UBA20" s="64"/>
      <c r="UBB20" s="64"/>
      <c r="UBC20" s="64"/>
      <c r="UBD20" s="64"/>
      <c r="UBE20" s="64"/>
      <c r="UBF20" s="64"/>
      <c r="UBG20" s="64"/>
      <c r="UBH20" s="64"/>
      <c r="UBI20" s="64"/>
      <c r="UBJ20" s="64"/>
      <c r="UBK20" s="64"/>
      <c r="UBL20" s="64"/>
      <c r="UBM20" s="64"/>
      <c r="UBN20" s="64"/>
      <c r="UBO20" s="64"/>
      <c r="UBP20" s="64"/>
      <c r="UBQ20" s="64"/>
      <c r="UBR20" s="64"/>
      <c r="UBS20" s="64"/>
      <c r="UBT20" s="64"/>
      <c r="UBU20" s="64"/>
      <c r="UBV20" s="64"/>
      <c r="UBW20" s="64"/>
      <c r="UBX20" s="64"/>
      <c r="UBY20" s="64"/>
      <c r="UBZ20" s="64"/>
      <c r="UCA20" s="64"/>
      <c r="UCB20" s="64"/>
      <c r="UCC20" s="64"/>
      <c r="UCD20" s="64"/>
      <c r="UCE20" s="64"/>
      <c r="UCF20" s="64"/>
      <c r="UCG20" s="64"/>
      <c r="UCH20" s="64"/>
      <c r="UCI20" s="64"/>
      <c r="UCJ20" s="64"/>
      <c r="UCK20" s="64"/>
      <c r="UCL20" s="64"/>
      <c r="UCM20" s="64"/>
      <c r="UCN20" s="64"/>
      <c r="UCO20" s="64"/>
      <c r="UCP20" s="64"/>
      <c r="UCQ20" s="64"/>
      <c r="UCR20" s="64"/>
      <c r="UCS20" s="64"/>
      <c r="UCT20" s="64"/>
      <c r="UCU20" s="64"/>
      <c r="UCV20" s="64"/>
      <c r="UCW20" s="64"/>
      <c r="UCX20" s="64"/>
      <c r="UCY20" s="64"/>
      <c r="UCZ20" s="64"/>
      <c r="UDA20" s="64"/>
      <c r="UDB20" s="64"/>
      <c r="UDC20" s="64"/>
      <c r="UDD20" s="64"/>
      <c r="UDE20" s="64"/>
      <c r="UDF20" s="64"/>
      <c r="UDG20" s="64"/>
      <c r="UDH20" s="64"/>
      <c r="UDI20" s="64"/>
      <c r="UDJ20" s="64"/>
      <c r="UDK20" s="64"/>
      <c r="UDL20" s="64"/>
      <c r="UDM20" s="64"/>
      <c r="UDN20" s="64"/>
      <c r="UDO20" s="64"/>
      <c r="UDP20" s="64"/>
      <c r="UDQ20" s="64"/>
      <c r="UDR20" s="64"/>
      <c r="UDS20" s="64"/>
      <c r="UDT20" s="64"/>
      <c r="UDU20" s="64"/>
      <c r="UDV20" s="64"/>
      <c r="UDW20" s="64"/>
      <c r="UDX20" s="64"/>
      <c r="UDY20" s="64"/>
      <c r="UDZ20" s="64"/>
      <c r="UEA20" s="64"/>
      <c r="UEB20" s="64"/>
      <c r="UEC20" s="64"/>
      <c r="UED20" s="64"/>
      <c r="UEE20" s="64"/>
      <c r="UEF20" s="64"/>
      <c r="UEG20" s="64"/>
      <c r="UEH20" s="64"/>
      <c r="UEI20" s="64"/>
      <c r="UEJ20" s="64"/>
      <c r="UEK20" s="64"/>
      <c r="UEL20" s="64"/>
      <c r="UEM20" s="64"/>
      <c r="UEN20" s="64"/>
      <c r="UEO20" s="64"/>
      <c r="UEP20" s="64"/>
      <c r="UEQ20" s="64"/>
      <c r="UER20" s="64"/>
      <c r="UES20" s="64"/>
      <c r="UET20" s="64"/>
      <c r="UEU20" s="64"/>
      <c r="UEV20" s="64"/>
      <c r="UEW20" s="64"/>
      <c r="UEX20" s="64"/>
      <c r="UEY20" s="64"/>
      <c r="UEZ20" s="64"/>
      <c r="UFA20" s="64"/>
      <c r="UFB20" s="64"/>
      <c r="UFC20" s="64"/>
      <c r="UFD20" s="64"/>
      <c r="UFE20" s="64"/>
      <c r="UFF20" s="64"/>
      <c r="UFG20" s="64"/>
      <c r="UFH20" s="64"/>
      <c r="UFI20" s="64"/>
      <c r="UFJ20" s="64"/>
      <c r="UFK20" s="64"/>
      <c r="UFL20" s="64"/>
      <c r="UFM20" s="64"/>
      <c r="UFN20" s="64"/>
      <c r="UFO20" s="64"/>
      <c r="UFP20" s="64"/>
      <c r="UFQ20" s="64"/>
      <c r="UFR20" s="64"/>
      <c r="UFS20" s="64"/>
      <c r="UFT20" s="64"/>
      <c r="UFU20" s="64"/>
      <c r="UFV20" s="64"/>
      <c r="UFW20" s="64"/>
      <c r="UFX20" s="64"/>
      <c r="UFY20" s="64"/>
      <c r="UFZ20" s="64"/>
      <c r="UGA20" s="64"/>
      <c r="UGB20" s="64"/>
      <c r="UGC20" s="64"/>
      <c r="UGD20" s="64"/>
      <c r="UGE20" s="64"/>
      <c r="UGF20" s="64"/>
      <c r="UGG20" s="64"/>
      <c r="UGH20" s="64"/>
      <c r="UGI20" s="64"/>
      <c r="UGJ20" s="64"/>
      <c r="UGK20" s="64"/>
      <c r="UGL20" s="64"/>
      <c r="UGM20" s="64"/>
      <c r="UGN20" s="64"/>
      <c r="UGO20" s="64"/>
      <c r="UGP20" s="64"/>
      <c r="UGQ20" s="64"/>
      <c r="UGR20" s="64"/>
      <c r="UGS20" s="64"/>
      <c r="UGT20" s="64"/>
      <c r="UGU20" s="64"/>
      <c r="UGV20" s="64"/>
      <c r="UGW20" s="64"/>
      <c r="UGX20" s="64"/>
      <c r="UGY20" s="64"/>
      <c r="UGZ20" s="64"/>
      <c r="UHA20" s="64"/>
      <c r="UHB20" s="64"/>
      <c r="UHC20" s="64"/>
      <c r="UHD20" s="64"/>
      <c r="UHE20" s="64"/>
      <c r="UHF20" s="64"/>
      <c r="UHG20" s="64"/>
      <c r="UHH20" s="64"/>
      <c r="UHI20" s="64"/>
      <c r="UHJ20" s="64"/>
      <c r="UHK20" s="64"/>
      <c r="UHL20" s="64"/>
      <c r="UHM20" s="64"/>
      <c r="UHN20" s="64"/>
      <c r="UHO20" s="64"/>
      <c r="UHP20" s="64"/>
      <c r="UHQ20" s="64"/>
      <c r="UHR20" s="64"/>
      <c r="UHS20" s="64"/>
      <c r="UHT20" s="64"/>
      <c r="UHU20" s="64"/>
      <c r="UHV20" s="64"/>
      <c r="UHW20" s="64"/>
      <c r="UHX20" s="64"/>
      <c r="UHY20" s="64"/>
      <c r="UHZ20" s="64"/>
      <c r="UIA20" s="64"/>
      <c r="UIB20" s="64"/>
      <c r="UIC20" s="64"/>
      <c r="UID20" s="64"/>
      <c r="UIE20" s="64"/>
      <c r="UIF20" s="64"/>
      <c r="UIG20" s="64"/>
      <c r="UIH20" s="64"/>
      <c r="UII20" s="64"/>
      <c r="UIJ20" s="64"/>
      <c r="UIK20" s="64"/>
      <c r="UIL20" s="64"/>
      <c r="UIM20" s="64"/>
      <c r="UIN20" s="64"/>
      <c r="UIO20" s="64"/>
      <c r="UIP20" s="64"/>
      <c r="UIQ20" s="64"/>
      <c r="UIR20" s="64"/>
      <c r="UIS20" s="64"/>
      <c r="UIT20" s="64"/>
      <c r="UIU20" s="64"/>
      <c r="UIV20" s="64"/>
      <c r="UIW20" s="64"/>
      <c r="UIX20" s="64"/>
      <c r="UIY20" s="64"/>
      <c r="UIZ20" s="64"/>
      <c r="UJA20" s="64"/>
      <c r="UJB20" s="64"/>
      <c r="UJC20" s="64"/>
      <c r="UJD20" s="64"/>
      <c r="UJE20" s="64"/>
      <c r="UJF20" s="64"/>
      <c r="UJG20" s="64"/>
      <c r="UJH20" s="64"/>
      <c r="UJI20" s="64"/>
      <c r="UJJ20" s="64"/>
      <c r="UJK20" s="64"/>
      <c r="UJL20" s="64"/>
      <c r="UJM20" s="64"/>
      <c r="UJN20" s="64"/>
      <c r="UJO20" s="64"/>
      <c r="UJP20" s="64"/>
      <c r="UJQ20" s="64"/>
      <c r="UJR20" s="64"/>
      <c r="UJS20" s="64"/>
      <c r="UJT20" s="64"/>
      <c r="UJU20" s="64"/>
      <c r="UJV20" s="64"/>
      <c r="UJW20" s="64"/>
      <c r="UJX20" s="64"/>
      <c r="UJY20" s="64"/>
      <c r="UJZ20" s="64"/>
      <c r="UKA20" s="64"/>
      <c r="UKB20" s="64"/>
      <c r="UKC20" s="64"/>
      <c r="UKD20" s="64"/>
      <c r="UKE20" s="64"/>
      <c r="UKF20" s="64"/>
      <c r="UKG20" s="64"/>
      <c r="UKH20" s="64"/>
      <c r="UKI20" s="64"/>
      <c r="UKJ20" s="64"/>
      <c r="UKK20" s="64"/>
      <c r="UKL20" s="64"/>
      <c r="UKM20" s="64"/>
      <c r="UKN20" s="64"/>
      <c r="UKO20" s="64"/>
      <c r="UKP20" s="64"/>
      <c r="UKQ20" s="64"/>
      <c r="UKR20" s="64"/>
      <c r="UKS20" s="64"/>
      <c r="UKT20" s="64"/>
      <c r="UKU20" s="64"/>
      <c r="UKV20" s="64"/>
      <c r="UKW20" s="64"/>
      <c r="UKX20" s="64"/>
      <c r="UKY20" s="64"/>
      <c r="UKZ20" s="64"/>
      <c r="ULA20" s="64"/>
      <c r="ULB20" s="64"/>
      <c r="ULC20" s="64"/>
      <c r="ULD20" s="64"/>
      <c r="ULE20" s="64"/>
      <c r="ULF20" s="64"/>
      <c r="ULG20" s="64"/>
      <c r="ULH20" s="64"/>
      <c r="ULI20" s="64"/>
      <c r="ULJ20" s="64"/>
      <c r="ULK20" s="64"/>
      <c r="ULL20" s="64"/>
      <c r="ULM20" s="64"/>
      <c r="ULN20" s="64"/>
      <c r="ULO20" s="64"/>
      <c r="ULP20" s="64"/>
      <c r="ULQ20" s="64"/>
      <c r="ULR20" s="64"/>
      <c r="ULS20" s="64"/>
      <c r="ULT20" s="64"/>
      <c r="ULU20" s="64"/>
      <c r="ULV20" s="64"/>
      <c r="ULW20" s="64"/>
      <c r="ULX20" s="64"/>
      <c r="ULY20" s="64"/>
      <c r="ULZ20" s="64"/>
      <c r="UMA20" s="64"/>
      <c r="UMB20" s="64"/>
      <c r="UMC20" s="64"/>
      <c r="UMD20" s="64"/>
      <c r="UME20" s="64"/>
      <c r="UMF20" s="64"/>
      <c r="UMG20" s="64"/>
      <c r="UMH20" s="64"/>
      <c r="UMI20" s="64"/>
      <c r="UMJ20" s="64"/>
      <c r="UMK20" s="64"/>
      <c r="UML20" s="64"/>
      <c r="UMM20" s="64"/>
      <c r="UMN20" s="64"/>
      <c r="UMO20" s="64"/>
      <c r="UMP20" s="64"/>
      <c r="UMQ20" s="64"/>
      <c r="UMR20" s="64"/>
      <c r="UMS20" s="64"/>
      <c r="UMT20" s="64"/>
      <c r="UMU20" s="64"/>
      <c r="UMV20" s="64"/>
      <c r="UMW20" s="64"/>
      <c r="UMX20" s="64"/>
      <c r="UMY20" s="64"/>
      <c r="UMZ20" s="64"/>
      <c r="UNA20" s="64"/>
      <c r="UNB20" s="64"/>
      <c r="UNC20" s="64"/>
      <c r="UND20" s="64"/>
      <c r="UNE20" s="64"/>
      <c r="UNF20" s="64"/>
      <c r="UNG20" s="64"/>
      <c r="UNH20" s="64"/>
      <c r="UNI20" s="64"/>
      <c r="UNJ20" s="64"/>
      <c r="UNK20" s="64"/>
      <c r="UNL20" s="64"/>
      <c r="UNM20" s="64"/>
      <c r="UNN20" s="64"/>
      <c r="UNO20" s="64"/>
      <c r="UNP20" s="64"/>
      <c r="UNQ20" s="64"/>
      <c r="UNR20" s="64"/>
      <c r="UNS20" s="64"/>
      <c r="UNT20" s="64"/>
      <c r="UNU20" s="64"/>
      <c r="UNV20" s="64"/>
      <c r="UNW20" s="64"/>
      <c r="UNX20" s="64"/>
      <c r="UNY20" s="64"/>
      <c r="UNZ20" s="64"/>
      <c r="UOA20" s="64"/>
      <c r="UOB20" s="64"/>
      <c r="UOC20" s="64"/>
      <c r="UOD20" s="64"/>
      <c r="UOE20" s="64"/>
      <c r="UOF20" s="64"/>
      <c r="UOG20" s="64"/>
      <c r="UOH20" s="64"/>
      <c r="UOI20" s="64"/>
      <c r="UOJ20" s="64"/>
      <c r="UOK20" s="64"/>
      <c r="UOL20" s="64"/>
      <c r="UOM20" s="64"/>
      <c r="UON20" s="64"/>
      <c r="UOO20" s="64"/>
      <c r="UOP20" s="64"/>
      <c r="UOQ20" s="64"/>
      <c r="UOR20" s="64"/>
      <c r="UOS20" s="64"/>
      <c r="UOT20" s="64"/>
      <c r="UOU20" s="64"/>
      <c r="UOV20" s="64"/>
      <c r="UOW20" s="64"/>
      <c r="UOX20" s="64"/>
      <c r="UOY20" s="64"/>
      <c r="UOZ20" s="64"/>
      <c r="UPA20" s="64"/>
      <c r="UPB20" s="64"/>
      <c r="UPC20" s="64"/>
      <c r="UPD20" s="64"/>
      <c r="UPE20" s="64"/>
      <c r="UPF20" s="64"/>
      <c r="UPG20" s="64"/>
      <c r="UPH20" s="64"/>
      <c r="UPI20" s="64"/>
      <c r="UPJ20" s="64"/>
      <c r="UPK20" s="64"/>
      <c r="UPL20" s="64"/>
      <c r="UPM20" s="64"/>
      <c r="UPN20" s="64"/>
      <c r="UPO20" s="64"/>
      <c r="UPP20" s="64"/>
      <c r="UPQ20" s="64"/>
      <c r="UPR20" s="64"/>
      <c r="UPS20" s="64"/>
      <c r="UPT20" s="64"/>
      <c r="UPU20" s="64"/>
      <c r="UPV20" s="64"/>
      <c r="UPW20" s="64"/>
      <c r="UPX20" s="64"/>
      <c r="UPY20" s="64"/>
      <c r="UPZ20" s="64"/>
      <c r="UQA20" s="64"/>
      <c r="UQB20" s="64"/>
      <c r="UQC20" s="64"/>
      <c r="UQD20" s="64"/>
      <c r="UQE20" s="64"/>
      <c r="UQF20" s="64"/>
      <c r="UQG20" s="64"/>
      <c r="UQH20" s="64"/>
      <c r="UQI20" s="64"/>
      <c r="UQJ20" s="64"/>
      <c r="UQK20" s="64"/>
      <c r="UQL20" s="64"/>
      <c r="UQM20" s="64"/>
      <c r="UQN20" s="64"/>
      <c r="UQO20" s="64"/>
      <c r="UQP20" s="64"/>
      <c r="UQQ20" s="64"/>
      <c r="UQR20" s="64"/>
      <c r="UQS20" s="64"/>
      <c r="UQT20" s="64"/>
      <c r="UQU20" s="64"/>
      <c r="UQV20" s="64"/>
      <c r="UQW20" s="64"/>
      <c r="UQX20" s="64"/>
      <c r="UQY20" s="64"/>
      <c r="UQZ20" s="64"/>
      <c r="URA20" s="64"/>
      <c r="URB20" s="64"/>
      <c r="URC20" s="64"/>
      <c r="URD20" s="64"/>
      <c r="URE20" s="64"/>
      <c r="URF20" s="64"/>
      <c r="URG20" s="64"/>
      <c r="URH20" s="64"/>
      <c r="URI20" s="64"/>
      <c r="URJ20" s="64"/>
      <c r="URK20" s="64"/>
      <c r="URL20" s="64"/>
      <c r="URM20" s="64"/>
      <c r="URN20" s="64"/>
      <c r="URO20" s="64"/>
      <c r="URP20" s="64"/>
      <c r="URQ20" s="64"/>
      <c r="URR20" s="64"/>
      <c r="URS20" s="64"/>
      <c r="URT20" s="64"/>
      <c r="URU20" s="64"/>
      <c r="URV20" s="64"/>
      <c r="URW20" s="64"/>
      <c r="URX20" s="64"/>
      <c r="URY20" s="64"/>
      <c r="URZ20" s="64"/>
      <c r="USA20" s="64"/>
      <c r="USB20" s="64"/>
      <c r="USC20" s="64"/>
      <c r="USD20" s="64"/>
      <c r="USE20" s="64"/>
      <c r="USF20" s="64"/>
      <c r="USG20" s="64"/>
      <c r="USH20" s="64"/>
      <c r="USI20" s="64"/>
      <c r="USJ20" s="64"/>
      <c r="USK20" s="64"/>
      <c r="USL20" s="64"/>
      <c r="USM20" s="64"/>
      <c r="USN20" s="64"/>
      <c r="USO20" s="64"/>
      <c r="USP20" s="64"/>
      <c r="USQ20" s="64"/>
      <c r="USR20" s="64"/>
      <c r="USS20" s="64"/>
      <c r="UST20" s="64"/>
      <c r="USU20" s="64"/>
      <c r="USV20" s="64"/>
      <c r="USW20" s="64"/>
      <c r="USX20" s="64"/>
      <c r="USY20" s="64"/>
      <c r="USZ20" s="64"/>
      <c r="UTA20" s="64"/>
      <c r="UTB20" s="64"/>
      <c r="UTC20" s="64"/>
      <c r="UTD20" s="64"/>
      <c r="UTE20" s="64"/>
      <c r="UTF20" s="64"/>
      <c r="UTG20" s="64"/>
      <c r="UTH20" s="64"/>
      <c r="UTI20" s="64"/>
      <c r="UTJ20" s="64"/>
      <c r="UTK20" s="64"/>
      <c r="UTL20" s="64"/>
      <c r="UTM20" s="64"/>
      <c r="UTN20" s="64"/>
      <c r="UTO20" s="64"/>
      <c r="UTP20" s="64"/>
      <c r="UTQ20" s="64"/>
      <c r="UTR20" s="64"/>
      <c r="UTS20" s="64"/>
      <c r="UTT20" s="64"/>
      <c r="UTU20" s="64"/>
      <c r="UTV20" s="64"/>
      <c r="UTW20" s="64"/>
      <c r="UTX20" s="64"/>
      <c r="UTY20" s="64"/>
      <c r="UTZ20" s="64"/>
      <c r="UUA20" s="64"/>
      <c r="UUB20" s="64"/>
      <c r="UUC20" s="64"/>
      <c r="UUD20" s="64"/>
      <c r="UUE20" s="64"/>
      <c r="UUF20" s="64"/>
      <c r="UUG20" s="64"/>
      <c r="UUH20" s="64"/>
      <c r="UUI20" s="64"/>
      <c r="UUJ20" s="64"/>
      <c r="UUK20" s="64"/>
      <c r="UUL20" s="64"/>
      <c r="UUM20" s="64"/>
      <c r="UUN20" s="64"/>
      <c r="UUO20" s="64"/>
      <c r="UUP20" s="64"/>
      <c r="UUQ20" s="64"/>
      <c r="UUR20" s="64"/>
      <c r="UUS20" s="64"/>
      <c r="UUT20" s="64"/>
      <c r="UUU20" s="64"/>
      <c r="UUV20" s="64"/>
      <c r="UUW20" s="64"/>
      <c r="UUX20" s="64"/>
      <c r="UUY20" s="64"/>
      <c r="UUZ20" s="64"/>
      <c r="UVA20" s="64"/>
      <c r="UVB20" s="64"/>
      <c r="UVC20" s="64"/>
      <c r="UVD20" s="64"/>
      <c r="UVE20" s="64"/>
      <c r="UVF20" s="64"/>
      <c r="UVG20" s="64"/>
      <c r="UVH20" s="64"/>
      <c r="UVI20" s="64"/>
      <c r="UVJ20" s="64"/>
      <c r="UVK20" s="64"/>
      <c r="UVL20" s="64"/>
      <c r="UVM20" s="64"/>
      <c r="UVN20" s="64"/>
      <c r="UVO20" s="64"/>
      <c r="UVP20" s="64"/>
      <c r="UVQ20" s="64"/>
      <c r="UVR20" s="64"/>
      <c r="UVS20" s="64"/>
      <c r="UVT20" s="64"/>
      <c r="UVU20" s="64"/>
      <c r="UVV20" s="64"/>
      <c r="UVW20" s="64"/>
      <c r="UVX20" s="64"/>
      <c r="UVY20" s="64"/>
      <c r="UVZ20" s="64"/>
      <c r="UWA20" s="64"/>
      <c r="UWB20" s="64"/>
      <c r="UWC20" s="64"/>
      <c r="UWD20" s="64"/>
      <c r="UWE20" s="64"/>
      <c r="UWF20" s="64"/>
      <c r="UWG20" s="64"/>
      <c r="UWH20" s="64"/>
      <c r="UWI20" s="64"/>
      <c r="UWJ20" s="64"/>
      <c r="UWK20" s="64"/>
      <c r="UWL20" s="64"/>
      <c r="UWM20" s="64"/>
      <c r="UWN20" s="64"/>
      <c r="UWO20" s="64"/>
      <c r="UWP20" s="64"/>
      <c r="UWQ20" s="64"/>
      <c r="UWR20" s="64"/>
      <c r="UWS20" s="64"/>
      <c r="UWT20" s="64"/>
      <c r="UWU20" s="64"/>
      <c r="UWV20" s="64"/>
      <c r="UWW20" s="64"/>
      <c r="UWX20" s="64"/>
      <c r="UWY20" s="64"/>
      <c r="UWZ20" s="64"/>
      <c r="UXA20" s="64"/>
      <c r="UXB20" s="64"/>
      <c r="UXC20" s="64"/>
      <c r="UXD20" s="64"/>
      <c r="UXE20" s="64"/>
      <c r="UXF20" s="64"/>
      <c r="UXG20" s="64"/>
      <c r="UXH20" s="64"/>
      <c r="UXI20" s="64"/>
      <c r="UXJ20" s="64"/>
      <c r="UXK20" s="64"/>
      <c r="UXL20" s="64"/>
      <c r="UXM20" s="64"/>
      <c r="UXN20" s="64"/>
      <c r="UXO20" s="64"/>
      <c r="UXP20" s="64"/>
      <c r="UXQ20" s="64"/>
      <c r="UXR20" s="64"/>
      <c r="UXS20" s="64"/>
      <c r="UXT20" s="64"/>
      <c r="UXU20" s="64"/>
      <c r="UXV20" s="64"/>
      <c r="UXW20" s="64"/>
      <c r="UXX20" s="64"/>
      <c r="UXY20" s="64"/>
      <c r="UXZ20" s="64"/>
      <c r="UYA20" s="64"/>
      <c r="UYB20" s="64"/>
      <c r="UYC20" s="64"/>
      <c r="UYD20" s="64"/>
      <c r="UYE20" s="64"/>
      <c r="UYF20" s="64"/>
      <c r="UYG20" s="64"/>
      <c r="UYH20" s="64"/>
      <c r="UYI20" s="64"/>
      <c r="UYJ20" s="64"/>
      <c r="UYK20" s="64"/>
      <c r="UYL20" s="64"/>
      <c r="UYM20" s="64"/>
      <c r="UYN20" s="64"/>
      <c r="UYO20" s="64"/>
      <c r="UYP20" s="64"/>
      <c r="UYQ20" s="64"/>
      <c r="UYR20" s="64"/>
      <c r="UYS20" s="64"/>
      <c r="UYT20" s="64"/>
      <c r="UYU20" s="64"/>
      <c r="UYV20" s="64"/>
      <c r="UYW20" s="64"/>
      <c r="UYX20" s="64"/>
      <c r="UYY20" s="64"/>
      <c r="UYZ20" s="64"/>
      <c r="UZA20" s="64"/>
      <c r="UZB20" s="64"/>
      <c r="UZC20" s="64"/>
      <c r="UZD20" s="64"/>
      <c r="UZE20" s="64"/>
      <c r="UZF20" s="64"/>
      <c r="UZG20" s="64"/>
      <c r="UZH20" s="64"/>
      <c r="UZI20" s="64"/>
      <c r="UZJ20" s="64"/>
      <c r="UZK20" s="64"/>
      <c r="UZL20" s="64"/>
      <c r="UZM20" s="64"/>
      <c r="UZN20" s="64"/>
      <c r="UZO20" s="64"/>
      <c r="UZP20" s="64"/>
      <c r="UZQ20" s="64"/>
      <c r="UZR20" s="64"/>
      <c r="UZS20" s="64"/>
      <c r="UZT20" s="64"/>
      <c r="UZU20" s="64"/>
      <c r="UZV20" s="64"/>
      <c r="UZW20" s="64"/>
      <c r="UZX20" s="64"/>
      <c r="UZY20" s="64"/>
      <c r="UZZ20" s="64"/>
      <c r="VAA20" s="64"/>
      <c r="VAB20" s="64"/>
      <c r="VAC20" s="64"/>
      <c r="VAD20" s="64"/>
      <c r="VAE20" s="64"/>
      <c r="VAF20" s="64"/>
      <c r="VAG20" s="64"/>
      <c r="VAH20" s="64"/>
      <c r="VAI20" s="64"/>
      <c r="VAJ20" s="64"/>
      <c r="VAK20" s="64"/>
      <c r="VAL20" s="64"/>
      <c r="VAM20" s="64"/>
      <c r="VAN20" s="64"/>
      <c r="VAO20" s="64"/>
      <c r="VAP20" s="64"/>
      <c r="VAQ20" s="64"/>
      <c r="VAR20" s="64"/>
      <c r="VAS20" s="64"/>
      <c r="VAT20" s="64"/>
      <c r="VAU20" s="64"/>
      <c r="VAV20" s="64"/>
      <c r="VAW20" s="64"/>
      <c r="VAX20" s="64"/>
      <c r="VAY20" s="64"/>
      <c r="VAZ20" s="64"/>
      <c r="VBA20" s="64"/>
      <c r="VBB20" s="64"/>
      <c r="VBC20" s="64"/>
      <c r="VBD20" s="64"/>
      <c r="VBE20" s="64"/>
      <c r="VBF20" s="64"/>
      <c r="VBG20" s="64"/>
      <c r="VBH20" s="64"/>
      <c r="VBI20" s="64"/>
      <c r="VBJ20" s="64"/>
      <c r="VBK20" s="64"/>
      <c r="VBL20" s="64"/>
      <c r="VBM20" s="64"/>
      <c r="VBN20" s="64"/>
      <c r="VBO20" s="64"/>
      <c r="VBP20" s="64"/>
      <c r="VBQ20" s="64"/>
      <c r="VBR20" s="64"/>
      <c r="VBS20" s="64"/>
      <c r="VBT20" s="64"/>
      <c r="VBU20" s="64"/>
      <c r="VBV20" s="64"/>
      <c r="VBW20" s="64"/>
      <c r="VBX20" s="64"/>
      <c r="VBY20" s="64"/>
      <c r="VBZ20" s="64"/>
      <c r="VCA20" s="64"/>
      <c r="VCB20" s="64"/>
      <c r="VCC20" s="64"/>
      <c r="VCD20" s="64"/>
      <c r="VCE20" s="64"/>
      <c r="VCF20" s="64"/>
      <c r="VCG20" s="64"/>
      <c r="VCH20" s="64"/>
      <c r="VCI20" s="64"/>
      <c r="VCJ20" s="64"/>
      <c r="VCK20" s="64"/>
      <c r="VCL20" s="64"/>
      <c r="VCM20" s="64"/>
      <c r="VCN20" s="64"/>
      <c r="VCO20" s="64"/>
      <c r="VCP20" s="64"/>
      <c r="VCQ20" s="64"/>
      <c r="VCR20" s="64"/>
      <c r="VCS20" s="64"/>
      <c r="VCT20" s="64"/>
      <c r="VCU20" s="64"/>
      <c r="VCV20" s="64"/>
      <c r="VCW20" s="64"/>
      <c r="VCX20" s="64"/>
      <c r="VCY20" s="64"/>
      <c r="VCZ20" s="64"/>
      <c r="VDA20" s="64"/>
      <c r="VDB20" s="64"/>
      <c r="VDC20" s="64"/>
      <c r="VDD20" s="64"/>
      <c r="VDE20" s="64"/>
      <c r="VDF20" s="64"/>
      <c r="VDG20" s="64"/>
      <c r="VDH20" s="64"/>
      <c r="VDI20" s="64"/>
      <c r="VDJ20" s="64"/>
      <c r="VDK20" s="64"/>
      <c r="VDL20" s="64"/>
      <c r="VDM20" s="64"/>
      <c r="VDN20" s="64"/>
      <c r="VDO20" s="64"/>
      <c r="VDP20" s="64"/>
      <c r="VDQ20" s="64"/>
      <c r="VDR20" s="64"/>
      <c r="VDS20" s="64"/>
      <c r="VDT20" s="64"/>
      <c r="VDU20" s="64"/>
      <c r="VDV20" s="64"/>
      <c r="VDW20" s="64"/>
      <c r="VDX20" s="64"/>
      <c r="VDY20" s="64"/>
      <c r="VDZ20" s="64"/>
      <c r="VEA20" s="64"/>
      <c r="VEB20" s="64"/>
      <c r="VEC20" s="64"/>
      <c r="VED20" s="64"/>
      <c r="VEE20" s="64"/>
      <c r="VEF20" s="64"/>
      <c r="VEG20" s="64"/>
      <c r="VEH20" s="64"/>
      <c r="VEI20" s="64"/>
      <c r="VEJ20" s="64"/>
      <c r="VEK20" s="64"/>
      <c r="VEL20" s="64"/>
      <c r="VEM20" s="64"/>
      <c r="VEN20" s="64"/>
      <c r="VEO20" s="64"/>
      <c r="VEP20" s="64"/>
      <c r="VEQ20" s="64"/>
      <c r="VER20" s="64"/>
      <c r="VES20" s="64"/>
      <c r="VET20" s="64"/>
      <c r="VEU20" s="64"/>
      <c r="VEV20" s="64"/>
      <c r="VEW20" s="64"/>
      <c r="VEX20" s="64"/>
      <c r="VEY20" s="64"/>
      <c r="VEZ20" s="64"/>
      <c r="VFA20" s="64"/>
      <c r="VFB20" s="64"/>
      <c r="VFC20" s="64"/>
      <c r="VFD20" s="64"/>
      <c r="VFE20" s="64"/>
      <c r="VFF20" s="64"/>
      <c r="VFG20" s="64"/>
      <c r="VFH20" s="64"/>
      <c r="VFI20" s="64"/>
      <c r="VFJ20" s="64"/>
      <c r="VFK20" s="64"/>
      <c r="VFL20" s="64"/>
      <c r="VFM20" s="64"/>
      <c r="VFN20" s="64"/>
      <c r="VFO20" s="64"/>
      <c r="VFP20" s="64"/>
      <c r="VFQ20" s="64"/>
      <c r="VFR20" s="64"/>
      <c r="VFS20" s="64"/>
      <c r="VFT20" s="64"/>
      <c r="VFU20" s="64"/>
      <c r="VFV20" s="64"/>
      <c r="VFW20" s="64"/>
      <c r="VFX20" s="64"/>
      <c r="VFY20" s="64"/>
      <c r="VFZ20" s="64"/>
      <c r="VGA20" s="64"/>
      <c r="VGB20" s="64"/>
      <c r="VGC20" s="64"/>
      <c r="VGD20" s="64"/>
      <c r="VGE20" s="64"/>
      <c r="VGF20" s="64"/>
      <c r="VGG20" s="64"/>
      <c r="VGH20" s="64"/>
      <c r="VGI20" s="64"/>
      <c r="VGJ20" s="64"/>
      <c r="VGK20" s="64"/>
      <c r="VGL20" s="64"/>
      <c r="VGM20" s="64"/>
      <c r="VGN20" s="64"/>
      <c r="VGO20" s="64"/>
      <c r="VGP20" s="64"/>
      <c r="VGQ20" s="64"/>
      <c r="VGR20" s="64"/>
      <c r="VGS20" s="64"/>
      <c r="VGT20" s="64"/>
      <c r="VGU20" s="64"/>
      <c r="VGV20" s="64"/>
      <c r="VGW20" s="64"/>
      <c r="VGX20" s="64"/>
      <c r="VGY20" s="64"/>
      <c r="VGZ20" s="64"/>
      <c r="VHA20" s="64"/>
      <c r="VHB20" s="64"/>
      <c r="VHC20" s="64"/>
      <c r="VHD20" s="64"/>
      <c r="VHE20" s="64"/>
      <c r="VHF20" s="64"/>
      <c r="VHG20" s="64"/>
      <c r="VHH20" s="64"/>
      <c r="VHI20" s="64"/>
      <c r="VHJ20" s="64"/>
      <c r="VHK20" s="64"/>
      <c r="VHL20" s="64"/>
      <c r="VHM20" s="64"/>
      <c r="VHN20" s="64"/>
      <c r="VHO20" s="64"/>
      <c r="VHP20" s="64"/>
      <c r="VHQ20" s="64"/>
      <c r="VHR20" s="64"/>
      <c r="VHS20" s="64"/>
      <c r="VHT20" s="64"/>
      <c r="VHU20" s="64"/>
      <c r="VHV20" s="64"/>
      <c r="VHW20" s="64"/>
      <c r="VHX20" s="64"/>
      <c r="VHY20" s="64"/>
      <c r="VHZ20" s="64"/>
      <c r="VIA20" s="64"/>
      <c r="VIB20" s="64"/>
      <c r="VIC20" s="64"/>
      <c r="VID20" s="64"/>
      <c r="VIE20" s="64"/>
      <c r="VIF20" s="64"/>
      <c r="VIG20" s="64"/>
      <c r="VIH20" s="64"/>
      <c r="VII20" s="64"/>
      <c r="VIJ20" s="64"/>
      <c r="VIK20" s="64"/>
      <c r="VIL20" s="64"/>
      <c r="VIM20" s="64"/>
      <c r="VIN20" s="64"/>
      <c r="VIO20" s="64"/>
      <c r="VIP20" s="64"/>
      <c r="VIQ20" s="64"/>
      <c r="VIR20" s="64"/>
      <c r="VIS20" s="64"/>
      <c r="VIT20" s="64"/>
      <c r="VIU20" s="64"/>
      <c r="VIV20" s="64"/>
      <c r="VIW20" s="64"/>
      <c r="VIX20" s="64"/>
      <c r="VIY20" s="64"/>
      <c r="VIZ20" s="64"/>
      <c r="VJA20" s="64"/>
      <c r="VJB20" s="64"/>
      <c r="VJC20" s="64"/>
      <c r="VJD20" s="64"/>
      <c r="VJE20" s="64"/>
      <c r="VJF20" s="64"/>
      <c r="VJG20" s="64"/>
      <c r="VJH20" s="64"/>
      <c r="VJI20" s="64"/>
      <c r="VJJ20" s="64"/>
      <c r="VJK20" s="64"/>
      <c r="VJL20" s="64"/>
      <c r="VJM20" s="64"/>
      <c r="VJN20" s="64"/>
      <c r="VJO20" s="64"/>
      <c r="VJP20" s="64"/>
      <c r="VJQ20" s="64"/>
      <c r="VJR20" s="64"/>
      <c r="VJS20" s="64"/>
      <c r="VJT20" s="64"/>
      <c r="VJU20" s="64"/>
      <c r="VJV20" s="64"/>
      <c r="VJW20" s="64"/>
      <c r="VJX20" s="64"/>
      <c r="VJY20" s="64"/>
      <c r="VJZ20" s="64"/>
      <c r="VKA20" s="64"/>
      <c r="VKB20" s="64"/>
      <c r="VKC20" s="64"/>
      <c r="VKD20" s="64"/>
      <c r="VKE20" s="64"/>
      <c r="VKF20" s="64"/>
      <c r="VKG20" s="64"/>
      <c r="VKH20" s="64"/>
      <c r="VKI20" s="64"/>
      <c r="VKJ20" s="64"/>
      <c r="VKK20" s="64"/>
      <c r="VKL20" s="64"/>
      <c r="VKM20" s="64"/>
      <c r="VKN20" s="64"/>
      <c r="VKO20" s="64"/>
      <c r="VKP20" s="64"/>
      <c r="VKQ20" s="64"/>
      <c r="VKR20" s="64"/>
      <c r="VKS20" s="64"/>
      <c r="VKT20" s="64"/>
      <c r="VKU20" s="64"/>
      <c r="VKV20" s="64"/>
      <c r="VKW20" s="64"/>
      <c r="VKX20" s="64"/>
      <c r="VKY20" s="64"/>
      <c r="VKZ20" s="64"/>
      <c r="VLA20" s="64"/>
      <c r="VLB20" s="64"/>
      <c r="VLC20" s="64"/>
      <c r="VLD20" s="64"/>
      <c r="VLE20" s="64"/>
      <c r="VLF20" s="64"/>
      <c r="VLG20" s="64"/>
      <c r="VLH20" s="64"/>
      <c r="VLI20" s="64"/>
      <c r="VLJ20" s="64"/>
      <c r="VLK20" s="64"/>
      <c r="VLL20" s="64"/>
      <c r="VLM20" s="64"/>
      <c r="VLN20" s="64"/>
      <c r="VLO20" s="64"/>
      <c r="VLP20" s="64"/>
      <c r="VLQ20" s="64"/>
      <c r="VLR20" s="64"/>
      <c r="VLS20" s="64"/>
      <c r="VLT20" s="64"/>
      <c r="VLU20" s="64"/>
      <c r="VLV20" s="64"/>
      <c r="VLW20" s="64"/>
      <c r="VLX20" s="64"/>
      <c r="VLY20" s="64"/>
      <c r="VLZ20" s="64"/>
      <c r="VMA20" s="64"/>
      <c r="VMB20" s="64"/>
      <c r="VMC20" s="64"/>
      <c r="VMD20" s="64"/>
      <c r="VME20" s="64"/>
      <c r="VMF20" s="64"/>
      <c r="VMG20" s="64"/>
      <c r="VMH20" s="64"/>
      <c r="VMI20" s="64"/>
      <c r="VMJ20" s="64"/>
      <c r="VMK20" s="64"/>
      <c r="VML20" s="64"/>
      <c r="VMM20" s="64"/>
      <c r="VMN20" s="64"/>
      <c r="VMO20" s="64"/>
      <c r="VMP20" s="64"/>
      <c r="VMQ20" s="64"/>
      <c r="VMR20" s="64"/>
      <c r="VMS20" s="64"/>
      <c r="VMT20" s="64"/>
      <c r="VMU20" s="64"/>
      <c r="VMV20" s="64"/>
      <c r="VMW20" s="64"/>
      <c r="VMX20" s="64"/>
      <c r="VMY20" s="64"/>
      <c r="VMZ20" s="64"/>
      <c r="VNA20" s="64"/>
      <c r="VNB20" s="64"/>
      <c r="VNC20" s="64"/>
      <c r="VND20" s="64"/>
      <c r="VNE20" s="64"/>
      <c r="VNF20" s="64"/>
      <c r="VNG20" s="64"/>
      <c r="VNH20" s="64"/>
      <c r="VNI20" s="64"/>
      <c r="VNJ20" s="64"/>
      <c r="VNK20" s="64"/>
      <c r="VNL20" s="64"/>
      <c r="VNM20" s="64"/>
      <c r="VNN20" s="64"/>
      <c r="VNO20" s="64"/>
      <c r="VNP20" s="64"/>
      <c r="VNQ20" s="64"/>
      <c r="VNR20" s="64"/>
      <c r="VNS20" s="64"/>
      <c r="VNT20" s="64"/>
      <c r="VNU20" s="64"/>
      <c r="VNV20" s="64"/>
      <c r="VNW20" s="64"/>
      <c r="VNX20" s="64"/>
      <c r="VNY20" s="64"/>
      <c r="VNZ20" s="64"/>
      <c r="VOA20" s="64"/>
      <c r="VOB20" s="64"/>
      <c r="VOC20" s="64"/>
      <c r="VOD20" s="64"/>
      <c r="VOE20" s="64"/>
      <c r="VOF20" s="64"/>
      <c r="VOG20" s="64"/>
      <c r="VOH20" s="64"/>
      <c r="VOI20" s="64"/>
      <c r="VOJ20" s="64"/>
      <c r="VOK20" s="64"/>
      <c r="VOL20" s="64"/>
      <c r="VOM20" s="64"/>
      <c r="VON20" s="64"/>
      <c r="VOO20" s="64"/>
      <c r="VOP20" s="64"/>
      <c r="VOQ20" s="64"/>
      <c r="VOR20" s="64"/>
      <c r="VOS20" s="64"/>
      <c r="VOT20" s="64"/>
      <c r="VOU20" s="64"/>
      <c r="VOV20" s="64"/>
      <c r="VOW20" s="64"/>
      <c r="VOX20" s="64"/>
      <c r="VOY20" s="64"/>
      <c r="VOZ20" s="64"/>
      <c r="VPA20" s="64"/>
      <c r="VPB20" s="64"/>
      <c r="VPC20" s="64"/>
      <c r="VPD20" s="64"/>
      <c r="VPE20" s="64"/>
      <c r="VPF20" s="64"/>
      <c r="VPG20" s="64"/>
      <c r="VPH20" s="64"/>
      <c r="VPI20" s="64"/>
      <c r="VPJ20" s="64"/>
      <c r="VPK20" s="64"/>
      <c r="VPL20" s="64"/>
      <c r="VPM20" s="64"/>
      <c r="VPN20" s="64"/>
      <c r="VPO20" s="64"/>
      <c r="VPP20" s="64"/>
      <c r="VPQ20" s="64"/>
      <c r="VPR20" s="64"/>
      <c r="VPS20" s="64"/>
      <c r="VPT20" s="64"/>
      <c r="VPU20" s="64"/>
      <c r="VPV20" s="64"/>
      <c r="VPW20" s="64"/>
      <c r="VPX20" s="64"/>
      <c r="VPY20" s="64"/>
      <c r="VPZ20" s="64"/>
      <c r="VQA20" s="64"/>
      <c r="VQB20" s="64"/>
      <c r="VQC20" s="64"/>
      <c r="VQD20" s="64"/>
      <c r="VQE20" s="64"/>
      <c r="VQF20" s="64"/>
      <c r="VQG20" s="64"/>
      <c r="VQH20" s="64"/>
      <c r="VQI20" s="64"/>
      <c r="VQJ20" s="64"/>
      <c r="VQK20" s="64"/>
      <c r="VQL20" s="64"/>
      <c r="VQM20" s="64"/>
      <c r="VQN20" s="64"/>
      <c r="VQO20" s="64"/>
      <c r="VQP20" s="64"/>
      <c r="VQQ20" s="64"/>
      <c r="VQR20" s="64"/>
      <c r="VQS20" s="64"/>
      <c r="VQT20" s="64"/>
      <c r="VQU20" s="64"/>
      <c r="VQV20" s="64"/>
      <c r="VQW20" s="64"/>
      <c r="VQX20" s="64"/>
      <c r="VQY20" s="64"/>
      <c r="VQZ20" s="64"/>
      <c r="VRA20" s="64"/>
      <c r="VRB20" s="64"/>
      <c r="VRC20" s="64"/>
      <c r="VRD20" s="64"/>
      <c r="VRE20" s="64"/>
      <c r="VRF20" s="64"/>
      <c r="VRG20" s="64"/>
      <c r="VRH20" s="64"/>
      <c r="VRI20" s="64"/>
      <c r="VRJ20" s="64"/>
      <c r="VRK20" s="64"/>
      <c r="VRL20" s="64"/>
      <c r="VRM20" s="64"/>
      <c r="VRN20" s="64"/>
      <c r="VRO20" s="64"/>
      <c r="VRP20" s="64"/>
      <c r="VRQ20" s="64"/>
      <c r="VRR20" s="64"/>
      <c r="VRS20" s="64"/>
      <c r="VRT20" s="64"/>
      <c r="VRU20" s="64"/>
      <c r="VRV20" s="64"/>
      <c r="VRW20" s="64"/>
      <c r="VRX20" s="64"/>
      <c r="VRY20" s="64"/>
      <c r="VRZ20" s="64"/>
      <c r="VSA20" s="64"/>
      <c r="VSB20" s="64"/>
      <c r="VSC20" s="64"/>
      <c r="VSD20" s="64"/>
      <c r="VSE20" s="64"/>
      <c r="VSF20" s="64"/>
      <c r="VSG20" s="64"/>
      <c r="VSH20" s="64"/>
      <c r="VSI20" s="64"/>
      <c r="VSJ20" s="64"/>
      <c r="VSK20" s="64"/>
      <c r="VSL20" s="64"/>
      <c r="VSM20" s="64"/>
      <c r="VSN20" s="64"/>
      <c r="VSO20" s="64"/>
      <c r="VSP20" s="64"/>
      <c r="VSQ20" s="64"/>
      <c r="VSR20" s="64"/>
      <c r="VSS20" s="64"/>
      <c r="VST20" s="64"/>
      <c r="VSU20" s="64"/>
      <c r="VSV20" s="64"/>
      <c r="VSW20" s="64"/>
      <c r="VSX20" s="64"/>
      <c r="VSY20" s="64"/>
      <c r="VSZ20" s="64"/>
      <c r="VTA20" s="64"/>
      <c r="VTB20" s="64"/>
      <c r="VTC20" s="64"/>
      <c r="VTD20" s="64"/>
      <c r="VTE20" s="64"/>
      <c r="VTF20" s="64"/>
      <c r="VTG20" s="64"/>
      <c r="VTH20" s="64"/>
      <c r="VTI20" s="64"/>
      <c r="VTJ20" s="64"/>
      <c r="VTK20" s="64"/>
      <c r="VTL20" s="64"/>
      <c r="VTM20" s="64"/>
      <c r="VTN20" s="64"/>
      <c r="VTO20" s="64"/>
      <c r="VTP20" s="64"/>
      <c r="VTQ20" s="64"/>
      <c r="VTR20" s="64"/>
      <c r="VTS20" s="64"/>
      <c r="VTT20" s="64"/>
      <c r="VTU20" s="64"/>
      <c r="VTV20" s="64"/>
      <c r="VTW20" s="64"/>
      <c r="VTX20" s="64"/>
      <c r="VTY20" s="64"/>
      <c r="VTZ20" s="64"/>
      <c r="VUA20" s="64"/>
      <c r="VUB20" s="64"/>
      <c r="VUC20" s="64"/>
      <c r="VUD20" s="64"/>
      <c r="VUE20" s="64"/>
      <c r="VUF20" s="64"/>
      <c r="VUG20" s="64"/>
      <c r="VUH20" s="64"/>
      <c r="VUI20" s="64"/>
      <c r="VUJ20" s="64"/>
      <c r="VUK20" s="64"/>
      <c r="VUL20" s="64"/>
      <c r="VUM20" s="64"/>
      <c r="VUN20" s="64"/>
      <c r="VUO20" s="64"/>
      <c r="VUP20" s="64"/>
      <c r="VUQ20" s="64"/>
      <c r="VUR20" s="64"/>
      <c r="VUS20" s="64"/>
      <c r="VUT20" s="64"/>
      <c r="VUU20" s="64"/>
      <c r="VUV20" s="64"/>
      <c r="VUW20" s="64"/>
      <c r="VUX20" s="64"/>
      <c r="VUY20" s="64"/>
      <c r="VUZ20" s="64"/>
      <c r="VVA20" s="64"/>
      <c r="VVB20" s="64"/>
      <c r="VVC20" s="64"/>
      <c r="VVD20" s="64"/>
      <c r="VVE20" s="64"/>
      <c r="VVF20" s="64"/>
      <c r="VVG20" s="64"/>
      <c r="VVH20" s="64"/>
      <c r="VVI20" s="64"/>
      <c r="VVJ20" s="64"/>
      <c r="VVK20" s="64"/>
      <c r="VVL20" s="64"/>
      <c r="VVM20" s="64"/>
      <c r="VVN20" s="64"/>
      <c r="VVO20" s="64"/>
      <c r="VVP20" s="64"/>
      <c r="VVQ20" s="64"/>
      <c r="VVR20" s="64"/>
      <c r="VVS20" s="64"/>
      <c r="VVT20" s="64"/>
      <c r="VVU20" s="64"/>
      <c r="VVV20" s="64"/>
      <c r="VVW20" s="64"/>
      <c r="VVX20" s="64"/>
      <c r="VVY20" s="64"/>
      <c r="VVZ20" s="64"/>
      <c r="VWA20" s="64"/>
      <c r="VWB20" s="64"/>
      <c r="VWC20" s="64"/>
      <c r="VWD20" s="64"/>
      <c r="VWE20" s="64"/>
      <c r="VWF20" s="64"/>
      <c r="VWG20" s="64"/>
      <c r="VWH20" s="64"/>
      <c r="VWI20" s="64"/>
      <c r="VWJ20" s="64"/>
      <c r="VWK20" s="64"/>
      <c r="VWL20" s="64"/>
      <c r="VWM20" s="64"/>
      <c r="VWN20" s="64"/>
      <c r="VWO20" s="64"/>
      <c r="VWP20" s="64"/>
      <c r="VWQ20" s="64"/>
      <c r="VWR20" s="64"/>
      <c r="VWS20" s="64"/>
      <c r="VWT20" s="64"/>
      <c r="VWU20" s="64"/>
      <c r="VWV20" s="64"/>
      <c r="VWW20" s="64"/>
      <c r="VWX20" s="64"/>
      <c r="VWY20" s="64"/>
      <c r="VWZ20" s="64"/>
      <c r="VXA20" s="64"/>
      <c r="VXB20" s="64"/>
      <c r="VXC20" s="64"/>
      <c r="VXD20" s="64"/>
      <c r="VXE20" s="64"/>
      <c r="VXF20" s="64"/>
      <c r="VXG20" s="64"/>
      <c r="VXH20" s="64"/>
      <c r="VXI20" s="64"/>
      <c r="VXJ20" s="64"/>
      <c r="VXK20" s="64"/>
      <c r="VXL20" s="64"/>
      <c r="VXM20" s="64"/>
      <c r="VXN20" s="64"/>
      <c r="VXO20" s="64"/>
      <c r="VXP20" s="64"/>
      <c r="VXQ20" s="64"/>
      <c r="VXR20" s="64"/>
      <c r="VXS20" s="64"/>
      <c r="VXT20" s="64"/>
      <c r="VXU20" s="64"/>
      <c r="VXV20" s="64"/>
      <c r="VXW20" s="64"/>
      <c r="VXX20" s="64"/>
      <c r="VXY20" s="64"/>
      <c r="VXZ20" s="64"/>
      <c r="VYA20" s="64"/>
      <c r="VYB20" s="64"/>
      <c r="VYC20" s="64"/>
      <c r="VYD20" s="64"/>
      <c r="VYE20" s="64"/>
      <c r="VYF20" s="64"/>
      <c r="VYG20" s="64"/>
      <c r="VYH20" s="64"/>
      <c r="VYI20" s="64"/>
      <c r="VYJ20" s="64"/>
      <c r="VYK20" s="64"/>
      <c r="VYL20" s="64"/>
      <c r="VYM20" s="64"/>
      <c r="VYN20" s="64"/>
      <c r="VYO20" s="64"/>
      <c r="VYP20" s="64"/>
      <c r="VYQ20" s="64"/>
      <c r="VYR20" s="64"/>
      <c r="VYS20" s="64"/>
      <c r="VYT20" s="64"/>
      <c r="VYU20" s="64"/>
      <c r="VYV20" s="64"/>
      <c r="VYW20" s="64"/>
      <c r="VYX20" s="64"/>
      <c r="VYY20" s="64"/>
      <c r="VYZ20" s="64"/>
      <c r="VZA20" s="64"/>
      <c r="VZB20" s="64"/>
      <c r="VZC20" s="64"/>
      <c r="VZD20" s="64"/>
      <c r="VZE20" s="64"/>
      <c r="VZF20" s="64"/>
      <c r="VZG20" s="64"/>
      <c r="VZH20" s="64"/>
      <c r="VZI20" s="64"/>
      <c r="VZJ20" s="64"/>
      <c r="VZK20" s="64"/>
      <c r="VZL20" s="64"/>
      <c r="VZM20" s="64"/>
      <c r="VZN20" s="64"/>
      <c r="VZO20" s="64"/>
      <c r="VZP20" s="64"/>
      <c r="VZQ20" s="64"/>
      <c r="VZR20" s="64"/>
      <c r="VZS20" s="64"/>
      <c r="VZT20" s="64"/>
      <c r="VZU20" s="64"/>
      <c r="VZV20" s="64"/>
      <c r="VZW20" s="64"/>
      <c r="VZX20" s="64"/>
      <c r="VZY20" s="64"/>
      <c r="VZZ20" s="64"/>
      <c r="WAA20" s="64"/>
      <c r="WAB20" s="64"/>
      <c r="WAC20" s="64"/>
      <c r="WAD20" s="64"/>
      <c r="WAE20" s="64"/>
      <c r="WAF20" s="64"/>
      <c r="WAG20" s="64"/>
      <c r="WAH20" s="64"/>
      <c r="WAI20" s="64"/>
      <c r="WAJ20" s="64"/>
      <c r="WAK20" s="64"/>
      <c r="WAL20" s="64"/>
      <c r="WAM20" s="64"/>
      <c r="WAN20" s="64"/>
      <c r="WAO20" s="64"/>
      <c r="WAP20" s="64"/>
      <c r="WAQ20" s="64"/>
      <c r="WAR20" s="64"/>
      <c r="WAS20" s="64"/>
      <c r="WAT20" s="64"/>
      <c r="WAU20" s="64"/>
      <c r="WAV20" s="64"/>
      <c r="WAW20" s="64"/>
      <c r="WAX20" s="64"/>
      <c r="WAY20" s="64"/>
      <c r="WAZ20" s="64"/>
      <c r="WBA20" s="64"/>
      <c r="WBB20" s="64"/>
      <c r="WBC20" s="64"/>
      <c r="WBD20" s="64"/>
      <c r="WBE20" s="64"/>
      <c r="WBF20" s="64"/>
      <c r="WBG20" s="64"/>
      <c r="WBH20" s="64"/>
      <c r="WBI20" s="64"/>
      <c r="WBJ20" s="64"/>
      <c r="WBK20" s="64"/>
      <c r="WBL20" s="64"/>
      <c r="WBM20" s="64"/>
      <c r="WBN20" s="64"/>
      <c r="WBO20" s="64"/>
      <c r="WBP20" s="64"/>
      <c r="WBQ20" s="64"/>
      <c r="WBR20" s="64"/>
      <c r="WBS20" s="64"/>
      <c r="WBT20" s="64"/>
      <c r="WBU20" s="64"/>
      <c r="WBV20" s="64"/>
      <c r="WBW20" s="64"/>
      <c r="WBX20" s="64"/>
      <c r="WBY20" s="64"/>
      <c r="WBZ20" s="64"/>
      <c r="WCA20" s="64"/>
      <c r="WCB20" s="64"/>
      <c r="WCC20" s="64"/>
      <c r="WCD20" s="64"/>
      <c r="WCE20" s="64"/>
      <c r="WCF20" s="64"/>
      <c r="WCG20" s="64"/>
      <c r="WCH20" s="64"/>
      <c r="WCI20" s="64"/>
      <c r="WCJ20" s="64"/>
      <c r="WCK20" s="64"/>
      <c r="WCL20" s="64"/>
      <c r="WCM20" s="64"/>
      <c r="WCN20" s="64"/>
      <c r="WCO20" s="64"/>
      <c r="WCP20" s="64"/>
      <c r="WCQ20" s="64"/>
      <c r="WCR20" s="64"/>
      <c r="WCS20" s="64"/>
      <c r="WCT20" s="64"/>
      <c r="WCU20" s="64"/>
      <c r="WCV20" s="64"/>
      <c r="WCW20" s="64"/>
      <c r="WCX20" s="64"/>
      <c r="WCY20" s="64"/>
      <c r="WCZ20" s="64"/>
      <c r="WDA20" s="64"/>
      <c r="WDB20" s="64"/>
      <c r="WDC20" s="64"/>
      <c r="WDD20" s="64"/>
      <c r="WDE20" s="64"/>
      <c r="WDF20" s="64"/>
      <c r="WDG20" s="64"/>
      <c r="WDH20" s="64"/>
      <c r="WDI20" s="64"/>
      <c r="WDJ20" s="64"/>
      <c r="WDK20" s="64"/>
      <c r="WDL20" s="64"/>
      <c r="WDM20" s="64"/>
      <c r="WDN20" s="64"/>
      <c r="WDO20" s="64"/>
      <c r="WDP20" s="64"/>
      <c r="WDQ20" s="64"/>
      <c r="WDR20" s="64"/>
      <c r="WDS20" s="64"/>
      <c r="WDT20" s="64"/>
      <c r="WDU20" s="64"/>
      <c r="WDV20" s="64"/>
      <c r="WDW20" s="64"/>
      <c r="WDX20" s="64"/>
      <c r="WDY20" s="64"/>
      <c r="WDZ20" s="64"/>
      <c r="WEA20" s="64"/>
      <c r="WEB20" s="64"/>
      <c r="WEC20" s="64"/>
      <c r="WED20" s="64"/>
      <c r="WEE20" s="64"/>
      <c r="WEF20" s="64"/>
      <c r="WEG20" s="64"/>
      <c r="WEH20" s="64"/>
      <c r="WEI20" s="64"/>
      <c r="WEJ20" s="64"/>
      <c r="WEK20" s="64"/>
      <c r="WEL20" s="64"/>
      <c r="WEM20" s="64"/>
      <c r="WEN20" s="64"/>
      <c r="WEO20" s="64"/>
      <c r="WEP20" s="64"/>
      <c r="WEQ20" s="64"/>
      <c r="WER20" s="64"/>
      <c r="WES20" s="64"/>
      <c r="WET20" s="64"/>
      <c r="WEU20" s="64"/>
      <c r="WEV20" s="64"/>
      <c r="WEW20" s="64"/>
      <c r="WEX20" s="64"/>
      <c r="WEY20" s="64"/>
      <c r="WEZ20" s="64"/>
      <c r="WFA20" s="64"/>
      <c r="WFB20" s="64"/>
      <c r="WFC20" s="64"/>
      <c r="WFD20" s="64"/>
      <c r="WFE20" s="64"/>
      <c r="WFF20" s="64"/>
      <c r="WFG20" s="64"/>
      <c r="WFH20" s="64"/>
      <c r="WFI20" s="64"/>
      <c r="WFJ20" s="64"/>
      <c r="WFK20" s="64"/>
      <c r="WFL20" s="64"/>
      <c r="WFM20" s="64"/>
      <c r="WFN20" s="64"/>
      <c r="WFO20" s="64"/>
      <c r="WFP20" s="64"/>
      <c r="WFQ20" s="64"/>
      <c r="WFR20" s="64"/>
      <c r="WFS20" s="64"/>
      <c r="WFT20" s="64"/>
      <c r="WFU20" s="64"/>
      <c r="WFV20" s="64"/>
      <c r="WFW20" s="64"/>
      <c r="WFX20" s="64"/>
      <c r="WFY20" s="64"/>
      <c r="WFZ20" s="64"/>
      <c r="WGA20" s="64"/>
      <c r="WGB20" s="64"/>
      <c r="WGC20" s="64"/>
      <c r="WGD20" s="64"/>
      <c r="WGE20" s="64"/>
      <c r="WGF20" s="64"/>
      <c r="WGG20" s="64"/>
      <c r="WGH20" s="64"/>
      <c r="WGI20" s="64"/>
      <c r="WGJ20" s="64"/>
      <c r="WGK20" s="64"/>
      <c r="WGL20" s="64"/>
      <c r="WGM20" s="64"/>
      <c r="WGN20" s="64"/>
      <c r="WGO20" s="64"/>
      <c r="WGP20" s="64"/>
      <c r="WGQ20" s="64"/>
      <c r="WGR20" s="64"/>
      <c r="WGS20" s="64"/>
      <c r="WGT20" s="64"/>
      <c r="WGU20" s="64"/>
      <c r="WGV20" s="64"/>
      <c r="WGW20" s="64"/>
      <c r="WGX20" s="64"/>
      <c r="WGY20" s="64"/>
      <c r="WGZ20" s="64"/>
      <c r="WHA20" s="64"/>
      <c r="WHB20" s="64"/>
      <c r="WHC20" s="64"/>
      <c r="WHD20" s="64"/>
      <c r="WHE20" s="64"/>
      <c r="WHF20" s="64"/>
      <c r="WHG20" s="64"/>
      <c r="WHH20" s="64"/>
      <c r="WHI20" s="64"/>
      <c r="WHJ20" s="64"/>
      <c r="WHK20" s="64"/>
      <c r="WHL20" s="64"/>
      <c r="WHM20" s="64"/>
      <c r="WHN20" s="64"/>
      <c r="WHO20" s="64"/>
      <c r="WHP20" s="64"/>
      <c r="WHQ20" s="64"/>
      <c r="WHR20" s="64"/>
      <c r="WHS20" s="64"/>
      <c r="WHT20" s="64"/>
      <c r="WHU20" s="64"/>
      <c r="WHV20" s="64"/>
      <c r="WHW20" s="64"/>
      <c r="WHX20" s="64"/>
      <c r="WHY20" s="64"/>
      <c r="WHZ20" s="64"/>
      <c r="WIA20" s="64"/>
      <c r="WIB20" s="64"/>
      <c r="WIC20" s="64"/>
      <c r="WID20" s="64"/>
      <c r="WIE20" s="64"/>
      <c r="WIF20" s="64"/>
      <c r="WIG20" s="64"/>
      <c r="WIH20" s="64"/>
      <c r="WII20" s="64"/>
      <c r="WIJ20" s="64"/>
      <c r="WIK20" s="64"/>
      <c r="WIL20" s="64"/>
      <c r="WIM20" s="64"/>
      <c r="WIN20" s="64"/>
      <c r="WIO20" s="64"/>
      <c r="WIP20" s="64"/>
      <c r="WIQ20" s="64"/>
      <c r="WIR20" s="64"/>
      <c r="WIS20" s="64"/>
      <c r="WIT20" s="64"/>
      <c r="WIU20" s="64"/>
      <c r="WIV20" s="64"/>
      <c r="WIW20" s="64"/>
      <c r="WIX20" s="64"/>
      <c r="WIY20" s="64"/>
      <c r="WIZ20" s="64"/>
      <c r="WJA20" s="64"/>
      <c r="WJB20" s="64"/>
      <c r="WJC20" s="64"/>
      <c r="WJD20" s="64"/>
      <c r="WJE20" s="64"/>
      <c r="WJF20" s="64"/>
      <c r="WJG20" s="64"/>
      <c r="WJH20" s="64"/>
      <c r="WJI20" s="64"/>
      <c r="WJJ20" s="64"/>
      <c r="WJK20" s="64"/>
      <c r="WJL20" s="64"/>
      <c r="WJM20" s="64"/>
      <c r="WJN20" s="64"/>
      <c r="WJO20" s="64"/>
      <c r="WJP20" s="64"/>
      <c r="WJQ20" s="64"/>
      <c r="WJR20" s="64"/>
      <c r="WJS20" s="64"/>
      <c r="WJT20" s="64"/>
      <c r="WJU20" s="64"/>
      <c r="WJV20" s="64"/>
      <c r="WJW20" s="64"/>
      <c r="WJX20" s="64"/>
      <c r="WJY20" s="64"/>
      <c r="WJZ20" s="64"/>
      <c r="WKA20" s="64"/>
      <c r="WKB20" s="64"/>
      <c r="WKC20" s="64"/>
      <c r="WKD20" s="64"/>
      <c r="WKE20" s="64"/>
      <c r="WKF20" s="64"/>
      <c r="WKG20" s="64"/>
      <c r="WKH20" s="64"/>
      <c r="WKI20" s="64"/>
      <c r="WKJ20" s="64"/>
      <c r="WKK20" s="64"/>
      <c r="WKL20" s="64"/>
      <c r="WKM20" s="64"/>
      <c r="WKN20" s="64"/>
      <c r="WKO20" s="64"/>
      <c r="WKP20" s="64"/>
      <c r="WKQ20" s="64"/>
      <c r="WKR20" s="64"/>
      <c r="WKS20" s="64"/>
      <c r="WKT20" s="64"/>
      <c r="WKU20" s="64"/>
      <c r="WKV20" s="64"/>
      <c r="WKW20" s="64"/>
      <c r="WKX20" s="64"/>
      <c r="WKY20" s="64"/>
      <c r="WKZ20" s="64"/>
      <c r="WLA20" s="64"/>
      <c r="WLB20" s="64"/>
      <c r="WLC20" s="64"/>
      <c r="WLD20" s="64"/>
      <c r="WLE20" s="64"/>
      <c r="WLF20" s="64"/>
      <c r="WLG20" s="64"/>
      <c r="WLH20" s="64"/>
      <c r="WLI20" s="64"/>
      <c r="WLJ20" s="64"/>
      <c r="WLK20" s="64"/>
      <c r="WLL20" s="64"/>
      <c r="WLM20" s="64"/>
      <c r="WLN20" s="64"/>
      <c r="WLO20" s="64"/>
      <c r="WLP20" s="64"/>
      <c r="WLQ20" s="64"/>
      <c r="WLR20" s="64"/>
      <c r="WLS20" s="64"/>
      <c r="WLT20" s="64"/>
      <c r="WLU20" s="64"/>
      <c r="WLV20" s="64"/>
      <c r="WLW20" s="64"/>
      <c r="WLX20" s="64"/>
      <c r="WLY20" s="64"/>
      <c r="WLZ20" s="64"/>
      <c r="WMA20" s="64"/>
      <c r="WMB20" s="64"/>
      <c r="WMC20" s="64"/>
      <c r="WMD20" s="64"/>
      <c r="WME20" s="64"/>
      <c r="WMF20" s="64"/>
      <c r="WMG20" s="64"/>
      <c r="WMH20" s="64"/>
      <c r="WMI20" s="64"/>
      <c r="WMJ20" s="64"/>
      <c r="WMK20" s="64"/>
      <c r="WML20" s="64"/>
      <c r="WMM20" s="64"/>
      <c r="WMN20" s="64"/>
      <c r="WMO20" s="64"/>
      <c r="WMP20" s="64"/>
      <c r="WMQ20" s="64"/>
      <c r="WMR20" s="64"/>
      <c r="WMS20" s="64"/>
      <c r="WMT20" s="64"/>
      <c r="WMU20" s="64"/>
      <c r="WMV20" s="64"/>
      <c r="WMW20" s="64"/>
      <c r="WMX20" s="64"/>
      <c r="WMY20" s="64"/>
      <c r="WMZ20" s="64"/>
      <c r="WNA20" s="64"/>
      <c r="WNB20" s="64"/>
      <c r="WNC20" s="64"/>
      <c r="WND20" s="64"/>
      <c r="WNE20" s="64"/>
      <c r="WNF20" s="64"/>
      <c r="WNG20" s="64"/>
      <c r="WNH20" s="64"/>
      <c r="WNI20" s="64"/>
      <c r="WNJ20" s="64"/>
      <c r="WNK20" s="64"/>
      <c r="WNL20" s="64"/>
      <c r="WNM20" s="64"/>
      <c r="WNN20" s="64"/>
      <c r="WNO20" s="64"/>
      <c r="WNP20" s="64"/>
      <c r="WNQ20" s="64"/>
      <c r="WNR20" s="64"/>
      <c r="WNS20" s="64"/>
      <c r="WNT20" s="64"/>
      <c r="WNU20" s="64"/>
      <c r="WNV20" s="64"/>
      <c r="WNW20" s="64"/>
      <c r="WNX20" s="64"/>
      <c r="WNY20" s="64"/>
      <c r="WNZ20" s="64"/>
      <c r="WOA20" s="64"/>
      <c r="WOB20" s="64"/>
      <c r="WOC20" s="64"/>
      <c r="WOD20" s="64"/>
      <c r="WOE20" s="64"/>
      <c r="WOF20" s="64"/>
      <c r="WOG20" s="64"/>
      <c r="WOH20" s="64"/>
      <c r="WOI20" s="64"/>
      <c r="WOJ20" s="64"/>
      <c r="WOK20" s="64"/>
      <c r="WOL20" s="64"/>
      <c r="WOM20" s="64"/>
      <c r="WON20" s="64"/>
      <c r="WOO20" s="64"/>
      <c r="WOP20" s="64"/>
      <c r="WOQ20" s="64"/>
      <c r="WOR20" s="64"/>
      <c r="WOS20" s="64"/>
      <c r="WOT20" s="64"/>
      <c r="WOU20" s="64"/>
      <c r="WOV20" s="64"/>
      <c r="WOW20" s="64"/>
      <c r="WOX20" s="64"/>
      <c r="WOY20" s="64"/>
      <c r="WOZ20" s="64"/>
      <c r="WPA20" s="64"/>
      <c r="WPB20" s="64"/>
      <c r="WPC20" s="64"/>
      <c r="WPD20" s="64"/>
      <c r="WPE20" s="64"/>
      <c r="WPF20" s="64"/>
      <c r="WPG20" s="64"/>
      <c r="WPH20" s="64"/>
      <c r="WPI20" s="64"/>
      <c r="WPJ20" s="64"/>
      <c r="WPK20" s="64"/>
      <c r="WPL20" s="64"/>
      <c r="WPM20" s="64"/>
      <c r="WPN20" s="64"/>
      <c r="WPO20" s="64"/>
      <c r="WPP20" s="64"/>
      <c r="WPQ20" s="64"/>
      <c r="WPR20" s="64"/>
      <c r="WPS20" s="64"/>
      <c r="WPT20" s="64"/>
      <c r="WPU20" s="64"/>
      <c r="WPV20" s="64"/>
      <c r="WPW20" s="64"/>
      <c r="WPX20" s="64"/>
      <c r="WPY20" s="64"/>
      <c r="WPZ20" s="64"/>
      <c r="WQA20" s="64"/>
      <c r="WQB20" s="64"/>
      <c r="WQC20" s="64"/>
      <c r="WQD20" s="64"/>
      <c r="WQE20" s="64"/>
      <c r="WQF20" s="64"/>
      <c r="WQG20" s="64"/>
      <c r="WQH20" s="64"/>
      <c r="WQI20" s="64"/>
      <c r="WQJ20" s="64"/>
      <c r="WQK20" s="64"/>
      <c r="WQL20" s="64"/>
      <c r="WQM20" s="64"/>
      <c r="WQN20" s="64"/>
      <c r="WQO20" s="64"/>
      <c r="WQP20" s="64"/>
      <c r="WQQ20" s="64"/>
      <c r="WQR20" s="64"/>
      <c r="WQS20" s="64"/>
      <c r="WQT20" s="64"/>
      <c r="WQU20" s="64"/>
      <c r="WQV20" s="64"/>
      <c r="WQW20" s="64"/>
      <c r="WQX20" s="64"/>
      <c r="WQY20" s="64"/>
      <c r="WQZ20" s="64"/>
      <c r="WRA20" s="64"/>
      <c r="WRB20" s="64"/>
      <c r="WRC20" s="64"/>
      <c r="WRD20" s="64"/>
      <c r="WRE20" s="64"/>
      <c r="WRF20" s="64"/>
      <c r="WRG20" s="64"/>
      <c r="WRH20" s="64"/>
      <c r="WRI20" s="64"/>
      <c r="WRJ20" s="64"/>
      <c r="WRK20" s="64"/>
      <c r="WRL20" s="64"/>
      <c r="WRM20" s="64"/>
      <c r="WRN20" s="64"/>
      <c r="WRO20" s="64"/>
      <c r="WRP20" s="64"/>
      <c r="WRQ20" s="64"/>
      <c r="WRR20" s="64"/>
      <c r="WRS20" s="64"/>
      <c r="WRT20" s="64"/>
      <c r="WRU20" s="64"/>
      <c r="WRV20" s="64"/>
      <c r="WRW20" s="64"/>
      <c r="WRX20" s="64"/>
      <c r="WRY20" s="64"/>
      <c r="WRZ20" s="64"/>
      <c r="WSA20" s="64"/>
      <c r="WSB20" s="64"/>
      <c r="WSC20" s="64"/>
      <c r="WSD20" s="64"/>
      <c r="WSE20" s="64"/>
      <c r="WSF20" s="64"/>
      <c r="WSG20" s="64"/>
      <c r="WSH20" s="64"/>
      <c r="WSI20" s="64"/>
      <c r="WSJ20" s="64"/>
      <c r="WSK20" s="64"/>
      <c r="WSL20" s="64"/>
      <c r="WSM20" s="64"/>
      <c r="WSN20" s="64"/>
      <c r="WSO20" s="64"/>
      <c r="WSP20" s="64"/>
      <c r="WSQ20" s="64"/>
      <c r="WSR20" s="64"/>
      <c r="WSS20" s="64"/>
      <c r="WST20" s="64"/>
      <c r="WSU20" s="64"/>
      <c r="WSV20" s="64"/>
      <c r="WSW20" s="64"/>
      <c r="WSX20" s="64"/>
      <c r="WSY20" s="64"/>
      <c r="WSZ20" s="64"/>
      <c r="WTA20" s="64"/>
      <c r="WTB20" s="64"/>
      <c r="WTC20" s="64"/>
      <c r="WTD20" s="64"/>
      <c r="WTE20" s="64"/>
      <c r="WTF20" s="64"/>
      <c r="WTG20" s="64"/>
      <c r="WTH20" s="64"/>
      <c r="WTI20" s="64"/>
      <c r="WTJ20" s="64"/>
      <c r="WTK20" s="64"/>
      <c r="WTL20" s="64"/>
      <c r="WTM20" s="64"/>
      <c r="WTN20" s="64"/>
      <c r="WTO20" s="64"/>
      <c r="WTP20" s="64"/>
      <c r="WTQ20" s="64"/>
      <c r="WTR20" s="64"/>
      <c r="WTS20" s="64"/>
      <c r="WTT20" s="64"/>
      <c r="WTU20" s="64"/>
      <c r="WTV20" s="64"/>
      <c r="WTW20" s="64"/>
      <c r="WTX20" s="64"/>
      <c r="WTY20" s="64"/>
      <c r="WTZ20" s="64"/>
      <c r="WUA20" s="64"/>
      <c r="WUB20" s="64"/>
      <c r="WUC20" s="64"/>
      <c r="WUD20" s="64"/>
      <c r="WUE20" s="64"/>
      <c r="WUF20" s="64"/>
      <c r="WUG20" s="64"/>
      <c r="WUH20" s="64"/>
      <c r="WUI20" s="64"/>
      <c r="WUJ20" s="64"/>
      <c r="WUK20" s="64"/>
      <c r="WUL20" s="64"/>
      <c r="WUM20" s="64"/>
      <c r="WUN20" s="64"/>
      <c r="WUO20" s="64"/>
      <c r="WUP20" s="64"/>
      <c r="WUQ20" s="64"/>
      <c r="WUR20" s="64"/>
      <c r="WUS20" s="64"/>
      <c r="WUT20" s="64"/>
      <c r="WUU20" s="64"/>
      <c r="WUV20" s="64"/>
      <c r="WUW20" s="64"/>
      <c r="WUX20" s="64"/>
      <c r="WUY20" s="64"/>
      <c r="WUZ20" s="64"/>
      <c r="WVA20" s="64"/>
      <c r="WVB20" s="64"/>
      <c r="WVC20" s="64"/>
      <c r="WVD20" s="64"/>
      <c r="WVE20" s="64"/>
      <c r="WVF20" s="64"/>
      <c r="WVG20" s="64"/>
      <c r="WVH20" s="64"/>
      <c r="WVI20" s="64"/>
      <c r="WVJ20" s="64"/>
      <c r="WVK20" s="64"/>
      <c r="WVL20" s="64"/>
      <c r="WVM20" s="64"/>
      <c r="WVN20" s="64"/>
      <c r="WVO20" s="64"/>
      <c r="WVP20" s="64"/>
      <c r="WVQ20" s="64"/>
      <c r="WVR20" s="64"/>
      <c r="WVS20" s="64"/>
      <c r="WVT20" s="64"/>
      <c r="WVU20" s="64"/>
      <c r="WVV20" s="64"/>
      <c r="WVW20" s="64"/>
      <c r="WVX20" s="64"/>
      <c r="WVY20" s="64"/>
      <c r="WVZ20" s="64"/>
      <c r="WWA20" s="64"/>
      <c r="WWB20" s="64"/>
      <c r="WWC20" s="64"/>
      <c r="WWD20" s="64"/>
      <c r="WWE20" s="64"/>
      <c r="WWF20" s="64"/>
      <c r="WWG20" s="64"/>
      <c r="WWH20" s="64"/>
      <c r="WWI20" s="64"/>
      <c r="WWJ20" s="64"/>
      <c r="WWK20" s="64"/>
      <c r="WWL20" s="64"/>
      <c r="WWM20" s="64"/>
      <c r="WWN20" s="64"/>
      <c r="WWO20" s="64"/>
      <c r="WWP20" s="64"/>
      <c r="WWQ20" s="64"/>
      <c r="WWR20" s="64"/>
      <c r="WWS20" s="64"/>
      <c r="WWT20" s="64"/>
      <c r="WWU20" s="64"/>
      <c r="WWV20" s="64"/>
      <c r="WWW20" s="64"/>
      <c r="WWX20" s="64"/>
      <c r="WWY20" s="64"/>
      <c r="WWZ20" s="64"/>
      <c r="WXA20" s="64"/>
      <c r="WXB20" s="64"/>
      <c r="WXC20" s="64"/>
      <c r="WXD20" s="64"/>
      <c r="WXE20" s="64"/>
      <c r="WXF20" s="64"/>
      <c r="WXG20" s="64"/>
      <c r="WXH20" s="64"/>
      <c r="WXI20" s="64"/>
      <c r="WXJ20" s="64"/>
      <c r="WXK20" s="64"/>
      <c r="WXL20" s="64"/>
      <c r="WXM20" s="64"/>
      <c r="WXN20" s="64"/>
      <c r="WXO20" s="64"/>
      <c r="WXP20" s="64"/>
      <c r="WXQ20" s="64"/>
      <c r="WXR20" s="64"/>
      <c r="WXS20" s="64"/>
      <c r="WXT20" s="64"/>
      <c r="WXU20" s="64"/>
      <c r="WXV20" s="64"/>
      <c r="WXW20" s="64"/>
      <c r="WXX20" s="64"/>
      <c r="WXY20" s="64"/>
      <c r="WXZ20" s="64"/>
      <c r="WYA20" s="64"/>
      <c r="WYB20" s="64"/>
      <c r="WYC20" s="64"/>
      <c r="WYD20" s="64"/>
      <c r="WYE20" s="64"/>
      <c r="WYF20" s="64"/>
      <c r="WYG20" s="64"/>
      <c r="WYH20" s="64"/>
      <c r="WYI20" s="64"/>
      <c r="WYJ20" s="64"/>
      <c r="WYK20" s="64"/>
      <c r="WYL20" s="64"/>
      <c r="WYM20" s="64"/>
      <c r="WYN20" s="64"/>
      <c r="WYO20" s="64"/>
      <c r="WYP20" s="64"/>
      <c r="WYQ20" s="64"/>
      <c r="WYR20" s="64"/>
      <c r="WYS20" s="64"/>
      <c r="WYT20" s="64"/>
      <c r="WYU20" s="64"/>
      <c r="WYV20" s="64"/>
      <c r="WYW20" s="64"/>
      <c r="WYX20" s="64"/>
      <c r="WYY20" s="64"/>
      <c r="WYZ20" s="64"/>
      <c r="WZA20" s="64"/>
      <c r="WZB20" s="64"/>
      <c r="WZC20" s="64"/>
      <c r="WZD20" s="64"/>
      <c r="WZE20" s="64"/>
      <c r="WZF20" s="64"/>
      <c r="WZG20" s="64"/>
      <c r="WZH20" s="64"/>
      <c r="WZI20" s="64"/>
      <c r="WZJ20" s="64"/>
      <c r="WZK20" s="64"/>
      <c r="WZL20" s="64"/>
      <c r="WZM20" s="64"/>
      <c r="WZN20" s="64"/>
      <c r="WZO20" s="64"/>
      <c r="WZP20" s="64"/>
      <c r="WZQ20" s="64"/>
      <c r="WZR20" s="64"/>
      <c r="WZS20" s="64"/>
      <c r="WZT20" s="64"/>
      <c r="WZU20" s="64"/>
      <c r="WZV20" s="64"/>
      <c r="WZW20" s="64"/>
      <c r="WZX20" s="64"/>
      <c r="WZY20" s="64"/>
      <c r="WZZ20" s="64"/>
      <c r="XAA20" s="64"/>
      <c r="XAB20" s="64"/>
      <c r="XAC20" s="64"/>
      <c r="XAD20" s="64"/>
      <c r="XAE20" s="64"/>
      <c r="XAF20" s="64"/>
      <c r="XAG20" s="64"/>
      <c r="XAH20" s="64"/>
      <c r="XAI20" s="64"/>
      <c r="XAJ20" s="64"/>
      <c r="XAK20" s="64"/>
      <c r="XAL20" s="64"/>
      <c r="XAM20" s="64"/>
      <c r="XAN20" s="64"/>
      <c r="XAO20" s="64"/>
      <c r="XAP20" s="64"/>
      <c r="XAQ20" s="64"/>
      <c r="XAR20" s="64"/>
      <c r="XAS20" s="64"/>
      <c r="XAT20" s="64"/>
      <c r="XAU20" s="64"/>
      <c r="XAV20" s="64"/>
      <c r="XAW20" s="64"/>
      <c r="XAX20" s="64"/>
      <c r="XAY20" s="64"/>
      <c r="XAZ20" s="64"/>
      <c r="XBA20" s="64"/>
      <c r="XBB20" s="64"/>
      <c r="XBC20" s="64"/>
      <c r="XBD20" s="64"/>
      <c r="XBE20" s="64"/>
      <c r="XBF20" s="64"/>
      <c r="XBG20" s="64"/>
      <c r="XBH20" s="64"/>
      <c r="XBI20" s="64"/>
      <c r="XBJ20" s="64"/>
      <c r="XBK20" s="64"/>
      <c r="XBL20" s="64"/>
      <c r="XBM20" s="64"/>
      <c r="XBN20" s="64"/>
      <c r="XBO20" s="64"/>
      <c r="XBP20" s="64"/>
      <c r="XBQ20" s="64"/>
      <c r="XBR20" s="64"/>
      <c r="XBS20" s="64"/>
      <c r="XBT20" s="64"/>
      <c r="XBU20" s="64"/>
      <c r="XBV20" s="64"/>
      <c r="XBW20" s="64"/>
      <c r="XBX20" s="64"/>
      <c r="XBY20" s="64"/>
      <c r="XBZ20" s="64"/>
      <c r="XCA20" s="64"/>
      <c r="XCB20" s="64"/>
      <c r="XCC20" s="64"/>
      <c r="XCD20" s="64"/>
      <c r="XCE20" s="64"/>
      <c r="XCF20" s="64"/>
      <c r="XCG20" s="64"/>
      <c r="XCH20" s="64"/>
      <c r="XCI20" s="64"/>
      <c r="XCJ20" s="64"/>
      <c r="XCK20" s="64"/>
      <c r="XCL20" s="64"/>
      <c r="XCM20" s="64"/>
      <c r="XCN20" s="64"/>
      <c r="XCO20" s="64"/>
      <c r="XCP20" s="64"/>
      <c r="XCQ20" s="64"/>
      <c r="XCR20" s="64"/>
      <c r="XCS20" s="64"/>
      <c r="XCT20" s="64"/>
      <c r="XCU20" s="64"/>
      <c r="XCV20" s="64"/>
      <c r="XCW20" s="64"/>
      <c r="XCX20" s="64"/>
      <c r="XCY20" s="64"/>
      <c r="XCZ20" s="64"/>
      <c r="XDA20" s="64"/>
      <c r="XDB20" s="64"/>
      <c r="XDC20" s="64"/>
      <c r="XDD20" s="64"/>
      <c r="XDE20" s="64"/>
      <c r="XDF20" s="64"/>
      <c r="XDG20" s="64"/>
      <c r="XDH20" s="64"/>
      <c r="XDI20" s="64"/>
      <c r="XDJ20" s="64"/>
      <c r="XDK20" s="64"/>
      <c r="XDL20" s="64"/>
      <c r="XDM20" s="64"/>
      <c r="XDN20" s="64"/>
      <c r="XDO20" s="64"/>
      <c r="XDP20" s="64"/>
      <c r="XDQ20" s="64"/>
      <c r="XDR20" s="64"/>
      <c r="XDS20" s="64"/>
      <c r="XDT20" s="64"/>
      <c r="XDU20" s="64"/>
      <c r="XDV20" s="64"/>
      <c r="XDW20" s="64"/>
      <c r="XDX20" s="64"/>
      <c r="XDY20" s="64"/>
      <c r="XDZ20" s="64"/>
      <c r="XEA20" s="64"/>
      <c r="XEB20" s="64"/>
      <c r="XEC20" s="64"/>
      <c r="XED20" s="64"/>
      <c r="XEE20" s="64"/>
      <c r="XEF20" s="64"/>
      <c r="XEG20" s="64"/>
      <c r="XEH20" s="64"/>
      <c r="XEI20" s="64"/>
      <c r="XEJ20" s="64"/>
      <c r="XEK20" s="64"/>
      <c r="XEL20" s="64"/>
      <c r="XEM20" s="64"/>
      <c r="XEN20" s="64"/>
      <c r="XEO20" s="64"/>
      <c r="XEP20" s="64"/>
      <c r="XEQ20" s="64"/>
      <c r="XER20" s="64"/>
      <c r="XES20" s="64"/>
      <c r="XET20" s="64"/>
      <c r="XEU20" s="64"/>
      <c r="XEV20" s="64"/>
      <c r="XEW20" s="64"/>
      <c r="XEX20" s="64"/>
      <c r="XEY20" s="64"/>
      <c r="XEZ20" s="64"/>
      <c r="XFA20" s="64"/>
      <c r="XFB20" s="64"/>
      <c r="XFC20" s="64"/>
      <c r="XFD20" s="64"/>
    </row>
    <row r="21" customFormat="1" ht="25.95" customHeight="1" spans="1:16384">
      <c r="A21" s="1" t="s">
        <v>173</v>
      </c>
      <c r="B21" s="221" t="s">
        <v>174</v>
      </c>
      <c r="C21" s="1"/>
      <c r="D21" s="1">
        <v>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75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4"/>
      <c r="FZ21" s="64"/>
      <c r="GA21" s="64"/>
      <c r="GB21" s="64"/>
      <c r="GC21" s="64"/>
      <c r="GD21" s="64"/>
      <c r="GE21" s="64"/>
      <c r="GF21" s="64"/>
      <c r="GG21" s="64"/>
      <c r="GH21" s="64"/>
      <c r="GI21" s="64"/>
      <c r="GJ21" s="64"/>
      <c r="GK21" s="64"/>
      <c r="GL21" s="64"/>
      <c r="GM21" s="64"/>
      <c r="GN21" s="64"/>
      <c r="GO21" s="64"/>
      <c r="GP21" s="64"/>
      <c r="GQ21" s="64"/>
      <c r="GR21" s="64"/>
      <c r="GS21" s="64"/>
      <c r="GT21" s="64"/>
      <c r="GU21" s="64"/>
      <c r="GV21" s="64"/>
      <c r="GW21" s="64"/>
      <c r="GX21" s="64"/>
      <c r="GY21" s="64"/>
      <c r="GZ21" s="64"/>
      <c r="HA21" s="64"/>
      <c r="HB21" s="64"/>
      <c r="HC21" s="64"/>
      <c r="HD21" s="64"/>
      <c r="HE21" s="64"/>
      <c r="HF21" s="64"/>
      <c r="HG21" s="64"/>
      <c r="HH21" s="64"/>
      <c r="HI21" s="64"/>
      <c r="HJ21" s="64"/>
      <c r="HK21" s="64"/>
      <c r="HL21" s="64"/>
      <c r="HM21" s="64"/>
      <c r="HN21" s="64"/>
      <c r="HO21" s="64"/>
      <c r="HP21" s="64"/>
      <c r="HQ21" s="64"/>
      <c r="HR21" s="64"/>
      <c r="HS21" s="64"/>
      <c r="HT21" s="64"/>
      <c r="HU21" s="64"/>
      <c r="HV21" s="64"/>
      <c r="HW21" s="64"/>
      <c r="HX21" s="64"/>
      <c r="HY21" s="64"/>
      <c r="HZ21" s="64"/>
      <c r="IA21" s="64"/>
      <c r="IB21" s="64"/>
      <c r="IC21" s="64"/>
      <c r="ID21" s="64"/>
      <c r="IE21" s="64"/>
      <c r="IF21" s="64"/>
      <c r="IG21" s="64"/>
      <c r="IH21" s="64"/>
      <c r="II21" s="64"/>
      <c r="IJ21" s="64"/>
      <c r="IK21" s="64"/>
      <c r="IL21" s="64"/>
      <c r="IM21" s="64"/>
      <c r="IN21" s="64"/>
      <c r="IO21" s="64"/>
      <c r="IP21" s="64"/>
      <c r="IQ21" s="64"/>
      <c r="IR21" s="64"/>
      <c r="IS21" s="64"/>
      <c r="IT21" s="64"/>
      <c r="IU21" s="64"/>
      <c r="IV21" s="64"/>
      <c r="IW21" s="64"/>
      <c r="IX21" s="64"/>
      <c r="IY21" s="64"/>
      <c r="IZ21" s="64"/>
      <c r="JA21" s="64"/>
      <c r="JB21" s="64"/>
      <c r="JC21" s="64"/>
      <c r="JD21" s="64"/>
      <c r="JE21" s="64"/>
      <c r="JF21" s="64"/>
      <c r="JG21" s="64"/>
      <c r="JH21" s="64"/>
      <c r="JI21" s="64"/>
      <c r="JJ21" s="64"/>
      <c r="JK21" s="64"/>
      <c r="JL21" s="64"/>
      <c r="JM21" s="64"/>
      <c r="JN21" s="64"/>
      <c r="JO21" s="64"/>
      <c r="JP21" s="64"/>
      <c r="JQ21" s="64"/>
      <c r="JR21" s="64"/>
      <c r="JS21" s="64"/>
      <c r="JT21" s="64"/>
      <c r="JU21" s="64"/>
      <c r="JV21" s="64"/>
      <c r="JW21" s="64"/>
      <c r="JX21" s="64"/>
      <c r="JY21" s="64"/>
      <c r="JZ21" s="64"/>
      <c r="KA21" s="64"/>
      <c r="KB21" s="64"/>
      <c r="KC21" s="64"/>
      <c r="KD21" s="64"/>
      <c r="KE21" s="64"/>
      <c r="KF21" s="64"/>
      <c r="KG21" s="64"/>
      <c r="KH21" s="64"/>
      <c r="KI21" s="64"/>
      <c r="KJ21" s="64"/>
      <c r="KK21" s="64"/>
      <c r="KL21" s="64"/>
      <c r="KM21" s="64"/>
      <c r="KN21" s="64"/>
      <c r="KO21" s="64"/>
      <c r="KP21" s="64"/>
      <c r="KQ21" s="64"/>
      <c r="KR21" s="64"/>
      <c r="KS21" s="64"/>
      <c r="KT21" s="64"/>
      <c r="KU21" s="64"/>
      <c r="KV21" s="64"/>
      <c r="KW21" s="64"/>
      <c r="KX21" s="64"/>
      <c r="KY21" s="64"/>
      <c r="KZ21" s="64"/>
      <c r="LA21" s="64"/>
      <c r="LB21" s="64"/>
      <c r="LC21" s="64"/>
      <c r="LD21" s="64"/>
      <c r="LE21" s="64"/>
      <c r="LF21" s="64"/>
      <c r="LG21" s="64"/>
      <c r="LH21" s="64"/>
      <c r="LI21" s="64"/>
      <c r="LJ21" s="64"/>
      <c r="LK21" s="64"/>
      <c r="LL21" s="64"/>
      <c r="LM21" s="64"/>
      <c r="LN21" s="64"/>
      <c r="LO21" s="64"/>
      <c r="LP21" s="64"/>
      <c r="LQ21" s="64"/>
      <c r="LR21" s="64"/>
      <c r="LS21" s="64"/>
      <c r="LT21" s="64"/>
      <c r="LU21" s="64"/>
      <c r="LV21" s="64"/>
      <c r="LW21" s="64"/>
      <c r="LX21" s="64"/>
      <c r="LY21" s="64"/>
      <c r="LZ21" s="64"/>
      <c r="MA21" s="64"/>
      <c r="MB21" s="64"/>
      <c r="MC21" s="64"/>
      <c r="MD21" s="64"/>
      <c r="ME21" s="64"/>
      <c r="MF21" s="64"/>
      <c r="MG21" s="64"/>
      <c r="MH21" s="64"/>
      <c r="MI21" s="64"/>
      <c r="MJ21" s="64"/>
      <c r="MK21" s="64"/>
      <c r="ML21" s="64"/>
      <c r="MM21" s="64"/>
      <c r="MN21" s="64"/>
      <c r="MO21" s="64"/>
      <c r="MP21" s="64"/>
      <c r="MQ21" s="64"/>
      <c r="MR21" s="64"/>
      <c r="MS21" s="64"/>
      <c r="MT21" s="64"/>
      <c r="MU21" s="64"/>
      <c r="MV21" s="64"/>
      <c r="MW21" s="64"/>
      <c r="MX21" s="64"/>
      <c r="MY21" s="64"/>
      <c r="MZ21" s="64"/>
      <c r="NA21" s="64"/>
      <c r="NB21" s="64"/>
      <c r="NC21" s="64"/>
      <c r="ND21" s="64"/>
      <c r="NE21" s="64"/>
      <c r="NF21" s="64"/>
      <c r="NG21" s="64"/>
      <c r="NH21" s="64"/>
      <c r="NI21" s="64"/>
      <c r="NJ21" s="64"/>
      <c r="NK21" s="64"/>
      <c r="NL21" s="64"/>
      <c r="NM21" s="64"/>
      <c r="NN21" s="64"/>
      <c r="NO21" s="64"/>
      <c r="NP21" s="64"/>
      <c r="NQ21" s="64"/>
      <c r="NR21" s="64"/>
      <c r="NS21" s="64"/>
      <c r="NT21" s="64"/>
      <c r="NU21" s="64"/>
      <c r="NV21" s="64"/>
      <c r="NW21" s="64"/>
      <c r="NX21" s="64"/>
      <c r="NY21" s="64"/>
      <c r="NZ21" s="64"/>
      <c r="OA21" s="64"/>
      <c r="OB21" s="64"/>
      <c r="OC21" s="64"/>
      <c r="OD21" s="64"/>
      <c r="OE21" s="64"/>
      <c r="OF21" s="64"/>
      <c r="OG21" s="64"/>
      <c r="OH21" s="64"/>
      <c r="OI21" s="64"/>
      <c r="OJ21" s="64"/>
      <c r="OK21" s="64"/>
      <c r="OL21" s="64"/>
      <c r="OM21" s="64"/>
      <c r="ON21" s="64"/>
      <c r="OO21" s="64"/>
      <c r="OP21" s="64"/>
      <c r="OQ21" s="64"/>
      <c r="OR21" s="64"/>
      <c r="OS21" s="64"/>
      <c r="OT21" s="64"/>
      <c r="OU21" s="64"/>
      <c r="OV21" s="64"/>
      <c r="OW21" s="64"/>
      <c r="OX21" s="64"/>
      <c r="OY21" s="64"/>
      <c r="OZ21" s="64"/>
      <c r="PA21" s="64"/>
      <c r="PB21" s="64"/>
      <c r="PC21" s="64"/>
      <c r="PD21" s="64"/>
      <c r="PE21" s="64"/>
      <c r="PF21" s="64"/>
      <c r="PG21" s="64"/>
      <c r="PH21" s="64"/>
      <c r="PI21" s="64"/>
      <c r="PJ21" s="64"/>
      <c r="PK21" s="64"/>
      <c r="PL21" s="64"/>
      <c r="PM21" s="64"/>
      <c r="PN21" s="64"/>
      <c r="PO21" s="64"/>
      <c r="PP21" s="64"/>
      <c r="PQ21" s="64"/>
      <c r="PR21" s="64"/>
      <c r="PS21" s="64"/>
      <c r="PT21" s="64"/>
      <c r="PU21" s="64"/>
      <c r="PV21" s="64"/>
      <c r="PW21" s="64"/>
      <c r="PX21" s="64"/>
      <c r="PY21" s="64"/>
      <c r="PZ21" s="64"/>
      <c r="QA21" s="64"/>
      <c r="QB21" s="64"/>
      <c r="QC21" s="64"/>
      <c r="QD21" s="64"/>
      <c r="QE21" s="64"/>
      <c r="QF21" s="64"/>
      <c r="QG21" s="64"/>
      <c r="QH21" s="64"/>
      <c r="QI21" s="64"/>
      <c r="QJ21" s="64"/>
      <c r="QK21" s="64"/>
      <c r="QL21" s="64"/>
      <c r="QM21" s="64"/>
      <c r="QN21" s="64"/>
      <c r="QO21" s="64"/>
      <c r="QP21" s="64"/>
      <c r="QQ21" s="64"/>
      <c r="QR21" s="64"/>
      <c r="QS21" s="64"/>
      <c r="QT21" s="64"/>
      <c r="QU21" s="64"/>
      <c r="QV21" s="64"/>
      <c r="QW21" s="64"/>
      <c r="QX21" s="64"/>
      <c r="QY21" s="64"/>
      <c r="QZ21" s="64"/>
      <c r="RA21" s="64"/>
      <c r="RB21" s="64"/>
      <c r="RC21" s="64"/>
      <c r="RD21" s="64"/>
      <c r="RE21" s="64"/>
      <c r="RF21" s="64"/>
      <c r="RG21" s="64"/>
      <c r="RH21" s="64"/>
      <c r="RI21" s="64"/>
      <c r="RJ21" s="64"/>
      <c r="RK21" s="64"/>
      <c r="RL21" s="64"/>
      <c r="RM21" s="64"/>
      <c r="RN21" s="64"/>
      <c r="RO21" s="64"/>
      <c r="RP21" s="64"/>
      <c r="RQ21" s="64"/>
      <c r="RR21" s="64"/>
      <c r="RS21" s="64"/>
      <c r="RT21" s="64"/>
      <c r="RU21" s="64"/>
      <c r="RV21" s="64"/>
      <c r="RW21" s="64"/>
      <c r="RX21" s="64"/>
      <c r="RY21" s="64"/>
      <c r="RZ21" s="64"/>
      <c r="SA21" s="64"/>
      <c r="SB21" s="64"/>
      <c r="SC21" s="64"/>
      <c r="SD21" s="64"/>
      <c r="SE21" s="64"/>
      <c r="SF21" s="64"/>
      <c r="SG21" s="64"/>
      <c r="SH21" s="64"/>
      <c r="SI21" s="64"/>
      <c r="SJ21" s="64"/>
      <c r="SK21" s="64"/>
      <c r="SL21" s="64"/>
      <c r="SM21" s="64"/>
      <c r="SN21" s="64"/>
      <c r="SO21" s="64"/>
      <c r="SP21" s="64"/>
      <c r="SQ21" s="64"/>
      <c r="SR21" s="64"/>
      <c r="SS21" s="64"/>
      <c r="ST21" s="64"/>
      <c r="SU21" s="64"/>
      <c r="SV21" s="64"/>
      <c r="SW21" s="64"/>
      <c r="SX21" s="64"/>
      <c r="SY21" s="64"/>
      <c r="SZ21" s="64"/>
      <c r="TA21" s="64"/>
      <c r="TB21" s="64"/>
      <c r="TC21" s="64"/>
      <c r="TD21" s="64"/>
      <c r="TE21" s="64"/>
      <c r="TF21" s="64"/>
      <c r="TG21" s="64"/>
      <c r="TH21" s="64"/>
      <c r="TI21" s="64"/>
      <c r="TJ21" s="64"/>
      <c r="TK21" s="64"/>
      <c r="TL21" s="64"/>
      <c r="TM21" s="64"/>
      <c r="TN21" s="64"/>
      <c r="TO21" s="64"/>
      <c r="TP21" s="64"/>
      <c r="TQ21" s="64"/>
      <c r="TR21" s="64"/>
      <c r="TS21" s="64"/>
      <c r="TT21" s="64"/>
      <c r="TU21" s="64"/>
      <c r="TV21" s="64"/>
      <c r="TW21" s="64"/>
      <c r="TX21" s="64"/>
      <c r="TY21" s="64"/>
      <c r="TZ21" s="64"/>
      <c r="UA21" s="64"/>
      <c r="UB21" s="64"/>
      <c r="UC21" s="64"/>
      <c r="UD21" s="64"/>
      <c r="UE21" s="64"/>
      <c r="UF21" s="64"/>
      <c r="UG21" s="64"/>
      <c r="UH21" s="64"/>
      <c r="UI21" s="64"/>
      <c r="UJ21" s="64"/>
      <c r="UK21" s="64"/>
      <c r="UL21" s="64"/>
      <c r="UM21" s="64"/>
      <c r="UN21" s="64"/>
      <c r="UO21" s="64"/>
      <c r="UP21" s="64"/>
      <c r="UQ21" s="64"/>
      <c r="UR21" s="64"/>
      <c r="US21" s="64"/>
      <c r="UT21" s="64"/>
      <c r="UU21" s="64"/>
      <c r="UV21" s="64"/>
      <c r="UW21" s="64"/>
      <c r="UX21" s="64"/>
      <c r="UY21" s="64"/>
      <c r="UZ21" s="64"/>
      <c r="VA21" s="64"/>
      <c r="VB21" s="64"/>
      <c r="VC21" s="64"/>
      <c r="VD21" s="64"/>
      <c r="VE21" s="64"/>
      <c r="VF21" s="64"/>
      <c r="VG21" s="64"/>
      <c r="VH21" s="64"/>
      <c r="VI21" s="64"/>
      <c r="VJ21" s="64"/>
      <c r="VK21" s="64"/>
      <c r="VL21" s="64"/>
      <c r="VM21" s="64"/>
      <c r="VN21" s="64"/>
      <c r="VO21" s="64"/>
      <c r="VP21" s="64"/>
      <c r="VQ21" s="64"/>
      <c r="VR21" s="64"/>
      <c r="VS21" s="64"/>
      <c r="VT21" s="64"/>
      <c r="VU21" s="64"/>
      <c r="VV21" s="64"/>
      <c r="VW21" s="64"/>
      <c r="VX21" s="64"/>
      <c r="VY21" s="64"/>
      <c r="VZ21" s="64"/>
      <c r="WA21" s="64"/>
      <c r="WB21" s="64"/>
      <c r="WC21" s="64"/>
      <c r="WD21" s="64"/>
      <c r="WE21" s="64"/>
      <c r="WF21" s="64"/>
      <c r="WG21" s="64"/>
      <c r="WH21" s="64"/>
      <c r="WI21" s="64"/>
      <c r="WJ21" s="64"/>
      <c r="WK21" s="64"/>
      <c r="WL21" s="64"/>
      <c r="WM21" s="64"/>
      <c r="WN21" s="64"/>
      <c r="WO21" s="64"/>
      <c r="WP21" s="64"/>
      <c r="WQ21" s="64"/>
      <c r="WR21" s="64"/>
      <c r="WS21" s="64"/>
      <c r="WT21" s="64"/>
      <c r="WU21" s="64"/>
      <c r="WV21" s="64"/>
      <c r="WW21" s="64"/>
      <c r="WX21" s="64"/>
      <c r="WY21" s="64"/>
      <c r="WZ21" s="64"/>
      <c r="XA21" s="64"/>
      <c r="XB21" s="64"/>
      <c r="XC21" s="64"/>
      <c r="XD21" s="64"/>
      <c r="XE21" s="64"/>
      <c r="XF21" s="64"/>
      <c r="XG21" s="64"/>
      <c r="XH21" s="64"/>
      <c r="XI21" s="64"/>
      <c r="XJ21" s="64"/>
      <c r="XK21" s="64"/>
      <c r="XL21" s="64"/>
      <c r="XM21" s="64"/>
      <c r="XN21" s="64"/>
      <c r="XO21" s="64"/>
      <c r="XP21" s="64"/>
      <c r="XQ21" s="64"/>
      <c r="XR21" s="64"/>
      <c r="XS21" s="64"/>
      <c r="XT21" s="64"/>
      <c r="XU21" s="64"/>
      <c r="XV21" s="64"/>
      <c r="XW21" s="64"/>
      <c r="XX21" s="64"/>
      <c r="XY21" s="64"/>
      <c r="XZ21" s="64"/>
      <c r="YA21" s="64"/>
      <c r="YB21" s="64"/>
      <c r="YC21" s="64"/>
      <c r="YD21" s="64"/>
      <c r="YE21" s="64"/>
      <c r="YF21" s="64"/>
      <c r="YG21" s="64"/>
      <c r="YH21" s="64"/>
      <c r="YI21" s="64"/>
      <c r="YJ21" s="64"/>
      <c r="YK21" s="64"/>
      <c r="YL21" s="64"/>
      <c r="YM21" s="64"/>
      <c r="YN21" s="64"/>
      <c r="YO21" s="64"/>
      <c r="YP21" s="64"/>
      <c r="YQ21" s="64"/>
      <c r="YR21" s="64"/>
      <c r="YS21" s="64"/>
      <c r="YT21" s="64"/>
      <c r="YU21" s="64"/>
      <c r="YV21" s="64"/>
      <c r="YW21" s="64"/>
      <c r="YX21" s="64"/>
      <c r="YY21" s="64"/>
      <c r="YZ21" s="64"/>
      <c r="ZA21" s="64"/>
      <c r="ZB21" s="64"/>
      <c r="ZC21" s="64"/>
      <c r="ZD21" s="64"/>
      <c r="ZE21" s="64"/>
      <c r="ZF21" s="64"/>
      <c r="ZG21" s="64"/>
      <c r="ZH21" s="64"/>
      <c r="ZI21" s="64"/>
      <c r="ZJ21" s="64"/>
      <c r="ZK21" s="64"/>
      <c r="ZL21" s="64"/>
      <c r="ZM21" s="64"/>
      <c r="ZN21" s="64"/>
      <c r="ZO21" s="64"/>
      <c r="ZP21" s="64"/>
      <c r="ZQ21" s="64"/>
      <c r="ZR21" s="64"/>
      <c r="ZS21" s="64"/>
      <c r="ZT21" s="64"/>
      <c r="ZU21" s="64"/>
      <c r="ZV21" s="64"/>
      <c r="ZW21" s="64"/>
      <c r="ZX21" s="64"/>
      <c r="ZY21" s="64"/>
      <c r="ZZ21" s="64"/>
      <c r="AAA21" s="64"/>
      <c r="AAB21" s="64"/>
      <c r="AAC21" s="64"/>
      <c r="AAD21" s="64"/>
      <c r="AAE21" s="64"/>
      <c r="AAF21" s="64"/>
      <c r="AAG21" s="64"/>
      <c r="AAH21" s="64"/>
      <c r="AAI21" s="64"/>
      <c r="AAJ21" s="64"/>
      <c r="AAK21" s="64"/>
      <c r="AAL21" s="64"/>
      <c r="AAM21" s="64"/>
      <c r="AAN21" s="64"/>
      <c r="AAO21" s="64"/>
      <c r="AAP21" s="64"/>
      <c r="AAQ21" s="64"/>
      <c r="AAR21" s="64"/>
      <c r="AAS21" s="64"/>
      <c r="AAT21" s="64"/>
      <c r="AAU21" s="64"/>
      <c r="AAV21" s="64"/>
      <c r="AAW21" s="64"/>
      <c r="AAX21" s="64"/>
      <c r="AAY21" s="64"/>
      <c r="AAZ21" s="64"/>
      <c r="ABA21" s="64"/>
      <c r="ABB21" s="64"/>
      <c r="ABC21" s="64"/>
      <c r="ABD21" s="64"/>
      <c r="ABE21" s="64"/>
      <c r="ABF21" s="64"/>
      <c r="ABG21" s="64"/>
      <c r="ABH21" s="64"/>
      <c r="ABI21" s="64"/>
      <c r="ABJ21" s="64"/>
      <c r="ABK21" s="64"/>
      <c r="ABL21" s="64"/>
      <c r="ABM21" s="64"/>
      <c r="ABN21" s="64"/>
      <c r="ABO21" s="64"/>
      <c r="ABP21" s="64"/>
      <c r="ABQ21" s="64"/>
      <c r="ABR21" s="64"/>
      <c r="ABS21" s="64"/>
      <c r="ABT21" s="64"/>
      <c r="ABU21" s="64"/>
      <c r="ABV21" s="64"/>
      <c r="ABW21" s="64"/>
      <c r="ABX21" s="64"/>
      <c r="ABY21" s="64"/>
      <c r="ABZ21" s="64"/>
      <c r="ACA21" s="64"/>
      <c r="ACB21" s="64"/>
      <c r="ACC21" s="64"/>
      <c r="ACD21" s="64"/>
      <c r="ACE21" s="64"/>
      <c r="ACF21" s="64"/>
      <c r="ACG21" s="64"/>
      <c r="ACH21" s="64"/>
      <c r="ACI21" s="64"/>
      <c r="ACJ21" s="64"/>
      <c r="ACK21" s="64"/>
      <c r="ACL21" s="64"/>
      <c r="ACM21" s="64"/>
      <c r="ACN21" s="64"/>
      <c r="ACO21" s="64"/>
      <c r="ACP21" s="64"/>
      <c r="ACQ21" s="64"/>
      <c r="ACR21" s="64"/>
      <c r="ACS21" s="64"/>
      <c r="ACT21" s="64"/>
      <c r="ACU21" s="64"/>
      <c r="ACV21" s="64"/>
      <c r="ACW21" s="64"/>
      <c r="ACX21" s="64"/>
      <c r="ACY21" s="64"/>
      <c r="ACZ21" s="64"/>
      <c r="ADA21" s="64"/>
      <c r="ADB21" s="64"/>
      <c r="ADC21" s="64"/>
      <c r="ADD21" s="64"/>
      <c r="ADE21" s="64"/>
      <c r="ADF21" s="64"/>
      <c r="ADG21" s="64"/>
      <c r="ADH21" s="64"/>
      <c r="ADI21" s="64"/>
      <c r="ADJ21" s="64"/>
      <c r="ADK21" s="64"/>
      <c r="ADL21" s="64"/>
      <c r="ADM21" s="64"/>
      <c r="ADN21" s="64"/>
      <c r="ADO21" s="64"/>
      <c r="ADP21" s="64"/>
      <c r="ADQ21" s="64"/>
      <c r="ADR21" s="64"/>
      <c r="ADS21" s="64"/>
      <c r="ADT21" s="64"/>
      <c r="ADU21" s="64"/>
      <c r="ADV21" s="64"/>
      <c r="ADW21" s="64"/>
      <c r="ADX21" s="64"/>
      <c r="ADY21" s="64"/>
      <c r="ADZ21" s="64"/>
      <c r="AEA21" s="64"/>
      <c r="AEB21" s="64"/>
      <c r="AEC21" s="64"/>
      <c r="AED21" s="64"/>
      <c r="AEE21" s="64"/>
      <c r="AEF21" s="64"/>
      <c r="AEG21" s="64"/>
      <c r="AEH21" s="64"/>
      <c r="AEI21" s="64"/>
      <c r="AEJ21" s="64"/>
      <c r="AEK21" s="64"/>
      <c r="AEL21" s="64"/>
      <c r="AEM21" s="64"/>
      <c r="AEN21" s="64"/>
      <c r="AEO21" s="64"/>
      <c r="AEP21" s="64"/>
      <c r="AEQ21" s="64"/>
      <c r="AER21" s="64"/>
      <c r="AES21" s="64"/>
      <c r="AET21" s="64"/>
      <c r="AEU21" s="64"/>
      <c r="AEV21" s="64"/>
      <c r="AEW21" s="64"/>
      <c r="AEX21" s="64"/>
      <c r="AEY21" s="64"/>
      <c r="AEZ21" s="64"/>
      <c r="AFA21" s="64"/>
      <c r="AFB21" s="64"/>
      <c r="AFC21" s="64"/>
      <c r="AFD21" s="64"/>
      <c r="AFE21" s="64"/>
      <c r="AFF21" s="64"/>
      <c r="AFG21" s="64"/>
      <c r="AFH21" s="64"/>
      <c r="AFI21" s="64"/>
      <c r="AFJ21" s="64"/>
      <c r="AFK21" s="64"/>
      <c r="AFL21" s="64"/>
      <c r="AFM21" s="64"/>
      <c r="AFN21" s="64"/>
      <c r="AFO21" s="64"/>
      <c r="AFP21" s="64"/>
      <c r="AFQ21" s="64"/>
      <c r="AFR21" s="64"/>
      <c r="AFS21" s="64"/>
      <c r="AFT21" s="64"/>
      <c r="AFU21" s="64"/>
      <c r="AFV21" s="64"/>
      <c r="AFW21" s="64"/>
      <c r="AFX21" s="64"/>
      <c r="AFY21" s="64"/>
      <c r="AFZ21" s="64"/>
      <c r="AGA21" s="64"/>
      <c r="AGB21" s="64"/>
      <c r="AGC21" s="64"/>
      <c r="AGD21" s="64"/>
      <c r="AGE21" s="64"/>
      <c r="AGF21" s="64"/>
      <c r="AGG21" s="64"/>
      <c r="AGH21" s="64"/>
      <c r="AGI21" s="64"/>
      <c r="AGJ21" s="64"/>
      <c r="AGK21" s="64"/>
      <c r="AGL21" s="64"/>
      <c r="AGM21" s="64"/>
      <c r="AGN21" s="64"/>
      <c r="AGO21" s="64"/>
      <c r="AGP21" s="64"/>
      <c r="AGQ21" s="64"/>
      <c r="AGR21" s="64"/>
      <c r="AGS21" s="64"/>
      <c r="AGT21" s="64"/>
      <c r="AGU21" s="64"/>
      <c r="AGV21" s="64"/>
      <c r="AGW21" s="64"/>
      <c r="AGX21" s="64"/>
      <c r="AGY21" s="64"/>
      <c r="AGZ21" s="64"/>
      <c r="AHA21" s="64"/>
      <c r="AHB21" s="64"/>
      <c r="AHC21" s="64"/>
      <c r="AHD21" s="64"/>
      <c r="AHE21" s="64"/>
      <c r="AHF21" s="64"/>
      <c r="AHG21" s="64"/>
      <c r="AHH21" s="64"/>
      <c r="AHI21" s="64"/>
      <c r="AHJ21" s="64"/>
      <c r="AHK21" s="64"/>
      <c r="AHL21" s="64"/>
      <c r="AHM21" s="64"/>
      <c r="AHN21" s="64"/>
      <c r="AHO21" s="64"/>
      <c r="AHP21" s="64"/>
      <c r="AHQ21" s="64"/>
      <c r="AHR21" s="64"/>
      <c r="AHS21" s="64"/>
      <c r="AHT21" s="64"/>
      <c r="AHU21" s="64"/>
      <c r="AHV21" s="64"/>
      <c r="AHW21" s="64"/>
      <c r="AHX21" s="64"/>
      <c r="AHY21" s="64"/>
      <c r="AHZ21" s="64"/>
      <c r="AIA21" s="64"/>
      <c r="AIB21" s="64"/>
      <c r="AIC21" s="64"/>
      <c r="AID21" s="64"/>
      <c r="AIE21" s="64"/>
      <c r="AIF21" s="64"/>
      <c r="AIG21" s="64"/>
      <c r="AIH21" s="64"/>
      <c r="AII21" s="64"/>
      <c r="AIJ21" s="64"/>
      <c r="AIK21" s="64"/>
      <c r="AIL21" s="64"/>
      <c r="AIM21" s="64"/>
      <c r="AIN21" s="64"/>
      <c r="AIO21" s="64"/>
      <c r="AIP21" s="64"/>
      <c r="AIQ21" s="64"/>
      <c r="AIR21" s="64"/>
      <c r="AIS21" s="64"/>
      <c r="AIT21" s="64"/>
      <c r="AIU21" s="64"/>
      <c r="AIV21" s="64"/>
      <c r="AIW21" s="64"/>
      <c r="AIX21" s="64"/>
      <c r="AIY21" s="64"/>
      <c r="AIZ21" s="64"/>
      <c r="AJA21" s="64"/>
      <c r="AJB21" s="64"/>
      <c r="AJC21" s="64"/>
      <c r="AJD21" s="64"/>
      <c r="AJE21" s="64"/>
      <c r="AJF21" s="64"/>
      <c r="AJG21" s="64"/>
      <c r="AJH21" s="64"/>
      <c r="AJI21" s="64"/>
      <c r="AJJ21" s="64"/>
      <c r="AJK21" s="64"/>
      <c r="AJL21" s="64"/>
      <c r="AJM21" s="64"/>
      <c r="AJN21" s="64"/>
      <c r="AJO21" s="64"/>
      <c r="AJP21" s="64"/>
      <c r="AJQ21" s="64"/>
      <c r="AJR21" s="64"/>
      <c r="AJS21" s="64"/>
      <c r="AJT21" s="64"/>
      <c r="AJU21" s="64"/>
      <c r="AJV21" s="64"/>
      <c r="AJW21" s="64"/>
      <c r="AJX21" s="64"/>
      <c r="AJY21" s="64"/>
      <c r="AJZ21" s="64"/>
      <c r="AKA21" s="64"/>
      <c r="AKB21" s="64"/>
      <c r="AKC21" s="64"/>
      <c r="AKD21" s="64"/>
      <c r="AKE21" s="64"/>
      <c r="AKF21" s="64"/>
      <c r="AKG21" s="64"/>
      <c r="AKH21" s="64"/>
      <c r="AKI21" s="64"/>
      <c r="AKJ21" s="64"/>
      <c r="AKK21" s="64"/>
      <c r="AKL21" s="64"/>
      <c r="AKM21" s="64"/>
      <c r="AKN21" s="64"/>
      <c r="AKO21" s="64"/>
      <c r="AKP21" s="64"/>
      <c r="AKQ21" s="64"/>
      <c r="AKR21" s="64"/>
      <c r="AKS21" s="64"/>
      <c r="AKT21" s="64"/>
      <c r="AKU21" s="64"/>
      <c r="AKV21" s="64"/>
      <c r="AKW21" s="64"/>
      <c r="AKX21" s="64"/>
      <c r="AKY21" s="64"/>
      <c r="AKZ21" s="64"/>
      <c r="ALA21" s="64"/>
      <c r="ALB21" s="64"/>
      <c r="ALC21" s="64"/>
      <c r="ALD21" s="64"/>
      <c r="ALE21" s="64"/>
      <c r="ALF21" s="64"/>
      <c r="ALG21" s="64"/>
      <c r="ALH21" s="64"/>
      <c r="ALI21" s="64"/>
      <c r="ALJ21" s="64"/>
      <c r="ALK21" s="64"/>
      <c r="ALL21" s="64"/>
      <c r="ALM21" s="64"/>
      <c r="ALN21" s="64"/>
      <c r="ALO21" s="64"/>
      <c r="ALP21" s="64"/>
      <c r="ALQ21" s="64"/>
      <c r="ALR21" s="64"/>
      <c r="ALS21" s="64"/>
      <c r="ALT21" s="64"/>
      <c r="ALU21" s="64"/>
      <c r="ALV21" s="64"/>
      <c r="ALW21" s="64"/>
      <c r="ALX21" s="64"/>
      <c r="ALY21" s="64"/>
      <c r="ALZ21" s="64"/>
      <c r="AMA21" s="64"/>
      <c r="AMB21" s="64"/>
      <c r="AMC21" s="64"/>
      <c r="AMD21" s="64"/>
      <c r="AME21" s="64"/>
      <c r="AMF21" s="64"/>
      <c r="AMG21" s="64"/>
      <c r="AMH21" s="64"/>
      <c r="AMI21" s="64"/>
      <c r="AMJ21" s="64"/>
      <c r="AMK21" s="64"/>
      <c r="AML21" s="64"/>
      <c r="AMM21" s="64"/>
      <c r="AMN21" s="64"/>
      <c r="AMO21" s="64"/>
      <c r="AMP21" s="64"/>
      <c r="AMQ21" s="64"/>
      <c r="AMR21" s="64"/>
      <c r="AMS21" s="64"/>
      <c r="AMT21" s="64"/>
      <c r="AMU21" s="64"/>
      <c r="AMV21" s="64"/>
      <c r="AMW21" s="64"/>
      <c r="AMX21" s="64"/>
      <c r="AMY21" s="64"/>
      <c r="AMZ21" s="64"/>
      <c r="ANA21" s="64"/>
      <c r="ANB21" s="64"/>
      <c r="ANC21" s="64"/>
      <c r="AND21" s="64"/>
      <c r="ANE21" s="64"/>
      <c r="ANF21" s="64"/>
      <c r="ANG21" s="64"/>
      <c r="ANH21" s="64"/>
      <c r="ANI21" s="64"/>
      <c r="ANJ21" s="64"/>
      <c r="ANK21" s="64"/>
      <c r="ANL21" s="64"/>
      <c r="ANM21" s="64"/>
      <c r="ANN21" s="64"/>
      <c r="ANO21" s="64"/>
      <c r="ANP21" s="64"/>
      <c r="ANQ21" s="64"/>
      <c r="ANR21" s="64"/>
      <c r="ANS21" s="64"/>
      <c r="ANT21" s="64"/>
      <c r="ANU21" s="64"/>
      <c r="ANV21" s="64"/>
      <c r="ANW21" s="64"/>
      <c r="ANX21" s="64"/>
      <c r="ANY21" s="64"/>
      <c r="ANZ21" s="64"/>
      <c r="AOA21" s="64"/>
      <c r="AOB21" s="64"/>
      <c r="AOC21" s="64"/>
      <c r="AOD21" s="64"/>
      <c r="AOE21" s="64"/>
      <c r="AOF21" s="64"/>
      <c r="AOG21" s="64"/>
      <c r="AOH21" s="64"/>
      <c r="AOI21" s="64"/>
      <c r="AOJ21" s="64"/>
      <c r="AOK21" s="64"/>
      <c r="AOL21" s="64"/>
      <c r="AOM21" s="64"/>
      <c r="AON21" s="64"/>
      <c r="AOO21" s="64"/>
      <c r="AOP21" s="64"/>
      <c r="AOQ21" s="64"/>
      <c r="AOR21" s="64"/>
      <c r="AOS21" s="64"/>
      <c r="AOT21" s="64"/>
      <c r="AOU21" s="64"/>
      <c r="AOV21" s="64"/>
      <c r="AOW21" s="64"/>
      <c r="AOX21" s="64"/>
      <c r="AOY21" s="64"/>
      <c r="AOZ21" s="64"/>
      <c r="APA21" s="64"/>
      <c r="APB21" s="64"/>
      <c r="APC21" s="64"/>
      <c r="APD21" s="64"/>
      <c r="APE21" s="64"/>
      <c r="APF21" s="64"/>
      <c r="APG21" s="64"/>
      <c r="APH21" s="64"/>
      <c r="API21" s="64"/>
      <c r="APJ21" s="64"/>
      <c r="APK21" s="64"/>
      <c r="APL21" s="64"/>
      <c r="APM21" s="64"/>
      <c r="APN21" s="64"/>
      <c r="APO21" s="64"/>
      <c r="APP21" s="64"/>
      <c r="APQ21" s="64"/>
      <c r="APR21" s="64"/>
      <c r="APS21" s="64"/>
      <c r="APT21" s="64"/>
      <c r="APU21" s="64"/>
      <c r="APV21" s="64"/>
      <c r="APW21" s="64"/>
      <c r="APX21" s="64"/>
      <c r="APY21" s="64"/>
      <c r="APZ21" s="64"/>
      <c r="AQA21" s="64"/>
      <c r="AQB21" s="64"/>
      <c r="AQC21" s="64"/>
      <c r="AQD21" s="64"/>
      <c r="AQE21" s="64"/>
      <c r="AQF21" s="64"/>
      <c r="AQG21" s="64"/>
      <c r="AQH21" s="64"/>
      <c r="AQI21" s="64"/>
      <c r="AQJ21" s="64"/>
      <c r="AQK21" s="64"/>
      <c r="AQL21" s="64"/>
      <c r="AQM21" s="64"/>
      <c r="AQN21" s="64"/>
      <c r="AQO21" s="64"/>
      <c r="AQP21" s="64"/>
      <c r="AQQ21" s="64"/>
      <c r="AQR21" s="64"/>
      <c r="AQS21" s="64"/>
      <c r="AQT21" s="64"/>
      <c r="AQU21" s="64"/>
      <c r="AQV21" s="64"/>
      <c r="AQW21" s="64"/>
      <c r="AQX21" s="64"/>
      <c r="AQY21" s="64"/>
      <c r="AQZ21" s="64"/>
      <c r="ARA21" s="64"/>
      <c r="ARB21" s="64"/>
      <c r="ARC21" s="64"/>
      <c r="ARD21" s="64"/>
      <c r="ARE21" s="64"/>
      <c r="ARF21" s="64"/>
      <c r="ARG21" s="64"/>
      <c r="ARH21" s="64"/>
      <c r="ARI21" s="64"/>
      <c r="ARJ21" s="64"/>
      <c r="ARK21" s="64"/>
      <c r="ARL21" s="64"/>
      <c r="ARM21" s="64"/>
      <c r="ARN21" s="64"/>
      <c r="ARO21" s="64"/>
      <c r="ARP21" s="64"/>
      <c r="ARQ21" s="64"/>
      <c r="ARR21" s="64"/>
      <c r="ARS21" s="64"/>
      <c r="ART21" s="64"/>
      <c r="ARU21" s="64"/>
      <c r="ARV21" s="64"/>
      <c r="ARW21" s="64"/>
      <c r="ARX21" s="64"/>
      <c r="ARY21" s="64"/>
      <c r="ARZ21" s="64"/>
      <c r="ASA21" s="64"/>
      <c r="ASB21" s="64"/>
      <c r="ASC21" s="64"/>
      <c r="ASD21" s="64"/>
      <c r="ASE21" s="64"/>
      <c r="ASF21" s="64"/>
      <c r="ASG21" s="64"/>
      <c r="ASH21" s="64"/>
      <c r="ASI21" s="64"/>
      <c r="ASJ21" s="64"/>
      <c r="ASK21" s="64"/>
      <c r="ASL21" s="64"/>
      <c r="ASM21" s="64"/>
      <c r="ASN21" s="64"/>
      <c r="ASO21" s="64"/>
      <c r="ASP21" s="64"/>
      <c r="ASQ21" s="64"/>
      <c r="ASR21" s="64"/>
      <c r="ASS21" s="64"/>
      <c r="AST21" s="64"/>
      <c r="ASU21" s="64"/>
      <c r="ASV21" s="64"/>
      <c r="ASW21" s="64"/>
      <c r="ASX21" s="64"/>
      <c r="ASY21" s="64"/>
      <c r="ASZ21" s="64"/>
      <c r="ATA21" s="64"/>
      <c r="ATB21" s="64"/>
      <c r="ATC21" s="64"/>
      <c r="ATD21" s="64"/>
      <c r="ATE21" s="64"/>
      <c r="ATF21" s="64"/>
      <c r="ATG21" s="64"/>
      <c r="ATH21" s="64"/>
      <c r="ATI21" s="64"/>
      <c r="ATJ21" s="64"/>
      <c r="ATK21" s="64"/>
      <c r="ATL21" s="64"/>
      <c r="ATM21" s="64"/>
      <c r="ATN21" s="64"/>
      <c r="ATO21" s="64"/>
      <c r="ATP21" s="64"/>
      <c r="ATQ21" s="64"/>
      <c r="ATR21" s="64"/>
      <c r="ATS21" s="64"/>
      <c r="ATT21" s="64"/>
      <c r="ATU21" s="64"/>
      <c r="ATV21" s="64"/>
      <c r="ATW21" s="64"/>
      <c r="ATX21" s="64"/>
      <c r="ATY21" s="64"/>
      <c r="ATZ21" s="64"/>
      <c r="AUA21" s="64"/>
      <c r="AUB21" s="64"/>
      <c r="AUC21" s="64"/>
      <c r="AUD21" s="64"/>
      <c r="AUE21" s="64"/>
      <c r="AUF21" s="64"/>
      <c r="AUG21" s="64"/>
      <c r="AUH21" s="64"/>
      <c r="AUI21" s="64"/>
      <c r="AUJ21" s="64"/>
      <c r="AUK21" s="64"/>
      <c r="AUL21" s="64"/>
      <c r="AUM21" s="64"/>
      <c r="AUN21" s="64"/>
      <c r="AUO21" s="64"/>
      <c r="AUP21" s="64"/>
      <c r="AUQ21" s="64"/>
      <c r="AUR21" s="64"/>
      <c r="AUS21" s="64"/>
      <c r="AUT21" s="64"/>
      <c r="AUU21" s="64"/>
      <c r="AUV21" s="64"/>
      <c r="AUW21" s="64"/>
      <c r="AUX21" s="64"/>
      <c r="AUY21" s="64"/>
      <c r="AUZ21" s="64"/>
      <c r="AVA21" s="64"/>
      <c r="AVB21" s="64"/>
      <c r="AVC21" s="64"/>
      <c r="AVD21" s="64"/>
      <c r="AVE21" s="64"/>
      <c r="AVF21" s="64"/>
      <c r="AVG21" s="64"/>
      <c r="AVH21" s="64"/>
      <c r="AVI21" s="64"/>
      <c r="AVJ21" s="64"/>
      <c r="AVK21" s="64"/>
      <c r="AVL21" s="64"/>
      <c r="AVM21" s="64"/>
      <c r="AVN21" s="64"/>
      <c r="AVO21" s="64"/>
      <c r="AVP21" s="64"/>
      <c r="AVQ21" s="64"/>
      <c r="AVR21" s="64"/>
      <c r="AVS21" s="64"/>
      <c r="AVT21" s="64"/>
      <c r="AVU21" s="64"/>
      <c r="AVV21" s="64"/>
      <c r="AVW21" s="64"/>
      <c r="AVX21" s="64"/>
      <c r="AVY21" s="64"/>
      <c r="AVZ21" s="64"/>
      <c r="AWA21" s="64"/>
      <c r="AWB21" s="64"/>
      <c r="AWC21" s="64"/>
      <c r="AWD21" s="64"/>
      <c r="AWE21" s="64"/>
      <c r="AWF21" s="64"/>
      <c r="AWG21" s="64"/>
      <c r="AWH21" s="64"/>
      <c r="AWI21" s="64"/>
      <c r="AWJ21" s="64"/>
      <c r="AWK21" s="64"/>
      <c r="AWL21" s="64"/>
      <c r="AWM21" s="64"/>
      <c r="AWN21" s="64"/>
      <c r="AWO21" s="64"/>
      <c r="AWP21" s="64"/>
      <c r="AWQ21" s="64"/>
      <c r="AWR21" s="64"/>
      <c r="AWS21" s="64"/>
      <c r="AWT21" s="64"/>
      <c r="AWU21" s="64"/>
      <c r="AWV21" s="64"/>
      <c r="AWW21" s="64"/>
      <c r="AWX21" s="64"/>
      <c r="AWY21" s="64"/>
      <c r="AWZ21" s="64"/>
      <c r="AXA21" s="64"/>
      <c r="AXB21" s="64"/>
      <c r="AXC21" s="64"/>
      <c r="AXD21" s="64"/>
      <c r="AXE21" s="64"/>
      <c r="AXF21" s="64"/>
      <c r="AXG21" s="64"/>
      <c r="AXH21" s="64"/>
      <c r="AXI21" s="64"/>
      <c r="AXJ21" s="64"/>
      <c r="AXK21" s="64"/>
      <c r="AXL21" s="64"/>
      <c r="AXM21" s="64"/>
      <c r="AXN21" s="64"/>
      <c r="AXO21" s="64"/>
      <c r="AXP21" s="64"/>
      <c r="AXQ21" s="64"/>
      <c r="AXR21" s="64"/>
      <c r="AXS21" s="64"/>
      <c r="AXT21" s="64"/>
      <c r="AXU21" s="64"/>
      <c r="AXV21" s="64"/>
      <c r="AXW21" s="64"/>
      <c r="AXX21" s="64"/>
      <c r="AXY21" s="64"/>
      <c r="AXZ21" s="64"/>
      <c r="AYA21" s="64"/>
      <c r="AYB21" s="64"/>
      <c r="AYC21" s="64"/>
      <c r="AYD21" s="64"/>
      <c r="AYE21" s="64"/>
      <c r="AYF21" s="64"/>
      <c r="AYG21" s="64"/>
      <c r="AYH21" s="64"/>
      <c r="AYI21" s="64"/>
      <c r="AYJ21" s="64"/>
      <c r="AYK21" s="64"/>
      <c r="AYL21" s="64"/>
      <c r="AYM21" s="64"/>
      <c r="AYN21" s="64"/>
      <c r="AYO21" s="64"/>
      <c r="AYP21" s="64"/>
      <c r="AYQ21" s="64"/>
      <c r="AYR21" s="64"/>
      <c r="AYS21" s="64"/>
      <c r="AYT21" s="64"/>
      <c r="AYU21" s="64"/>
      <c r="AYV21" s="64"/>
      <c r="AYW21" s="64"/>
      <c r="AYX21" s="64"/>
      <c r="AYY21" s="64"/>
      <c r="AYZ21" s="64"/>
      <c r="AZA21" s="64"/>
      <c r="AZB21" s="64"/>
      <c r="AZC21" s="64"/>
      <c r="AZD21" s="64"/>
      <c r="AZE21" s="64"/>
      <c r="AZF21" s="64"/>
      <c r="AZG21" s="64"/>
      <c r="AZH21" s="64"/>
      <c r="AZI21" s="64"/>
      <c r="AZJ21" s="64"/>
      <c r="AZK21" s="64"/>
      <c r="AZL21" s="64"/>
      <c r="AZM21" s="64"/>
      <c r="AZN21" s="64"/>
      <c r="AZO21" s="64"/>
      <c r="AZP21" s="64"/>
      <c r="AZQ21" s="64"/>
      <c r="AZR21" s="64"/>
      <c r="AZS21" s="64"/>
      <c r="AZT21" s="64"/>
      <c r="AZU21" s="64"/>
      <c r="AZV21" s="64"/>
      <c r="AZW21" s="64"/>
      <c r="AZX21" s="64"/>
      <c r="AZY21" s="64"/>
      <c r="AZZ21" s="64"/>
      <c r="BAA21" s="64"/>
      <c r="BAB21" s="64"/>
      <c r="BAC21" s="64"/>
      <c r="BAD21" s="64"/>
      <c r="BAE21" s="64"/>
      <c r="BAF21" s="64"/>
      <c r="BAG21" s="64"/>
      <c r="BAH21" s="64"/>
      <c r="BAI21" s="64"/>
      <c r="BAJ21" s="64"/>
      <c r="BAK21" s="64"/>
      <c r="BAL21" s="64"/>
      <c r="BAM21" s="64"/>
      <c r="BAN21" s="64"/>
      <c r="BAO21" s="64"/>
      <c r="BAP21" s="64"/>
      <c r="BAQ21" s="64"/>
      <c r="BAR21" s="64"/>
      <c r="BAS21" s="64"/>
      <c r="BAT21" s="64"/>
      <c r="BAU21" s="64"/>
      <c r="BAV21" s="64"/>
      <c r="BAW21" s="64"/>
      <c r="BAX21" s="64"/>
      <c r="BAY21" s="64"/>
      <c r="BAZ21" s="64"/>
      <c r="BBA21" s="64"/>
      <c r="BBB21" s="64"/>
      <c r="BBC21" s="64"/>
      <c r="BBD21" s="64"/>
      <c r="BBE21" s="64"/>
      <c r="BBF21" s="64"/>
      <c r="BBG21" s="64"/>
      <c r="BBH21" s="64"/>
      <c r="BBI21" s="64"/>
      <c r="BBJ21" s="64"/>
      <c r="BBK21" s="64"/>
      <c r="BBL21" s="64"/>
      <c r="BBM21" s="64"/>
      <c r="BBN21" s="64"/>
      <c r="BBO21" s="64"/>
      <c r="BBP21" s="64"/>
      <c r="BBQ21" s="64"/>
      <c r="BBR21" s="64"/>
      <c r="BBS21" s="64"/>
      <c r="BBT21" s="64"/>
      <c r="BBU21" s="64"/>
      <c r="BBV21" s="64"/>
      <c r="BBW21" s="64"/>
      <c r="BBX21" s="64"/>
      <c r="BBY21" s="64"/>
      <c r="BBZ21" s="64"/>
      <c r="BCA21" s="64"/>
      <c r="BCB21" s="64"/>
      <c r="BCC21" s="64"/>
      <c r="BCD21" s="64"/>
      <c r="BCE21" s="64"/>
      <c r="BCF21" s="64"/>
      <c r="BCG21" s="64"/>
      <c r="BCH21" s="64"/>
      <c r="BCI21" s="64"/>
      <c r="BCJ21" s="64"/>
      <c r="BCK21" s="64"/>
      <c r="BCL21" s="64"/>
      <c r="BCM21" s="64"/>
      <c r="BCN21" s="64"/>
      <c r="BCO21" s="64"/>
      <c r="BCP21" s="64"/>
      <c r="BCQ21" s="64"/>
      <c r="BCR21" s="64"/>
      <c r="BCS21" s="64"/>
      <c r="BCT21" s="64"/>
      <c r="BCU21" s="64"/>
      <c r="BCV21" s="64"/>
      <c r="BCW21" s="64"/>
      <c r="BCX21" s="64"/>
      <c r="BCY21" s="64"/>
      <c r="BCZ21" s="64"/>
      <c r="BDA21" s="64"/>
      <c r="BDB21" s="64"/>
      <c r="BDC21" s="64"/>
      <c r="BDD21" s="64"/>
      <c r="BDE21" s="64"/>
      <c r="BDF21" s="64"/>
      <c r="BDG21" s="64"/>
      <c r="BDH21" s="64"/>
      <c r="BDI21" s="64"/>
      <c r="BDJ21" s="64"/>
      <c r="BDK21" s="64"/>
      <c r="BDL21" s="64"/>
      <c r="BDM21" s="64"/>
      <c r="BDN21" s="64"/>
      <c r="BDO21" s="64"/>
      <c r="BDP21" s="64"/>
      <c r="BDQ21" s="64"/>
      <c r="BDR21" s="64"/>
      <c r="BDS21" s="64"/>
      <c r="BDT21" s="64"/>
      <c r="BDU21" s="64"/>
      <c r="BDV21" s="64"/>
      <c r="BDW21" s="64"/>
      <c r="BDX21" s="64"/>
      <c r="BDY21" s="64"/>
      <c r="BDZ21" s="64"/>
      <c r="BEA21" s="64"/>
      <c r="BEB21" s="64"/>
      <c r="BEC21" s="64"/>
      <c r="BED21" s="64"/>
      <c r="BEE21" s="64"/>
      <c r="BEF21" s="64"/>
      <c r="BEG21" s="64"/>
      <c r="BEH21" s="64"/>
      <c r="BEI21" s="64"/>
      <c r="BEJ21" s="64"/>
      <c r="BEK21" s="64"/>
      <c r="BEL21" s="64"/>
      <c r="BEM21" s="64"/>
      <c r="BEN21" s="64"/>
      <c r="BEO21" s="64"/>
      <c r="BEP21" s="64"/>
      <c r="BEQ21" s="64"/>
      <c r="BER21" s="64"/>
      <c r="BES21" s="64"/>
      <c r="BET21" s="64"/>
      <c r="BEU21" s="64"/>
      <c r="BEV21" s="64"/>
      <c r="BEW21" s="64"/>
      <c r="BEX21" s="64"/>
      <c r="BEY21" s="64"/>
      <c r="BEZ21" s="64"/>
      <c r="BFA21" s="64"/>
      <c r="BFB21" s="64"/>
      <c r="BFC21" s="64"/>
      <c r="BFD21" s="64"/>
      <c r="BFE21" s="64"/>
      <c r="BFF21" s="64"/>
      <c r="BFG21" s="64"/>
      <c r="BFH21" s="64"/>
      <c r="BFI21" s="64"/>
      <c r="BFJ21" s="64"/>
      <c r="BFK21" s="64"/>
      <c r="BFL21" s="64"/>
      <c r="BFM21" s="64"/>
      <c r="BFN21" s="64"/>
      <c r="BFO21" s="64"/>
      <c r="BFP21" s="64"/>
      <c r="BFQ21" s="64"/>
      <c r="BFR21" s="64"/>
      <c r="BFS21" s="64"/>
      <c r="BFT21" s="64"/>
      <c r="BFU21" s="64"/>
      <c r="BFV21" s="64"/>
      <c r="BFW21" s="64"/>
      <c r="BFX21" s="64"/>
      <c r="BFY21" s="64"/>
      <c r="BFZ21" s="64"/>
      <c r="BGA21" s="64"/>
      <c r="BGB21" s="64"/>
      <c r="BGC21" s="64"/>
      <c r="BGD21" s="64"/>
      <c r="BGE21" s="64"/>
      <c r="BGF21" s="64"/>
      <c r="BGG21" s="64"/>
      <c r="BGH21" s="64"/>
      <c r="BGI21" s="64"/>
      <c r="BGJ21" s="64"/>
      <c r="BGK21" s="64"/>
      <c r="BGL21" s="64"/>
      <c r="BGM21" s="64"/>
      <c r="BGN21" s="64"/>
      <c r="BGO21" s="64"/>
      <c r="BGP21" s="64"/>
      <c r="BGQ21" s="64"/>
      <c r="BGR21" s="64"/>
      <c r="BGS21" s="64"/>
      <c r="BGT21" s="64"/>
      <c r="BGU21" s="64"/>
      <c r="BGV21" s="64"/>
      <c r="BGW21" s="64"/>
      <c r="BGX21" s="64"/>
      <c r="BGY21" s="64"/>
      <c r="BGZ21" s="64"/>
      <c r="BHA21" s="64"/>
      <c r="BHB21" s="64"/>
      <c r="BHC21" s="64"/>
      <c r="BHD21" s="64"/>
      <c r="BHE21" s="64"/>
      <c r="BHF21" s="64"/>
      <c r="BHG21" s="64"/>
      <c r="BHH21" s="64"/>
      <c r="BHI21" s="64"/>
      <c r="BHJ21" s="64"/>
      <c r="BHK21" s="64"/>
      <c r="BHL21" s="64"/>
      <c r="BHM21" s="64"/>
      <c r="BHN21" s="64"/>
      <c r="BHO21" s="64"/>
      <c r="BHP21" s="64"/>
      <c r="BHQ21" s="64"/>
      <c r="BHR21" s="64"/>
      <c r="BHS21" s="64"/>
      <c r="BHT21" s="64"/>
      <c r="BHU21" s="64"/>
      <c r="BHV21" s="64"/>
      <c r="BHW21" s="64"/>
      <c r="BHX21" s="64"/>
      <c r="BHY21" s="64"/>
      <c r="BHZ21" s="64"/>
      <c r="BIA21" s="64"/>
      <c r="BIB21" s="64"/>
      <c r="BIC21" s="64"/>
      <c r="BID21" s="64"/>
      <c r="BIE21" s="64"/>
      <c r="BIF21" s="64"/>
      <c r="BIG21" s="64"/>
      <c r="BIH21" s="64"/>
      <c r="BII21" s="64"/>
      <c r="BIJ21" s="64"/>
      <c r="BIK21" s="64"/>
      <c r="BIL21" s="64"/>
      <c r="BIM21" s="64"/>
      <c r="BIN21" s="64"/>
      <c r="BIO21" s="64"/>
      <c r="BIP21" s="64"/>
      <c r="BIQ21" s="64"/>
      <c r="BIR21" s="64"/>
      <c r="BIS21" s="64"/>
      <c r="BIT21" s="64"/>
      <c r="BIU21" s="64"/>
      <c r="BIV21" s="64"/>
      <c r="BIW21" s="64"/>
      <c r="BIX21" s="64"/>
      <c r="BIY21" s="64"/>
      <c r="BIZ21" s="64"/>
      <c r="BJA21" s="64"/>
      <c r="BJB21" s="64"/>
      <c r="BJC21" s="64"/>
      <c r="BJD21" s="64"/>
      <c r="BJE21" s="64"/>
      <c r="BJF21" s="64"/>
      <c r="BJG21" s="64"/>
      <c r="BJH21" s="64"/>
      <c r="BJI21" s="64"/>
      <c r="BJJ21" s="64"/>
      <c r="BJK21" s="64"/>
      <c r="BJL21" s="64"/>
      <c r="BJM21" s="64"/>
      <c r="BJN21" s="64"/>
      <c r="BJO21" s="64"/>
      <c r="BJP21" s="64"/>
      <c r="BJQ21" s="64"/>
      <c r="BJR21" s="64"/>
      <c r="BJS21" s="64"/>
      <c r="BJT21" s="64"/>
      <c r="BJU21" s="64"/>
      <c r="BJV21" s="64"/>
      <c r="BJW21" s="64"/>
      <c r="BJX21" s="64"/>
      <c r="BJY21" s="64"/>
      <c r="BJZ21" s="64"/>
      <c r="BKA21" s="64"/>
      <c r="BKB21" s="64"/>
      <c r="BKC21" s="64"/>
      <c r="BKD21" s="64"/>
      <c r="BKE21" s="64"/>
      <c r="BKF21" s="64"/>
      <c r="BKG21" s="64"/>
      <c r="BKH21" s="64"/>
      <c r="BKI21" s="64"/>
      <c r="BKJ21" s="64"/>
      <c r="BKK21" s="64"/>
      <c r="BKL21" s="64"/>
      <c r="BKM21" s="64"/>
      <c r="BKN21" s="64"/>
      <c r="BKO21" s="64"/>
      <c r="BKP21" s="64"/>
      <c r="BKQ21" s="64"/>
      <c r="BKR21" s="64"/>
      <c r="BKS21" s="64"/>
      <c r="BKT21" s="64"/>
      <c r="BKU21" s="64"/>
      <c r="BKV21" s="64"/>
      <c r="BKW21" s="64"/>
      <c r="BKX21" s="64"/>
      <c r="BKY21" s="64"/>
      <c r="BKZ21" s="64"/>
      <c r="BLA21" s="64"/>
      <c r="BLB21" s="64"/>
      <c r="BLC21" s="64"/>
      <c r="BLD21" s="64"/>
      <c r="BLE21" s="64"/>
      <c r="BLF21" s="64"/>
      <c r="BLG21" s="64"/>
      <c r="BLH21" s="64"/>
      <c r="BLI21" s="64"/>
      <c r="BLJ21" s="64"/>
      <c r="BLK21" s="64"/>
      <c r="BLL21" s="64"/>
      <c r="BLM21" s="64"/>
      <c r="BLN21" s="64"/>
      <c r="BLO21" s="64"/>
      <c r="BLP21" s="64"/>
      <c r="BLQ21" s="64"/>
      <c r="BLR21" s="64"/>
      <c r="BLS21" s="64"/>
      <c r="BLT21" s="64"/>
      <c r="BLU21" s="64"/>
      <c r="BLV21" s="64"/>
      <c r="BLW21" s="64"/>
      <c r="BLX21" s="64"/>
      <c r="BLY21" s="64"/>
      <c r="BLZ21" s="64"/>
      <c r="BMA21" s="64"/>
      <c r="BMB21" s="64"/>
      <c r="BMC21" s="64"/>
      <c r="BMD21" s="64"/>
      <c r="BME21" s="64"/>
      <c r="BMF21" s="64"/>
      <c r="BMG21" s="64"/>
      <c r="BMH21" s="64"/>
      <c r="BMI21" s="64"/>
      <c r="BMJ21" s="64"/>
      <c r="BMK21" s="64"/>
      <c r="BML21" s="64"/>
      <c r="BMM21" s="64"/>
      <c r="BMN21" s="64"/>
      <c r="BMO21" s="64"/>
      <c r="BMP21" s="64"/>
      <c r="BMQ21" s="64"/>
      <c r="BMR21" s="64"/>
      <c r="BMS21" s="64"/>
      <c r="BMT21" s="64"/>
      <c r="BMU21" s="64"/>
      <c r="BMV21" s="64"/>
      <c r="BMW21" s="64"/>
      <c r="BMX21" s="64"/>
      <c r="BMY21" s="64"/>
      <c r="BMZ21" s="64"/>
      <c r="BNA21" s="64"/>
      <c r="BNB21" s="64"/>
      <c r="BNC21" s="64"/>
      <c r="BND21" s="64"/>
      <c r="BNE21" s="64"/>
      <c r="BNF21" s="64"/>
      <c r="BNG21" s="64"/>
      <c r="BNH21" s="64"/>
      <c r="BNI21" s="64"/>
      <c r="BNJ21" s="64"/>
      <c r="BNK21" s="64"/>
      <c r="BNL21" s="64"/>
      <c r="BNM21" s="64"/>
      <c r="BNN21" s="64"/>
      <c r="BNO21" s="64"/>
      <c r="BNP21" s="64"/>
      <c r="BNQ21" s="64"/>
      <c r="BNR21" s="64"/>
      <c r="BNS21" s="64"/>
      <c r="BNT21" s="64"/>
      <c r="BNU21" s="64"/>
      <c r="BNV21" s="64"/>
      <c r="BNW21" s="64"/>
      <c r="BNX21" s="64"/>
      <c r="BNY21" s="64"/>
      <c r="BNZ21" s="64"/>
      <c r="BOA21" s="64"/>
      <c r="BOB21" s="64"/>
      <c r="BOC21" s="64"/>
      <c r="BOD21" s="64"/>
      <c r="BOE21" s="64"/>
      <c r="BOF21" s="64"/>
      <c r="BOG21" s="64"/>
      <c r="BOH21" s="64"/>
      <c r="BOI21" s="64"/>
      <c r="BOJ21" s="64"/>
      <c r="BOK21" s="64"/>
      <c r="BOL21" s="64"/>
      <c r="BOM21" s="64"/>
      <c r="BON21" s="64"/>
      <c r="BOO21" s="64"/>
      <c r="BOP21" s="64"/>
      <c r="BOQ21" s="64"/>
      <c r="BOR21" s="64"/>
      <c r="BOS21" s="64"/>
      <c r="BOT21" s="64"/>
      <c r="BOU21" s="64"/>
      <c r="BOV21" s="64"/>
      <c r="BOW21" s="64"/>
      <c r="BOX21" s="64"/>
      <c r="BOY21" s="64"/>
      <c r="BOZ21" s="64"/>
      <c r="BPA21" s="64"/>
      <c r="BPB21" s="64"/>
      <c r="BPC21" s="64"/>
      <c r="BPD21" s="64"/>
      <c r="BPE21" s="64"/>
      <c r="BPF21" s="64"/>
      <c r="BPG21" s="64"/>
      <c r="BPH21" s="64"/>
      <c r="BPI21" s="64"/>
      <c r="BPJ21" s="64"/>
      <c r="BPK21" s="64"/>
      <c r="BPL21" s="64"/>
      <c r="BPM21" s="64"/>
      <c r="BPN21" s="64"/>
      <c r="BPO21" s="64"/>
      <c r="BPP21" s="64"/>
      <c r="BPQ21" s="64"/>
      <c r="BPR21" s="64"/>
      <c r="BPS21" s="64"/>
      <c r="BPT21" s="64"/>
      <c r="BPU21" s="64"/>
      <c r="BPV21" s="64"/>
      <c r="BPW21" s="64"/>
      <c r="BPX21" s="64"/>
      <c r="BPY21" s="64"/>
      <c r="BPZ21" s="64"/>
      <c r="BQA21" s="64"/>
      <c r="BQB21" s="64"/>
      <c r="BQC21" s="64"/>
      <c r="BQD21" s="64"/>
      <c r="BQE21" s="64"/>
      <c r="BQF21" s="64"/>
      <c r="BQG21" s="64"/>
      <c r="BQH21" s="64"/>
      <c r="BQI21" s="64"/>
      <c r="BQJ21" s="64"/>
      <c r="BQK21" s="64"/>
      <c r="BQL21" s="64"/>
      <c r="BQM21" s="64"/>
      <c r="BQN21" s="64"/>
      <c r="BQO21" s="64"/>
      <c r="BQP21" s="64"/>
      <c r="BQQ21" s="64"/>
      <c r="BQR21" s="64"/>
      <c r="BQS21" s="64"/>
      <c r="BQT21" s="64"/>
      <c r="BQU21" s="64"/>
      <c r="BQV21" s="64"/>
      <c r="BQW21" s="64"/>
      <c r="BQX21" s="64"/>
      <c r="BQY21" s="64"/>
      <c r="BQZ21" s="64"/>
      <c r="BRA21" s="64"/>
      <c r="BRB21" s="64"/>
      <c r="BRC21" s="64"/>
      <c r="BRD21" s="64"/>
      <c r="BRE21" s="64"/>
      <c r="BRF21" s="64"/>
      <c r="BRG21" s="64"/>
      <c r="BRH21" s="64"/>
      <c r="BRI21" s="64"/>
      <c r="BRJ21" s="64"/>
      <c r="BRK21" s="64"/>
      <c r="BRL21" s="64"/>
      <c r="BRM21" s="64"/>
      <c r="BRN21" s="64"/>
      <c r="BRO21" s="64"/>
      <c r="BRP21" s="64"/>
      <c r="BRQ21" s="64"/>
      <c r="BRR21" s="64"/>
      <c r="BRS21" s="64"/>
      <c r="BRT21" s="64"/>
      <c r="BRU21" s="64"/>
      <c r="BRV21" s="64"/>
      <c r="BRW21" s="64"/>
      <c r="BRX21" s="64"/>
      <c r="BRY21" s="64"/>
      <c r="BRZ21" s="64"/>
      <c r="BSA21" s="64"/>
      <c r="BSB21" s="64"/>
      <c r="BSC21" s="64"/>
      <c r="BSD21" s="64"/>
      <c r="BSE21" s="64"/>
      <c r="BSF21" s="64"/>
      <c r="BSG21" s="64"/>
      <c r="BSH21" s="64"/>
      <c r="BSI21" s="64"/>
      <c r="BSJ21" s="64"/>
      <c r="BSK21" s="64"/>
      <c r="BSL21" s="64"/>
      <c r="BSM21" s="64"/>
      <c r="BSN21" s="64"/>
      <c r="BSO21" s="64"/>
      <c r="BSP21" s="64"/>
      <c r="BSQ21" s="64"/>
      <c r="BSR21" s="64"/>
      <c r="BSS21" s="64"/>
      <c r="BST21" s="64"/>
      <c r="BSU21" s="64"/>
      <c r="BSV21" s="64"/>
      <c r="BSW21" s="64"/>
      <c r="BSX21" s="64"/>
      <c r="BSY21" s="64"/>
      <c r="BSZ21" s="64"/>
      <c r="BTA21" s="64"/>
      <c r="BTB21" s="64"/>
      <c r="BTC21" s="64"/>
      <c r="BTD21" s="64"/>
      <c r="BTE21" s="64"/>
      <c r="BTF21" s="64"/>
      <c r="BTG21" s="64"/>
      <c r="BTH21" s="64"/>
      <c r="BTI21" s="64"/>
      <c r="BTJ21" s="64"/>
      <c r="BTK21" s="64"/>
      <c r="BTL21" s="64"/>
      <c r="BTM21" s="64"/>
      <c r="BTN21" s="64"/>
      <c r="BTO21" s="64"/>
      <c r="BTP21" s="64"/>
      <c r="BTQ21" s="64"/>
      <c r="BTR21" s="64"/>
      <c r="BTS21" s="64"/>
      <c r="BTT21" s="64"/>
      <c r="BTU21" s="64"/>
      <c r="BTV21" s="64"/>
      <c r="BTW21" s="64"/>
      <c r="BTX21" s="64"/>
      <c r="BTY21" s="64"/>
      <c r="BTZ21" s="64"/>
      <c r="BUA21" s="64"/>
      <c r="BUB21" s="64"/>
      <c r="BUC21" s="64"/>
      <c r="BUD21" s="64"/>
      <c r="BUE21" s="64"/>
      <c r="BUF21" s="64"/>
      <c r="BUG21" s="64"/>
      <c r="BUH21" s="64"/>
      <c r="BUI21" s="64"/>
      <c r="BUJ21" s="64"/>
      <c r="BUK21" s="64"/>
      <c r="BUL21" s="64"/>
      <c r="BUM21" s="64"/>
      <c r="BUN21" s="64"/>
      <c r="BUO21" s="64"/>
      <c r="BUP21" s="64"/>
      <c r="BUQ21" s="64"/>
      <c r="BUR21" s="64"/>
      <c r="BUS21" s="64"/>
      <c r="BUT21" s="64"/>
      <c r="BUU21" s="64"/>
      <c r="BUV21" s="64"/>
      <c r="BUW21" s="64"/>
      <c r="BUX21" s="64"/>
      <c r="BUY21" s="64"/>
      <c r="BUZ21" s="64"/>
      <c r="BVA21" s="64"/>
      <c r="BVB21" s="64"/>
      <c r="BVC21" s="64"/>
      <c r="BVD21" s="64"/>
      <c r="BVE21" s="64"/>
      <c r="BVF21" s="64"/>
      <c r="BVG21" s="64"/>
      <c r="BVH21" s="64"/>
      <c r="BVI21" s="64"/>
      <c r="BVJ21" s="64"/>
      <c r="BVK21" s="64"/>
      <c r="BVL21" s="64"/>
      <c r="BVM21" s="64"/>
      <c r="BVN21" s="64"/>
      <c r="BVO21" s="64"/>
      <c r="BVP21" s="64"/>
      <c r="BVQ21" s="64"/>
      <c r="BVR21" s="64"/>
      <c r="BVS21" s="64"/>
      <c r="BVT21" s="64"/>
      <c r="BVU21" s="64"/>
      <c r="BVV21" s="64"/>
      <c r="BVW21" s="64"/>
      <c r="BVX21" s="64"/>
      <c r="BVY21" s="64"/>
      <c r="BVZ21" s="64"/>
      <c r="BWA21" s="64"/>
      <c r="BWB21" s="64"/>
      <c r="BWC21" s="64"/>
      <c r="BWD21" s="64"/>
      <c r="BWE21" s="64"/>
      <c r="BWF21" s="64"/>
      <c r="BWG21" s="64"/>
      <c r="BWH21" s="64"/>
      <c r="BWI21" s="64"/>
      <c r="BWJ21" s="64"/>
      <c r="BWK21" s="64"/>
      <c r="BWL21" s="64"/>
      <c r="BWM21" s="64"/>
      <c r="BWN21" s="64"/>
      <c r="BWO21" s="64"/>
      <c r="BWP21" s="64"/>
      <c r="BWQ21" s="64"/>
      <c r="BWR21" s="64"/>
      <c r="BWS21" s="64"/>
      <c r="BWT21" s="64"/>
      <c r="BWU21" s="64"/>
      <c r="BWV21" s="64"/>
      <c r="BWW21" s="64"/>
      <c r="BWX21" s="64"/>
      <c r="BWY21" s="64"/>
      <c r="BWZ21" s="64"/>
      <c r="BXA21" s="64"/>
      <c r="BXB21" s="64"/>
      <c r="BXC21" s="64"/>
      <c r="BXD21" s="64"/>
      <c r="BXE21" s="64"/>
      <c r="BXF21" s="64"/>
      <c r="BXG21" s="64"/>
      <c r="BXH21" s="64"/>
      <c r="BXI21" s="64"/>
      <c r="BXJ21" s="64"/>
      <c r="BXK21" s="64"/>
      <c r="BXL21" s="64"/>
      <c r="BXM21" s="64"/>
      <c r="BXN21" s="64"/>
      <c r="BXO21" s="64"/>
      <c r="BXP21" s="64"/>
      <c r="BXQ21" s="64"/>
      <c r="BXR21" s="64"/>
      <c r="BXS21" s="64"/>
      <c r="BXT21" s="64"/>
      <c r="BXU21" s="64"/>
      <c r="BXV21" s="64"/>
      <c r="BXW21" s="64"/>
      <c r="BXX21" s="64"/>
      <c r="BXY21" s="64"/>
      <c r="BXZ21" s="64"/>
      <c r="BYA21" s="64"/>
      <c r="BYB21" s="64"/>
      <c r="BYC21" s="64"/>
      <c r="BYD21" s="64"/>
      <c r="BYE21" s="64"/>
      <c r="BYF21" s="64"/>
      <c r="BYG21" s="64"/>
      <c r="BYH21" s="64"/>
      <c r="BYI21" s="64"/>
      <c r="BYJ21" s="64"/>
      <c r="BYK21" s="64"/>
      <c r="BYL21" s="64"/>
      <c r="BYM21" s="64"/>
      <c r="BYN21" s="64"/>
      <c r="BYO21" s="64"/>
      <c r="BYP21" s="64"/>
      <c r="BYQ21" s="64"/>
      <c r="BYR21" s="64"/>
      <c r="BYS21" s="64"/>
      <c r="BYT21" s="64"/>
      <c r="BYU21" s="64"/>
      <c r="BYV21" s="64"/>
      <c r="BYW21" s="64"/>
      <c r="BYX21" s="64"/>
      <c r="BYY21" s="64"/>
      <c r="BYZ21" s="64"/>
      <c r="BZA21" s="64"/>
      <c r="BZB21" s="64"/>
      <c r="BZC21" s="64"/>
      <c r="BZD21" s="64"/>
      <c r="BZE21" s="64"/>
      <c r="BZF21" s="64"/>
      <c r="BZG21" s="64"/>
      <c r="BZH21" s="64"/>
      <c r="BZI21" s="64"/>
      <c r="BZJ21" s="64"/>
      <c r="BZK21" s="64"/>
      <c r="BZL21" s="64"/>
      <c r="BZM21" s="64"/>
      <c r="BZN21" s="64"/>
      <c r="BZO21" s="64"/>
      <c r="BZP21" s="64"/>
      <c r="BZQ21" s="64"/>
      <c r="BZR21" s="64"/>
      <c r="BZS21" s="64"/>
      <c r="BZT21" s="64"/>
      <c r="BZU21" s="64"/>
      <c r="BZV21" s="64"/>
      <c r="BZW21" s="64"/>
      <c r="BZX21" s="64"/>
      <c r="BZY21" s="64"/>
      <c r="BZZ21" s="64"/>
      <c r="CAA21" s="64"/>
      <c r="CAB21" s="64"/>
      <c r="CAC21" s="64"/>
      <c r="CAD21" s="64"/>
      <c r="CAE21" s="64"/>
      <c r="CAF21" s="64"/>
      <c r="CAG21" s="64"/>
      <c r="CAH21" s="64"/>
      <c r="CAI21" s="64"/>
      <c r="CAJ21" s="64"/>
      <c r="CAK21" s="64"/>
      <c r="CAL21" s="64"/>
      <c r="CAM21" s="64"/>
      <c r="CAN21" s="64"/>
      <c r="CAO21" s="64"/>
      <c r="CAP21" s="64"/>
      <c r="CAQ21" s="64"/>
      <c r="CAR21" s="64"/>
      <c r="CAS21" s="64"/>
      <c r="CAT21" s="64"/>
      <c r="CAU21" s="64"/>
      <c r="CAV21" s="64"/>
      <c r="CAW21" s="64"/>
      <c r="CAX21" s="64"/>
      <c r="CAY21" s="64"/>
      <c r="CAZ21" s="64"/>
      <c r="CBA21" s="64"/>
      <c r="CBB21" s="64"/>
      <c r="CBC21" s="64"/>
      <c r="CBD21" s="64"/>
      <c r="CBE21" s="64"/>
      <c r="CBF21" s="64"/>
      <c r="CBG21" s="64"/>
      <c r="CBH21" s="64"/>
      <c r="CBI21" s="64"/>
      <c r="CBJ21" s="64"/>
      <c r="CBK21" s="64"/>
      <c r="CBL21" s="64"/>
      <c r="CBM21" s="64"/>
      <c r="CBN21" s="64"/>
      <c r="CBO21" s="64"/>
      <c r="CBP21" s="64"/>
      <c r="CBQ21" s="64"/>
      <c r="CBR21" s="64"/>
      <c r="CBS21" s="64"/>
      <c r="CBT21" s="64"/>
      <c r="CBU21" s="64"/>
      <c r="CBV21" s="64"/>
      <c r="CBW21" s="64"/>
      <c r="CBX21" s="64"/>
      <c r="CBY21" s="64"/>
      <c r="CBZ21" s="64"/>
      <c r="CCA21" s="64"/>
      <c r="CCB21" s="64"/>
      <c r="CCC21" s="64"/>
      <c r="CCD21" s="64"/>
      <c r="CCE21" s="64"/>
      <c r="CCF21" s="64"/>
      <c r="CCG21" s="64"/>
      <c r="CCH21" s="64"/>
      <c r="CCI21" s="64"/>
      <c r="CCJ21" s="64"/>
      <c r="CCK21" s="64"/>
      <c r="CCL21" s="64"/>
      <c r="CCM21" s="64"/>
      <c r="CCN21" s="64"/>
      <c r="CCO21" s="64"/>
      <c r="CCP21" s="64"/>
      <c r="CCQ21" s="64"/>
      <c r="CCR21" s="64"/>
      <c r="CCS21" s="64"/>
      <c r="CCT21" s="64"/>
      <c r="CCU21" s="64"/>
      <c r="CCV21" s="64"/>
      <c r="CCW21" s="64"/>
      <c r="CCX21" s="64"/>
      <c r="CCY21" s="64"/>
      <c r="CCZ21" s="64"/>
      <c r="CDA21" s="64"/>
      <c r="CDB21" s="64"/>
      <c r="CDC21" s="64"/>
      <c r="CDD21" s="64"/>
      <c r="CDE21" s="64"/>
      <c r="CDF21" s="64"/>
      <c r="CDG21" s="64"/>
      <c r="CDH21" s="64"/>
      <c r="CDI21" s="64"/>
      <c r="CDJ21" s="64"/>
      <c r="CDK21" s="64"/>
      <c r="CDL21" s="64"/>
      <c r="CDM21" s="64"/>
      <c r="CDN21" s="64"/>
      <c r="CDO21" s="64"/>
      <c r="CDP21" s="64"/>
      <c r="CDQ21" s="64"/>
      <c r="CDR21" s="64"/>
      <c r="CDS21" s="64"/>
      <c r="CDT21" s="64"/>
      <c r="CDU21" s="64"/>
      <c r="CDV21" s="64"/>
      <c r="CDW21" s="64"/>
      <c r="CDX21" s="64"/>
      <c r="CDY21" s="64"/>
      <c r="CDZ21" s="64"/>
      <c r="CEA21" s="64"/>
      <c r="CEB21" s="64"/>
      <c r="CEC21" s="64"/>
      <c r="CED21" s="64"/>
      <c r="CEE21" s="64"/>
      <c r="CEF21" s="64"/>
      <c r="CEG21" s="64"/>
      <c r="CEH21" s="64"/>
      <c r="CEI21" s="64"/>
      <c r="CEJ21" s="64"/>
      <c r="CEK21" s="64"/>
      <c r="CEL21" s="64"/>
      <c r="CEM21" s="64"/>
      <c r="CEN21" s="64"/>
      <c r="CEO21" s="64"/>
      <c r="CEP21" s="64"/>
      <c r="CEQ21" s="64"/>
      <c r="CER21" s="64"/>
      <c r="CES21" s="64"/>
      <c r="CET21" s="64"/>
      <c r="CEU21" s="64"/>
      <c r="CEV21" s="64"/>
      <c r="CEW21" s="64"/>
      <c r="CEX21" s="64"/>
      <c r="CEY21" s="64"/>
      <c r="CEZ21" s="64"/>
      <c r="CFA21" s="64"/>
      <c r="CFB21" s="64"/>
      <c r="CFC21" s="64"/>
      <c r="CFD21" s="64"/>
      <c r="CFE21" s="64"/>
      <c r="CFF21" s="64"/>
      <c r="CFG21" s="64"/>
      <c r="CFH21" s="64"/>
      <c r="CFI21" s="64"/>
      <c r="CFJ21" s="64"/>
      <c r="CFK21" s="64"/>
      <c r="CFL21" s="64"/>
      <c r="CFM21" s="64"/>
      <c r="CFN21" s="64"/>
      <c r="CFO21" s="64"/>
      <c r="CFP21" s="64"/>
      <c r="CFQ21" s="64"/>
      <c r="CFR21" s="64"/>
      <c r="CFS21" s="64"/>
      <c r="CFT21" s="64"/>
      <c r="CFU21" s="64"/>
      <c r="CFV21" s="64"/>
      <c r="CFW21" s="64"/>
      <c r="CFX21" s="64"/>
      <c r="CFY21" s="64"/>
      <c r="CFZ21" s="64"/>
      <c r="CGA21" s="64"/>
      <c r="CGB21" s="64"/>
      <c r="CGC21" s="64"/>
      <c r="CGD21" s="64"/>
      <c r="CGE21" s="64"/>
      <c r="CGF21" s="64"/>
      <c r="CGG21" s="64"/>
      <c r="CGH21" s="64"/>
      <c r="CGI21" s="64"/>
      <c r="CGJ21" s="64"/>
      <c r="CGK21" s="64"/>
      <c r="CGL21" s="64"/>
      <c r="CGM21" s="64"/>
      <c r="CGN21" s="64"/>
      <c r="CGO21" s="64"/>
      <c r="CGP21" s="64"/>
      <c r="CGQ21" s="64"/>
      <c r="CGR21" s="64"/>
      <c r="CGS21" s="64"/>
      <c r="CGT21" s="64"/>
      <c r="CGU21" s="64"/>
      <c r="CGV21" s="64"/>
      <c r="CGW21" s="64"/>
      <c r="CGX21" s="64"/>
      <c r="CGY21" s="64"/>
      <c r="CGZ21" s="64"/>
      <c r="CHA21" s="64"/>
      <c r="CHB21" s="64"/>
      <c r="CHC21" s="64"/>
      <c r="CHD21" s="64"/>
      <c r="CHE21" s="64"/>
      <c r="CHF21" s="64"/>
      <c r="CHG21" s="64"/>
      <c r="CHH21" s="64"/>
      <c r="CHI21" s="64"/>
      <c r="CHJ21" s="64"/>
      <c r="CHK21" s="64"/>
      <c r="CHL21" s="64"/>
      <c r="CHM21" s="64"/>
      <c r="CHN21" s="64"/>
      <c r="CHO21" s="64"/>
      <c r="CHP21" s="64"/>
      <c r="CHQ21" s="64"/>
      <c r="CHR21" s="64"/>
      <c r="CHS21" s="64"/>
      <c r="CHT21" s="64"/>
      <c r="CHU21" s="64"/>
      <c r="CHV21" s="64"/>
      <c r="CHW21" s="64"/>
      <c r="CHX21" s="64"/>
      <c r="CHY21" s="64"/>
      <c r="CHZ21" s="64"/>
      <c r="CIA21" s="64"/>
      <c r="CIB21" s="64"/>
      <c r="CIC21" s="64"/>
      <c r="CID21" s="64"/>
      <c r="CIE21" s="64"/>
      <c r="CIF21" s="64"/>
      <c r="CIG21" s="64"/>
      <c r="CIH21" s="64"/>
      <c r="CII21" s="64"/>
      <c r="CIJ21" s="64"/>
      <c r="CIK21" s="64"/>
      <c r="CIL21" s="64"/>
      <c r="CIM21" s="64"/>
      <c r="CIN21" s="64"/>
      <c r="CIO21" s="64"/>
      <c r="CIP21" s="64"/>
      <c r="CIQ21" s="64"/>
      <c r="CIR21" s="64"/>
      <c r="CIS21" s="64"/>
      <c r="CIT21" s="64"/>
      <c r="CIU21" s="64"/>
      <c r="CIV21" s="64"/>
      <c r="CIW21" s="64"/>
      <c r="CIX21" s="64"/>
      <c r="CIY21" s="64"/>
      <c r="CIZ21" s="64"/>
      <c r="CJA21" s="64"/>
      <c r="CJB21" s="64"/>
      <c r="CJC21" s="64"/>
      <c r="CJD21" s="64"/>
      <c r="CJE21" s="64"/>
      <c r="CJF21" s="64"/>
      <c r="CJG21" s="64"/>
      <c r="CJH21" s="64"/>
      <c r="CJI21" s="64"/>
      <c r="CJJ21" s="64"/>
      <c r="CJK21" s="64"/>
      <c r="CJL21" s="64"/>
      <c r="CJM21" s="64"/>
      <c r="CJN21" s="64"/>
      <c r="CJO21" s="64"/>
      <c r="CJP21" s="64"/>
      <c r="CJQ21" s="64"/>
      <c r="CJR21" s="64"/>
      <c r="CJS21" s="64"/>
      <c r="CJT21" s="64"/>
      <c r="CJU21" s="64"/>
      <c r="CJV21" s="64"/>
      <c r="CJW21" s="64"/>
      <c r="CJX21" s="64"/>
      <c r="CJY21" s="64"/>
      <c r="CJZ21" s="64"/>
      <c r="CKA21" s="64"/>
      <c r="CKB21" s="64"/>
      <c r="CKC21" s="64"/>
      <c r="CKD21" s="64"/>
      <c r="CKE21" s="64"/>
      <c r="CKF21" s="64"/>
      <c r="CKG21" s="64"/>
      <c r="CKH21" s="64"/>
      <c r="CKI21" s="64"/>
      <c r="CKJ21" s="64"/>
      <c r="CKK21" s="64"/>
      <c r="CKL21" s="64"/>
      <c r="CKM21" s="64"/>
      <c r="CKN21" s="64"/>
      <c r="CKO21" s="64"/>
      <c r="CKP21" s="64"/>
      <c r="CKQ21" s="64"/>
      <c r="CKR21" s="64"/>
      <c r="CKS21" s="64"/>
      <c r="CKT21" s="64"/>
      <c r="CKU21" s="64"/>
      <c r="CKV21" s="64"/>
      <c r="CKW21" s="64"/>
      <c r="CKX21" s="64"/>
      <c r="CKY21" s="64"/>
      <c r="CKZ21" s="64"/>
      <c r="CLA21" s="64"/>
      <c r="CLB21" s="64"/>
      <c r="CLC21" s="64"/>
      <c r="CLD21" s="64"/>
      <c r="CLE21" s="64"/>
      <c r="CLF21" s="64"/>
      <c r="CLG21" s="64"/>
      <c r="CLH21" s="64"/>
      <c r="CLI21" s="64"/>
      <c r="CLJ21" s="64"/>
      <c r="CLK21" s="64"/>
      <c r="CLL21" s="64"/>
      <c r="CLM21" s="64"/>
      <c r="CLN21" s="64"/>
      <c r="CLO21" s="64"/>
      <c r="CLP21" s="64"/>
      <c r="CLQ21" s="64"/>
      <c r="CLR21" s="64"/>
      <c r="CLS21" s="64"/>
      <c r="CLT21" s="64"/>
      <c r="CLU21" s="64"/>
      <c r="CLV21" s="64"/>
      <c r="CLW21" s="64"/>
      <c r="CLX21" s="64"/>
      <c r="CLY21" s="64"/>
      <c r="CLZ21" s="64"/>
      <c r="CMA21" s="64"/>
      <c r="CMB21" s="64"/>
      <c r="CMC21" s="64"/>
      <c r="CMD21" s="64"/>
      <c r="CME21" s="64"/>
      <c r="CMF21" s="64"/>
      <c r="CMG21" s="64"/>
      <c r="CMH21" s="64"/>
      <c r="CMI21" s="64"/>
      <c r="CMJ21" s="64"/>
      <c r="CMK21" s="64"/>
      <c r="CML21" s="64"/>
      <c r="CMM21" s="64"/>
      <c r="CMN21" s="64"/>
      <c r="CMO21" s="64"/>
      <c r="CMP21" s="64"/>
      <c r="CMQ21" s="64"/>
      <c r="CMR21" s="64"/>
      <c r="CMS21" s="64"/>
      <c r="CMT21" s="64"/>
      <c r="CMU21" s="64"/>
      <c r="CMV21" s="64"/>
      <c r="CMW21" s="64"/>
      <c r="CMX21" s="64"/>
      <c r="CMY21" s="64"/>
      <c r="CMZ21" s="64"/>
      <c r="CNA21" s="64"/>
      <c r="CNB21" s="64"/>
      <c r="CNC21" s="64"/>
      <c r="CND21" s="64"/>
      <c r="CNE21" s="64"/>
      <c r="CNF21" s="64"/>
      <c r="CNG21" s="64"/>
      <c r="CNH21" s="64"/>
      <c r="CNI21" s="64"/>
      <c r="CNJ21" s="64"/>
      <c r="CNK21" s="64"/>
      <c r="CNL21" s="64"/>
      <c r="CNM21" s="64"/>
      <c r="CNN21" s="64"/>
      <c r="CNO21" s="64"/>
      <c r="CNP21" s="64"/>
      <c r="CNQ21" s="64"/>
      <c r="CNR21" s="64"/>
      <c r="CNS21" s="64"/>
      <c r="CNT21" s="64"/>
      <c r="CNU21" s="64"/>
      <c r="CNV21" s="64"/>
      <c r="CNW21" s="64"/>
      <c r="CNX21" s="64"/>
      <c r="CNY21" s="64"/>
      <c r="CNZ21" s="64"/>
      <c r="COA21" s="64"/>
      <c r="COB21" s="64"/>
      <c r="COC21" s="64"/>
      <c r="COD21" s="64"/>
      <c r="COE21" s="64"/>
      <c r="COF21" s="64"/>
      <c r="COG21" s="64"/>
      <c r="COH21" s="64"/>
      <c r="COI21" s="64"/>
      <c r="COJ21" s="64"/>
      <c r="COK21" s="64"/>
      <c r="COL21" s="64"/>
      <c r="COM21" s="64"/>
      <c r="CON21" s="64"/>
      <c r="COO21" s="64"/>
      <c r="COP21" s="64"/>
      <c r="COQ21" s="64"/>
      <c r="COR21" s="64"/>
      <c r="COS21" s="64"/>
      <c r="COT21" s="64"/>
      <c r="COU21" s="64"/>
      <c r="COV21" s="64"/>
      <c r="COW21" s="64"/>
      <c r="COX21" s="64"/>
      <c r="COY21" s="64"/>
      <c r="COZ21" s="64"/>
      <c r="CPA21" s="64"/>
      <c r="CPB21" s="64"/>
      <c r="CPC21" s="64"/>
      <c r="CPD21" s="64"/>
      <c r="CPE21" s="64"/>
      <c r="CPF21" s="64"/>
      <c r="CPG21" s="64"/>
      <c r="CPH21" s="64"/>
      <c r="CPI21" s="64"/>
      <c r="CPJ21" s="64"/>
      <c r="CPK21" s="64"/>
      <c r="CPL21" s="64"/>
      <c r="CPM21" s="64"/>
      <c r="CPN21" s="64"/>
      <c r="CPO21" s="64"/>
      <c r="CPP21" s="64"/>
      <c r="CPQ21" s="64"/>
      <c r="CPR21" s="64"/>
      <c r="CPS21" s="64"/>
      <c r="CPT21" s="64"/>
      <c r="CPU21" s="64"/>
      <c r="CPV21" s="64"/>
      <c r="CPW21" s="64"/>
      <c r="CPX21" s="64"/>
      <c r="CPY21" s="64"/>
      <c r="CPZ21" s="64"/>
      <c r="CQA21" s="64"/>
      <c r="CQB21" s="64"/>
      <c r="CQC21" s="64"/>
      <c r="CQD21" s="64"/>
      <c r="CQE21" s="64"/>
      <c r="CQF21" s="64"/>
      <c r="CQG21" s="64"/>
      <c r="CQH21" s="64"/>
      <c r="CQI21" s="64"/>
      <c r="CQJ21" s="64"/>
      <c r="CQK21" s="64"/>
      <c r="CQL21" s="64"/>
      <c r="CQM21" s="64"/>
      <c r="CQN21" s="64"/>
      <c r="CQO21" s="64"/>
      <c r="CQP21" s="64"/>
      <c r="CQQ21" s="64"/>
      <c r="CQR21" s="64"/>
      <c r="CQS21" s="64"/>
      <c r="CQT21" s="64"/>
      <c r="CQU21" s="64"/>
      <c r="CQV21" s="64"/>
      <c r="CQW21" s="64"/>
      <c r="CQX21" s="64"/>
      <c r="CQY21" s="64"/>
      <c r="CQZ21" s="64"/>
      <c r="CRA21" s="64"/>
      <c r="CRB21" s="64"/>
      <c r="CRC21" s="64"/>
      <c r="CRD21" s="64"/>
      <c r="CRE21" s="64"/>
      <c r="CRF21" s="64"/>
      <c r="CRG21" s="64"/>
      <c r="CRH21" s="64"/>
      <c r="CRI21" s="64"/>
      <c r="CRJ21" s="64"/>
      <c r="CRK21" s="64"/>
      <c r="CRL21" s="64"/>
      <c r="CRM21" s="64"/>
      <c r="CRN21" s="64"/>
      <c r="CRO21" s="64"/>
      <c r="CRP21" s="64"/>
      <c r="CRQ21" s="64"/>
      <c r="CRR21" s="64"/>
      <c r="CRS21" s="64"/>
      <c r="CRT21" s="64"/>
      <c r="CRU21" s="64"/>
      <c r="CRV21" s="64"/>
      <c r="CRW21" s="64"/>
      <c r="CRX21" s="64"/>
      <c r="CRY21" s="64"/>
      <c r="CRZ21" s="64"/>
      <c r="CSA21" s="64"/>
      <c r="CSB21" s="64"/>
      <c r="CSC21" s="64"/>
      <c r="CSD21" s="64"/>
      <c r="CSE21" s="64"/>
      <c r="CSF21" s="64"/>
      <c r="CSG21" s="64"/>
      <c r="CSH21" s="64"/>
      <c r="CSI21" s="64"/>
      <c r="CSJ21" s="64"/>
      <c r="CSK21" s="64"/>
      <c r="CSL21" s="64"/>
      <c r="CSM21" s="64"/>
      <c r="CSN21" s="64"/>
      <c r="CSO21" s="64"/>
      <c r="CSP21" s="64"/>
      <c r="CSQ21" s="64"/>
      <c r="CSR21" s="64"/>
      <c r="CSS21" s="64"/>
      <c r="CST21" s="64"/>
      <c r="CSU21" s="64"/>
      <c r="CSV21" s="64"/>
      <c r="CSW21" s="64"/>
      <c r="CSX21" s="64"/>
      <c r="CSY21" s="64"/>
      <c r="CSZ21" s="64"/>
      <c r="CTA21" s="64"/>
      <c r="CTB21" s="64"/>
      <c r="CTC21" s="64"/>
      <c r="CTD21" s="64"/>
      <c r="CTE21" s="64"/>
      <c r="CTF21" s="64"/>
      <c r="CTG21" s="64"/>
      <c r="CTH21" s="64"/>
      <c r="CTI21" s="64"/>
      <c r="CTJ21" s="64"/>
      <c r="CTK21" s="64"/>
      <c r="CTL21" s="64"/>
      <c r="CTM21" s="64"/>
      <c r="CTN21" s="64"/>
      <c r="CTO21" s="64"/>
      <c r="CTP21" s="64"/>
      <c r="CTQ21" s="64"/>
      <c r="CTR21" s="64"/>
      <c r="CTS21" s="64"/>
      <c r="CTT21" s="64"/>
      <c r="CTU21" s="64"/>
      <c r="CTV21" s="64"/>
      <c r="CTW21" s="64"/>
      <c r="CTX21" s="64"/>
      <c r="CTY21" s="64"/>
      <c r="CTZ21" s="64"/>
      <c r="CUA21" s="64"/>
      <c r="CUB21" s="64"/>
      <c r="CUC21" s="64"/>
      <c r="CUD21" s="64"/>
      <c r="CUE21" s="64"/>
      <c r="CUF21" s="64"/>
      <c r="CUG21" s="64"/>
      <c r="CUH21" s="64"/>
      <c r="CUI21" s="64"/>
      <c r="CUJ21" s="64"/>
      <c r="CUK21" s="64"/>
      <c r="CUL21" s="64"/>
      <c r="CUM21" s="64"/>
      <c r="CUN21" s="64"/>
      <c r="CUO21" s="64"/>
      <c r="CUP21" s="64"/>
      <c r="CUQ21" s="64"/>
      <c r="CUR21" s="64"/>
      <c r="CUS21" s="64"/>
      <c r="CUT21" s="64"/>
      <c r="CUU21" s="64"/>
      <c r="CUV21" s="64"/>
      <c r="CUW21" s="64"/>
      <c r="CUX21" s="64"/>
      <c r="CUY21" s="64"/>
      <c r="CUZ21" s="64"/>
      <c r="CVA21" s="64"/>
      <c r="CVB21" s="64"/>
      <c r="CVC21" s="64"/>
      <c r="CVD21" s="64"/>
      <c r="CVE21" s="64"/>
      <c r="CVF21" s="64"/>
      <c r="CVG21" s="64"/>
      <c r="CVH21" s="64"/>
      <c r="CVI21" s="64"/>
      <c r="CVJ21" s="64"/>
      <c r="CVK21" s="64"/>
      <c r="CVL21" s="64"/>
      <c r="CVM21" s="64"/>
      <c r="CVN21" s="64"/>
      <c r="CVO21" s="64"/>
      <c r="CVP21" s="64"/>
      <c r="CVQ21" s="64"/>
      <c r="CVR21" s="64"/>
      <c r="CVS21" s="64"/>
      <c r="CVT21" s="64"/>
      <c r="CVU21" s="64"/>
      <c r="CVV21" s="64"/>
      <c r="CVW21" s="64"/>
      <c r="CVX21" s="64"/>
      <c r="CVY21" s="64"/>
      <c r="CVZ21" s="64"/>
      <c r="CWA21" s="64"/>
      <c r="CWB21" s="64"/>
      <c r="CWC21" s="64"/>
      <c r="CWD21" s="64"/>
      <c r="CWE21" s="64"/>
      <c r="CWF21" s="64"/>
      <c r="CWG21" s="64"/>
      <c r="CWH21" s="64"/>
      <c r="CWI21" s="64"/>
      <c r="CWJ21" s="64"/>
      <c r="CWK21" s="64"/>
      <c r="CWL21" s="64"/>
      <c r="CWM21" s="64"/>
      <c r="CWN21" s="64"/>
      <c r="CWO21" s="64"/>
      <c r="CWP21" s="64"/>
      <c r="CWQ21" s="64"/>
      <c r="CWR21" s="64"/>
      <c r="CWS21" s="64"/>
      <c r="CWT21" s="64"/>
      <c r="CWU21" s="64"/>
      <c r="CWV21" s="64"/>
      <c r="CWW21" s="64"/>
      <c r="CWX21" s="64"/>
      <c r="CWY21" s="64"/>
      <c r="CWZ21" s="64"/>
      <c r="CXA21" s="64"/>
      <c r="CXB21" s="64"/>
      <c r="CXC21" s="64"/>
      <c r="CXD21" s="64"/>
      <c r="CXE21" s="64"/>
      <c r="CXF21" s="64"/>
      <c r="CXG21" s="64"/>
      <c r="CXH21" s="64"/>
      <c r="CXI21" s="64"/>
      <c r="CXJ21" s="64"/>
      <c r="CXK21" s="64"/>
      <c r="CXL21" s="64"/>
      <c r="CXM21" s="64"/>
      <c r="CXN21" s="64"/>
      <c r="CXO21" s="64"/>
      <c r="CXP21" s="64"/>
      <c r="CXQ21" s="64"/>
      <c r="CXR21" s="64"/>
      <c r="CXS21" s="64"/>
      <c r="CXT21" s="64"/>
      <c r="CXU21" s="64"/>
      <c r="CXV21" s="64"/>
      <c r="CXW21" s="64"/>
      <c r="CXX21" s="64"/>
      <c r="CXY21" s="64"/>
      <c r="CXZ21" s="64"/>
      <c r="CYA21" s="64"/>
      <c r="CYB21" s="64"/>
      <c r="CYC21" s="64"/>
      <c r="CYD21" s="64"/>
      <c r="CYE21" s="64"/>
      <c r="CYF21" s="64"/>
      <c r="CYG21" s="64"/>
      <c r="CYH21" s="64"/>
      <c r="CYI21" s="64"/>
      <c r="CYJ21" s="64"/>
      <c r="CYK21" s="64"/>
      <c r="CYL21" s="64"/>
      <c r="CYM21" s="64"/>
      <c r="CYN21" s="64"/>
      <c r="CYO21" s="64"/>
      <c r="CYP21" s="64"/>
      <c r="CYQ21" s="64"/>
      <c r="CYR21" s="64"/>
      <c r="CYS21" s="64"/>
      <c r="CYT21" s="64"/>
      <c r="CYU21" s="64"/>
      <c r="CYV21" s="64"/>
      <c r="CYW21" s="64"/>
      <c r="CYX21" s="64"/>
      <c r="CYY21" s="64"/>
      <c r="CYZ21" s="64"/>
      <c r="CZA21" s="64"/>
      <c r="CZB21" s="64"/>
      <c r="CZC21" s="64"/>
      <c r="CZD21" s="64"/>
      <c r="CZE21" s="64"/>
      <c r="CZF21" s="64"/>
      <c r="CZG21" s="64"/>
      <c r="CZH21" s="64"/>
      <c r="CZI21" s="64"/>
      <c r="CZJ21" s="64"/>
      <c r="CZK21" s="64"/>
      <c r="CZL21" s="64"/>
      <c r="CZM21" s="64"/>
      <c r="CZN21" s="64"/>
      <c r="CZO21" s="64"/>
      <c r="CZP21" s="64"/>
      <c r="CZQ21" s="64"/>
      <c r="CZR21" s="64"/>
      <c r="CZS21" s="64"/>
      <c r="CZT21" s="64"/>
      <c r="CZU21" s="64"/>
      <c r="CZV21" s="64"/>
      <c r="CZW21" s="64"/>
      <c r="CZX21" s="64"/>
      <c r="CZY21" s="64"/>
      <c r="CZZ21" s="64"/>
      <c r="DAA21" s="64"/>
      <c r="DAB21" s="64"/>
      <c r="DAC21" s="64"/>
      <c r="DAD21" s="64"/>
      <c r="DAE21" s="64"/>
      <c r="DAF21" s="64"/>
      <c r="DAG21" s="64"/>
      <c r="DAH21" s="64"/>
      <c r="DAI21" s="64"/>
      <c r="DAJ21" s="64"/>
      <c r="DAK21" s="64"/>
      <c r="DAL21" s="64"/>
      <c r="DAM21" s="64"/>
      <c r="DAN21" s="64"/>
      <c r="DAO21" s="64"/>
      <c r="DAP21" s="64"/>
      <c r="DAQ21" s="64"/>
      <c r="DAR21" s="64"/>
      <c r="DAS21" s="64"/>
      <c r="DAT21" s="64"/>
      <c r="DAU21" s="64"/>
      <c r="DAV21" s="64"/>
      <c r="DAW21" s="64"/>
      <c r="DAX21" s="64"/>
      <c r="DAY21" s="64"/>
      <c r="DAZ21" s="64"/>
      <c r="DBA21" s="64"/>
      <c r="DBB21" s="64"/>
      <c r="DBC21" s="64"/>
      <c r="DBD21" s="64"/>
      <c r="DBE21" s="64"/>
      <c r="DBF21" s="64"/>
      <c r="DBG21" s="64"/>
      <c r="DBH21" s="64"/>
      <c r="DBI21" s="64"/>
      <c r="DBJ21" s="64"/>
      <c r="DBK21" s="64"/>
      <c r="DBL21" s="64"/>
      <c r="DBM21" s="64"/>
      <c r="DBN21" s="64"/>
      <c r="DBO21" s="64"/>
      <c r="DBP21" s="64"/>
      <c r="DBQ21" s="64"/>
      <c r="DBR21" s="64"/>
      <c r="DBS21" s="64"/>
      <c r="DBT21" s="64"/>
      <c r="DBU21" s="64"/>
      <c r="DBV21" s="64"/>
      <c r="DBW21" s="64"/>
      <c r="DBX21" s="64"/>
      <c r="DBY21" s="64"/>
      <c r="DBZ21" s="64"/>
      <c r="DCA21" s="64"/>
      <c r="DCB21" s="64"/>
      <c r="DCC21" s="64"/>
      <c r="DCD21" s="64"/>
      <c r="DCE21" s="64"/>
      <c r="DCF21" s="64"/>
      <c r="DCG21" s="64"/>
      <c r="DCH21" s="64"/>
      <c r="DCI21" s="64"/>
      <c r="DCJ21" s="64"/>
      <c r="DCK21" s="64"/>
      <c r="DCL21" s="64"/>
      <c r="DCM21" s="64"/>
      <c r="DCN21" s="64"/>
      <c r="DCO21" s="64"/>
      <c r="DCP21" s="64"/>
      <c r="DCQ21" s="64"/>
      <c r="DCR21" s="64"/>
      <c r="DCS21" s="64"/>
      <c r="DCT21" s="64"/>
      <c r="DCU21" s="64"/>
      <c r="DCV21" s="64"/>
      <c r="DCW21" s="64"/>
      <c r="DCX21" s="64"/>
      <c r="DCY21" s="64"/>
      <c r="DCZ21" s="64"/>
      <c r="DDA21" s="64"/>
      <c r="DDB21" s="64"/>
      <c r="DDC21" s="64"/>
      <c r="DDD21" s="64"/>
      <c r="DDE21" s="64"/>
      <c r="DDF21" s="64"/>
      <c r="DDG21" s="64"/>
      <c r="DDH21" s="64"/>
      <c r="DDI21" s="64"/>
      <c r="DDJ21" s="64"/>
      <c r="DDK21" s="64"/>
      <c r="DDL21" s="64"/>
      <c r="DDM21" s="64"/>
      <c r="DDN21" s="64"/>
      <c r="DDO21" s="64"/>
      <c r="DDP21" s="64"/>
      <c r="DDQ21" s="64"/>
      <c r="DDR21" s="64"/>
      <c r="DDS21" s="64"/>
      <c r="DDT21" s="64"/>
      <c r="DDU21" s="64"/>
      <c r="DDV21" s="64"/>
      <c r="DDW21" s="64"/>
      <c r="DDX21" s="64"/>
      <c r="DDY21" s="64"/>
      <c r="DDZ21" s="64"/>
      <c r="DEA21" s="64"/>
      <c r="DEB21" s="64"/>
      <c r="DEC21" s="64"/>
      <c r="DED21" s="64"/>
      <c r="DEE21" s="64"/>
      <c r="DEF21" s="64"/>
      <c r="DEG21" s="64"/>
      <c r="DEH21" s="64"/>
      <c r="DEI21" s="64"/>
      <c r="DEJ21" s="64"/>
      <c r="DEK21" s="64"/>
      <c r="DEL21" s="64"/>
      <c r="DEM21" s="64"/>
      <c r="DEN21" s="64"/>
      <c r="DEO21" s="64"/>
      <c r="DEP21" s="64"/>
      <c r="DEQ21" s="64"/>
      <c r="DER21" s="64"/>
      <c r="DES21" s="64"/>
      <c r="DET21" s="64"/>
      <c r="DEU21" s="64"/>
      <c r="DEV21" s="64"/>
      <c r="DEW21" s="64"/>
      <c r="DEX21" s="64"/>
      <c r="DEY21" s="64"/>
      <c r="DEZ21" s="64"/>
      <c r="DFA21" s="64"/>
      <c r="DFB21" s="64"/>
      <c r="DFC21" s="64"/>
      <c r="DFD21" s="64"/>
      <c r="DFE21" s="64"/>
      <c r="DFF21" s="64"/>
      <c r="DFG21" s="64"/>
      <c r="DFH21" s="64"/>
      <c r="DFI21" s="64"/>
      <c r="DFJ21" s="64"/>
      <c r="DFK21" s="64"/>
      <c r="DFL21" s="64"/>
      <c r="DFM21" s="64"/>
      <c r="DFN21" s="64"/>
      <c r="DFO21" s="64"/>
      <c r="DFP21" s="64"/>
      <c r="DFQ21" s="64"/>
      <c r="DFR21" s="64"/>
      <c r="DFS21" s="64"/>
      <c r="DFT21" s="64"/>
      <c r="DFU21" s="64"/>
      <c r="DFV21" s="64"/>
      <c r="DFW21" s="64"/>
      <c r="DFX21" s="64"/>
      <c r="DFY21" s="64"/>
      <c r="DFZ21" s="64"/>
      <c r="DGA21" s="64"/>
      <c r="DGB21" s="64"/>
      <c r="DGC21" s="64"/>
      <c r="DGD21" s="64"/>
      <c r="DGE21" s="64"/>
      <c r="DGF21" s="64"/>
      <c r="DGG21" s="64"/>
      <c r="DGH21" s="64"/>
      <c r="DGI21" s="64"/>
      <c r="DGJ21" s="64"/>
      <c r="DGK21" s="64"/>
      <c r="DGL21" s="64"/>
      <c r="DGM21" s="64"/>
      <c r="DGN21" s="64"/>
      <c r="DGO21" s="64"/>
      <c r="DGP21" s="64"/>
      <c r="DGQ21" s="64"/>
      <c r="DGR21" s="64"/>
      <c r="DGS21" s="64"/>
      <c r="DGT21" s="64"/>
      <c r="DGU21" s="64"/>
      <c r="DGV21" s="64"/>
      <c r="DGW21" s="64"/>
      <c r="DGX21" s="64"/>
      <c r="DGY21" s="64"/>
      <c r="DGZ21" s="64"/>
      <c r="DHA21" s="64"/>
      <c r="DHB21" s="64"/>
      <c r="DHC21" s="64"/>
      <c r="DHD21" s="64"/>
      <c r="DHE21" s="64"/>
      <c r="DHF21" s="64"/>
      <c r="DHG21" s="64"/>
      <c r="DHH21" s="64"/>
      <c r="DHI21" s="64"/>
      <c r="DHJ21" s="64"/>
      <c r="DHK21" s="64"/>
      <c r="DHL21" s="64"/>
      <c r="DHM21" s="64"/>
      <c r="DHN21" s="64"/>
      <c r="DHO21" s="64"/>
      <c r="DHP21" s="64"/>
      <c r="DHQ21" s="64"/>
      <c r="DHR21" s="64"/>
      <c r="DHS21" s="64"/>
      <c r="DHT21" s="64"/>
      <c r="DHU21" s="64"/>
      <c r="DHV21" s="64"/>
      <c r="DHW21" s="64"/>
      <c r="DHX21" s="64"/>
      <c r="DHY21" s="64"/>
      <c r="DHZ21" s="64"/>
      <c r="DIA21" s="64"/>
      <c r="DIB21" s="64"/>
      <c r="DIC21" s="64"/>
      <c r="DID21" s="64"/>
      <c r="DIE21" s="64"/>
      <c r="DIF21" s="64"/>
      <c r="DIG21" s="64"/>
      <c r="DIH21" s="64"/>
      <c r="DII21" s="64"/>
      <c r="DIJ21" s="64"/>
      <c r="DIK21" s="64"/>
      <c r="DIL21" s="64"/>
      <c r="DIM21" s="64"/>
      <c r="DIN21" s="64"/>
      <c r="DIO21" s="64"/>
      <c r="DIP21" s="64"/>
      <c r="DIQ21" s="64"/>
      <c r="DIR21" s="64"/>
      <c r="DIS21" s="64"/>
      <c r="DIT21" s="64"/>
      <c r="DIU21" s="64"/>
      <c r="DIV21" s="64"/>
      <c r="DIW21" s="64"/>
      <c r="DIX21" s="64"/>
      <c r="DIY21" s="64"/>
      <c r="DIZ21" s="64"/>
      <c r="DJA21" s="64"/>
      <c r="DJB21" s="64"/>
      <c r="DJC21" s="64"/>
      <c r="DJD21" s="64"/>
      <c r="DJE21" s="64"/>
      <c r="DJF21" s="64"/>
      <c r="DJG21" s="64"/>
      <c r="DJH21" s="64"/>
      <c r="DJI21" s="64"/>
      <c r="DJJ21" s="64"/>
      <c r="DJK21" s="64"/>
      <c r="DJL21" s="64"/>
      <c r="DJM21" s="64"/>
      <c r="DJN21" s="64"/>
      <c r="DJO21" s="64"/>
      <c r="DJP21" s="64"/>
      <c r="DJQ21" s="64"/>
      <c r="DJR21" s="64"/>
      <c r="DJS21" s="64"/>
      <c r="DJT21" s="64"/>
      <c r="DJU21" s="64"/>
      <c r="DJV21" s="64"/>
      <c r="DJW21" s="64"/>
      <c r="DJX21" s="64"/>
      <c r="DJY21" s="64"/>
      <c r="DJZ21" s="64"/>
      <c r="DKA21" s="64"/>
      <c r="DKB21" s="64"/>
      <c r="DKC21" s="64"/>
      <c r="DKD21" s="64"/>
      <c r="DKE21" s="64"/>
      <c r="DKF21" s="64"/>
      <c r="DKG21" s="64"/>
      <c r="DKH21" s="64"/>
      <c r="DKI21" s="64"/>
      <c r="DKJ21" s="64"/>
      <c r="DKK21" s="64"/>
      <c r="DKL21" s="64"/>
      <c r="DKM21" s="64"/>
      <c r="DKN21" s="64"/>
      <c r="DKO21" s="64"/>
      <c r="DKP21" s="64"/>
      <c r="DKQ21" s="64"/>
      <c r="DKR21" s="64"/>
      <c r="DKS21" s="64"/>
      <c r="DKT21" s="64"/>
      <c r="DKU21" s="64"/>
      <c r="DKV21" s="64"/>
      <c r="DKW21" s="64"/>
      <c r="DKX21" s="64"/>
      <c r="DKY21" s="64"/>
      <c r="DKZ21" s="64"/>
      <c r="DLA21" s="64"/>
      <c r="DLB21" s="64"/>
      <c r="DLC21" s="64"/>
      <c r="DLD21" s="64"/>
      <c r="DLE21" s="64"/>
      <c r="DLF21" s="64"/>
      <c r="DLG21" s="64"/>
      <c r="DLH21" s="64"/>
      <c r="DLI21" s="64"/>
      <c r="DLJ21" s="64"/>
      <c r="DLK21" s="64"/>
      <c r="DLL21" s="64"/>
      <c r="DLM21" s="64"/>
      <c r="DLN21" s="64"/>
      <c r="DLO21" s="64"/>
      <c r="DLP21" s="64"/>
      <c r="DLQ21" s="64"/>
      <c r="DLR21" s="64"/>
      <c r="DLS21" s="64"/>
      <c r="DLT21" s="64"/>
      <c r="DLU21" s="64"/>
      <c r="DLV21" s="64"/>
      <c r="DLW21" s="64"/>
      <c r="DLX21" s="64"/>
      <c r="DLY21" s="64"/>
      <c r="DLZ21" s="64"/>
      <c r="DMA21" s="64"/>
      <c r="DMB21" s="64"/>
      <c r="DMC21" s="64"/>
      <c r="DMD21" s="64"/>
      <c r="DME21" s="64"/>
      <c r="DMF21" s="64"/>
      <c r="DMG21" s="64"/>
      <c r="DMH21" s="64"/>
      <c r="DMI21" s="64"/>
      <c r="DMJ21" s="64"/>
      <c r="DMK21" s="64"/>
      <c r="DML21" s="64"/>
      <c r="DMM21" s="64"/>
      <c r="DMN21" s="64"/>
      <c r="DMO21" s="64"/>
      <c r="DMP21" s="64"/>
      <c r="DMQ21" s="64"/>
      <c r="DMR21" s="64"/>
      <c r="DMS21" s="64"/>
      <c r="DMT21" s="64"/>
      <c r="DMU21" s="64"/>
      <c r="DMV21" s="64"/>
      <c r="DMW21" s="64"/>
      <c r="DMX21" s="64"/>
      <c r="DMY21" s="64"/>
      <c r="DMZ21" s="64"/>
      <c r="DNA21" s="64"/>
      <c r="DNB21" s="64"/>
      <c r="DNC21" s="64"/>
      <c r="DND21" s="64"/>
      <c r="DNE21" s="64"/>
      <c r="DNF21" s="64"/>
      <c r="DNG21" s="64"/>
      <c r="DNH21" s="64"/>
      <c r="DNI21" s="64"/>
      <c r="DNJ21" s="64"/>
      <c r="DNK21" s="64"/>
      <c r="DNL21" s="64"/>
      <c r="DNM21" s="64"/>
      <c r="DNN21" s="64"/>
      <c r="DNO21" s="64"/>
      <c r="DNP21" s="64"/>
      <c r="DNQ21" s="64"/>
      <c r="DNR21" s="64"/>
      <c r="DNS21" s="64"/>
      <c r="DNT21" s="64"/>
      <c r="DNU21" s="64"/>
      <c r="DNV21" s="64"/>
      <c r="DNW21" s="64"/>
      <c r="DNX21" s="64"/>
      <c r="DNY21" s="64"/>
      <c r="DNZ21" s="64"/>
      <c r="DOA21" s="64"/>
      <c r="DOB21" s="64"/>
      <c r="DOC21" s="64"/>
      <c r="DOD21" s="64"/>
      <c r="DOE21" s="64"/>
      <c r="DOF21" s="64"/>
      <c r="DOG21" s="64"/>
      <c r="DOH21" s="64"/>
      <c r="DOI21" s="64"/>
      <c r="DOJ21" s="64"/>
      <c r="DOK21" s="64"/>
      <c r="DOL21" s="64"/>
      <c r="DOM21" s="64"/>
      <c r="DON21" s="64"/>
      <c r="DOO21" s="64"/>
      <c r="DOP21" s="64"/>
      <c r="DOQ21" s="64"/>
      <c r="DOR21" s="64"/>
      <c r="DOS21" s="64"/>
      <c r="DOT21" s="64"/>
      <c r="DOU21" s="64"/>
      <c r="DOV21" s="64"/>
      <c r="DOW21" s="64"/>
      <c r="DOX21" s="64"/>
      <c r="DOY21" s="64"/>
      <c r="DOZ21" s="64"/>
      <c r="DPA21" s="64"/>
      <c r="DPB21" s="64"/>
      <c r="DPC21" s="64"/>
      <c r="DPD21" s="64"/>
      <c r="DPE21" s="64"/>
      <c r="DPF21" s="64"/>
      <c r="DPG21" s="64"/>
      <c r="DPH21" s="64"/>
      <c r="DPI21" s="64"/>
      <c r="DPJ21" s="64"/>
      <c r="DPK21" s="64"/>
      <c r="DPL21" s="64"/>
      <c r="DPM21" s="64"/>
      <c r="DPN21" s="64"/>
      <c r="DPO21" s="64"/>
      <c r="DPP21" s="64"/>
      <c r="DPQ21" s="64"/>
      <c r="DPR21" s="64"/>
      <c r="DPS21" s="64"/>
      <c r="DPT21" s="64"/>
      <c r="DPU21" s="64"/>
      <c r="DPV21" s="64"/>
      <c r="DPW21" s="64"/>
      <c r="DPX21" s="64"/>
      <c r="DPY21" s="64"/>
      <c r="DPZ21" s="64"/>
      <c r="DQA21" s="64"/>
      <c r="DQB21" s="64"/>
      <c r="DQC21" s="64"/>
      <c r="DQD21" s="64"/>
      <c r="DQE21" s="64"/>
      <c r="DQF21" s="64"/>
      <c r="DQG21" s="64"/>
      <c r="DQH21" s="64"/>
      <c r="DQI21" s="64"/>
      <c r="DQJ21" s="64"/>
      <c r="DQK21" s="64"/>
      <c r="DQL21" s="64"/>
      <c r="DQM21" s="64"/>
      <c r="DQN21" s="64"/>
      <c r="DQO21" s="64"/>
      <c r="DQP21" s="64"/>
      <c r="DQQ21" s="64"/>
      <c r="DQR21" s="64"/>
      <c r="DQS21" s="64"/>
      <c r="DQT21" s="64"/>
      <c r="DQU21" s="64"/>
      <c r="DQV21" s="64"/>
      <c r="DQW21" s="64"/>
      <c r="DQX21" s="64"/>
      <c r="DQY21" s="64"/>
      <c r="DQZ21" s="64"/>
      <c r="DRA21" s="64"/>
      <c r="DRB21" s="64"/>
      <c r="DRC21" s="64"/>
      <c r="DRD21" s="64"/>
      <c r="DRE21" s="64"/>
      <c r="DRF21" s="64"/>
      <c r="DRG21" s="64"/>
      <c r="DRH21" s="64"/>
      <c r="DRI21" s="64"/>
      <c r="DRJ21" s="64"/>
      <c r="DRK21" s="64"/>
      <c r="DRL21" s="64"/>
      <c r="DRM21" s="64"/>
      <c r="DRN21" s="64"/>
      <c r="DRO21" s="64"/>
      <c r="DRP21" s="64"/>
      <c r="DRQ21" s="64"/>
      <c r="DRR21" s="64"/>
      <c r="DRS21" s="64"/>
      <c r="DRT21" s="64"/>
      <c r="DRU21" s="64"/>
      <c r="DRV21" s="64"/>
      <c r="DRW21" s="64"/>
      <c r="DRX21" s="64"/>
      <c r="DRY21" s="64"/>
      <c r="DRZ21" s="64"/>
      <c r="DSA21" s="64"/>
      <c r="DSB21" s="64"/>
      <c r="DSC21" s="64"/>
      <c r="DSD21" s="64"/>
      <c r="DSE21" s="64"/>
      <c r="DSF21" s="64"/>
      <c r="DSG21" s="64"/>
      <c r="DSH21" s="64"/>
      <c r="DSI21" s="64"/>
      <c r="DSJ21" s="64"/>
      <c r="DSK21" s="64"/>
      <c r="DSL21" s="64"/>
      <c r="DSM21" s="64"/>
      <c r="DSN21" s="64"/>
      <c r="DSO21" s="64"/>
      <c r="DSP21" s="64"/>
      <c r="DSQ21" s="64"/>
      <c r="DSR21" s="64"/>
      <c r="DSS21" s="64"/>
      <c r="DST21" s="64"/>
      <c r="DSU21" s="64"/>
      <c r="DSV21" s="64"/>
      <c r="DSW21" s="64"/>
      <c r="DSX21" s="64"/>
      <c r="DSY21" s="64"/>
      <c r="DSZ21" s="64"/>
      <c r="DTA21" s="64"/>
      <c r="DTB21" s="64"/>
      <c r="DTC21" s="64"/>
      <c r="DTD21" s="64"/>
      <c r="DTE21" s="64"/>
      <c r="DTF21" s="64"/>
      <c r="DTG21" s="64"/>
      <c r="DTH21" s="64"/>
      <c r="DTI21" s="64"/>
      <c r="DTJ21" s="64"/>
      <c r="DTK21" s="64"/>
      <c r="DTL21" s="64"/>
      <c r="DTM21" s="64"/>
      <c r="DTN21" s="64"/>
      <c r="DTO21" s="64"/>
      <c r="DTP21" s="64"/>
      <c r="DTQ21" s="64"/>
      <c r="DTR21" s="64"/>
      <c r="DTS21" s="64"/>
      <c r="DTT21" s="64"/>
      <c r="DTU21" s="64"/>
      <c r="DTV21" s="64"/>
      <c r="DTW21" s="64"/>
      <c r="DTX21" s="64"/>
      <c r="DTY21" s="64"/>
      <c r="DTZ21" s="64"/>
      <c r="DUA21" s="64"/>
      <c r="DUB21" s="64"/>
      <c r="DUC21" s="64"/>
      <c r="DUD21" s="64"/>
      <c r="DUE21" s="64"/>
      <c r="DUF21" s="64"/>
      <c r="DUG21" s="64"/>
      <c r="DUH21" s="64"/>
      <c r="DUI21" s="64"/>
      <c r="DUJ21" s="64"/>
      <c r="DUK21" s="64"/>
      <c r="DUL21" s="64"/>
      <c r="DUM21" s="64"/>
      <c r="DUN21" s="64"/>
      <c r="DUO21" s="64"/>
      <c r="DUP21" s="64"/>
      <c r="DUQ21" s="64"/>
      <c r="DUR21" s="64"/>
      <c r="DUS21" s="64"/>
      <c r="DUT21" s="64"/>
      <c r="DUU21" s="64"/>
      <c r="DUV21" s="64"/>
      <c r="DUW21" s="64"/>
      <c r="DUX21" s="64"/>
      <c r="DUY21" s="64"/>
      <c r="DUZ21" s="64"/>
      <c r="DVA21" s="64"/>
      <c r="DVB21" s="64"/>
      <c r="DVC21" s="64"/>
      <c r="DVD21" s="64"/>
      <c r="DVE21" s="64"/>
      <c r="DVF21" s="64"/>
      <c r="DVG21" s="64"/>
      <c r="DVH21" s="64"/>
      <c r="DVI21" s="64"/>
      <c r="DVJ21" s="64"/>
      <c r="DVK21" s="64"/>
      <c r="DVL21" s="64"/>
      <c r="DVM21" s="64"/>
      <c r="DVN21" s="64"/>
      <c r="DVO21" s="64"/>
      <c r="DVP21" s="64"/>
      <c r="DVQ21" s="64"/>
      <c r="DVR21" s="64"/>
      <c r="DVS21" s="64"/>
      <c r="DVT21" s="64"/>
      <c r="DVU21" s="64"/>
      <c r="DVV21" s="64"/>
      <c r="DVW21" s="64"/>
      <c r="DVX21" s="64"/>
      <c r="DVY21" s="64"/>
      <c r="DVZ21" s="64"/>
      <c r="DWA21" s="64"/>
      <c r="DWB21" s="64"/>
      <c r="DWC21" s="64"/>
      <c r="DWD21" s="64"/>
      <c r="DWE21" s="64"/>
      <c r="DWF21" s="64"/>
      <c r="DWG21" s="64"/>
      <c r="DWH21" s="64"/>
      <c r="DWI21" s="64"/>
      <c r="DWJ21" s="64"/>
      <c r="DWK21" s="64"/>
      <c r="DWL21" s="64"/>
      <c r="DWM21" s="64"/>
      <c r="DWN21" s="64"/>
      <c r="DWO21" s="64"/>
      <c r="DWP21" s="64"/>
      <c r="DWQ21" s="64"/>
      <c r="DWR21" s="64"/>
      <c r="DWS21" s="64"/>
      <c r="DWT21" s="64"/>
      <c r="DWU21" s="64"/>
      <c r="DWV21" s="64"/>
      <c r="DWW21" s="64"/>
      <c r="DWX21" s="64"/>
      <c r="DWY21" s="64"/>
      <c r="DWZ21" s="64"/>
      <c r="DXA21" s="64"/>
      <c r="DXB21" s="64"/>
      <c r="DXC21" s="64"/>
      <c r="DXD21" s="64"/>
      <c r="DXE21" s="64"/>
      <c r="DXF21" s="64"/>
      <c r="DXG21" s="64"/>
      <c r="DXH21" s="64"/>
      <c r="DXI21" s="64"/>
      <c r="DXJ21" s="64"/>
      <c r="DXK21" s="64"/>
      <c r="DXL21" s="64"/>
      <c r="DXM21" s="64"/>
      <c r="DXN21" s="64"/>
      <c r="DXO21" s="64"/>
      <c r="DXP21" s="64"/>
      <c r="DXQ21" s="64"/>
      <c r="DXR21" s="64"/>
      <c r="DXS21" s="64"/>
      <c r="DXT21" s="64"/>
      <c r="DXU21" s="64"/>
      <c r="DXV21" s="64"/>
      <c r="DXW21" s="64"/>
      <c r="DXX21" s="64"/>
      <c r="DXY21" s="64"/>
      <c r="DXZ21" s="64"/>
      <c r="DYA21" s="64"/>
      <c r="DYB21" s="64"/>
      <c r="DYC21" s="64"/>
      <c r="DYD21" s="64"/>
      <c r="DYE21" s="64"/>
      <c r="DYF21" s="64"/>
      <c r="DYG21" s="64"/>
      <c r="DYH21" s="64"/>
      <c r="DYI21" s="64"/>
      <c r="DYJ21" s="64"/>
      <c r="DYK21" s="64"/>
      <c r="DYL21" s="64"/>
      <c r="DYM21" s="64"/>
      <c r="DYN21" s="64"/>
      <c r="DYO21" s="64"/>
      <c r="DYP21" s="64"/>
      <c r="DYQ21" s="64"/>
      <c r="DYR21" s="64"/>
      <c r="DYS21" s="64"/>
      <c r="DYT21" s="64"/>
      <c r="DYU21" s="64"/>
      <c r="DYV21" s="64"/>
      <c r="DYW21" s="64"/>
      <c r="DYX21" s="64"/>
      <c r="DYY21" s="64"/>
      <c r="DYZ21" s="64"/>
      <c r="DZA21" s="64"/>
      <c r="DZB21" s="64"/>
      <c r="DZC21" s="64"/>
      <c r="DZD21" s="64"/>
      <c r="DZE21" s="64"/>
      <c r="DZF21" s="64"/>
      <c r="DZG21" s="64"/>
      <c r="DZH21" s="64"/>
      <c r="DZI21" s="64"/>
      <c r="DZJ21" s="64"/>
      <c r="DZK21" s="64"/>
      <c r="DZL21" s="64"/>
      <c r="DZM21" s="64"/>
      <c r="DZN21" s="64"/>
      <c r="DZO21" s="64"/>
      <c r="DZP21" s="64"/>
      <c r="DZQ21" s="64"/>
      <c r="DZR21" s="64"/>
      <c r="DZS21" s="64"/>
      <c r="DZT21" s="64"/>
      <c r="DZU21" s="64"/>
      <c r="DZV21" s="64"/>
      <c r="DZW21" s="64"/>
      <c r="DZX21" s="64"/>
      <c r="DZY21" s="64"/>
      <c r="DZZ21" s="64"/>
      <c r="EAA21" s="64"/>
      <c r="EAB21" s="64"/>
      <c r="EAC21" s="64"/>
      <c r="EAD21" s="64"/>
      <c r="EAE21" s="64"/>
      <c r="EAF21" s="64"/>
      <c r="EAG21" s="64"/>
      <c r="EAH21" s="64"/>
      <c r="EAI21" s="64"/>
      <c r="EAJ21" s="64"/>
      <c r="EAK21" s="64"/>
      <c r="EAL21" s="64"/>
      <c r="EAM21" s="64"/>
      <c r="EAN21" s="64"/>
      <c r="EAO21" s="64"/>
      <c r="EAP21" s="64"/>
      <c r="EAQ21" s="64"/>
      <c r="EAR21" s="64"/>
      <c r="EAS21" s="64"/>
      <c r="EAT21" s="64"/>
      <c r="EAU21" s="64"/>
      <c r="EAV21" s="64"/>
      <c r="EAW21" s="64"/>
      <c r="EAX21" s="64"/>
      <c r="EAY21" s="64"/>
      <c r="EAZ21" s="64"/>
      <c r="EBA21" s="64"/>
      <c r="EBB21" s="64"/>
      <c r="EBC21" s="64"/>
      <c r="EBD21" s="64"/>
      <c r="EBE21" s="64"/>
      <c r="EBF21" s="64"/>
      <c r="EBG21" s="64"/>
      <c r="EBH21" s="64"/>
      <c r="EBI21" s="64"/>
      <c r="EBJ21" s="64"/>
      <c r="EBK21" s="64"/>
      <c r="EBL21" s="64"/>
      <c r="EBM21" s="64"/>
      <c r="EBN21" s="64"/>
      <c r="EBO21" s="64"/>
      <c r="EBP21" s="64"/>
      <c r="EBQ21" s="64"/>
      <c r="EBR21" s="64"/>
      <c r="EBS21" s="64"/>
      <c r="EBT21" s="64"/>
      <c r="EBU21" s="64"/>
      <c r="EBV21" s="64"/>
      <c r="EBW21" s="64"/>
      <c r="EBX21" s="64"/>
      <c r="EBY21" s="64"/>
      <c r="EBZ21" s="64"/>
      <c r="ECA21" s="64"/>
      <c r="ECB21" s="64"/>
      <c r="ECC21" s="64"/>
      <c r="ECD21" s="64"/>
      <c r="ECE21" s="64"/>
      <c r="ECF21" s="64"/>
      <c r="ECG21" s="64"/>
      <c r="ECH21" s="64"/>
      <c r="ECI21" s="64"/>
      <c r="ECJ21" s="64"/>
      <c r="ECK21" s="64"/>
      <c r="ECL21" s="64"/>
      <c r="ECM21" s="64"/>
      <c r="ECN21" s="64"/>
      <c r="ECO21" s="64"/>
      <c r="ECP21" s="64"/>
      <c r="ECQ21" s="64"/>
      <c r="ECR21" s="64"/>
      <c r="ECS21" s="64"/>
      <c r="ECT21" s="64"/>
      <c r="ECU21" s="64"/>
      <c r="ECV21" s="64"/>
      <c r="ECW21" s="64"/>
      <c r="ECX21" s="64"/>
      <c r="ECY21" s="64"/>
      <c r="ECZ21" s="64"/>
      <c r="EDA21" s="64"/>
      <c r="EDB21" s="64"/>
      <c r="EDC21" s="64"/>
      <c r="EDD21" s="64"/>
      <c r="EDE21" s="64"/>
      <c r="EDF21" s="64"/>
      <c r="EDG21" s="64"/>
      <c r="EDH21" s="64"/>
      <c r="EDI21" s="64"/>
      <c r="EDJ21" s="64"/>
      <c r="EDK21" s="64"/>
      <c r="EDL21" s="64"/>
      <c r="EDM21" s="64"/>
      <c r="EDN21" s="64"/>
      <c r="EDO21" s="64"/>
      <c r="EDP21" s="64"/>
      <c r="EDQ21" s="64"/>
      <c r="EDR21" s="64"/>
      <c r="EDS21" s="64"/>
      <c r="EDT21" s="64"/>
      <c r="EDU21" s="64"/>
      <c r="EDV21" s="64"/>
      <c r="EDW21" s="64"/>
      <c r="EDX21" s="64"/>
      <c r="EDY21" s="64"/>
      <c r="EDZ21" s="64"/>
      <c r="EEA21" s="64"/>
      <c r="EEB21" s="64"/>
      <c r="EEC21" s="64"/>
      <c r="EED21" s="64"/>
      <c r="EEE21" s="64"/>
      <c r="EEF21" s="64"/>
      <c r="EEG21" s="64"/>
      <c r="EEH21" s="64"/>
      <c r="EEI21" s="64"/>
      <c r="EEJ21" s="64"/>
      <c r="EEK21" s="64"/>
      <c r="EEL21" s="64"/>
      <c r="EEM21" s="64"/>
      <c r="EEN21" s="64"/>
      <c r="EEO21" s="64"/>
      <c r="EEP21" s="64"/>
      <c r="EEQ21" s="64"/>
      <c r="EER21" s="64"/>
      <c r="EES21" s="64"/>
      <c r="EET21" s="64"/>
      <c r="EEU21" s="64"/>
      <c r="EEV21" s="64"/>
      <c r="EEW21" s="64"/>
      <c r="EEX21" s="64"/>
      <c r="EEY21" s="64"/>
      <c r="EEZ21" s="64"/>
      <c r="EFA21" s="64"/>
      <c r="EFB21" s="64"/>
      <c r="EFC21" s="64"/>
      <c r="EFD21" s="64"/>
      <c r="EFE21" s="64"/>
      <c r="EFF21" s="64"/>
      <c r="EFG21" s="64"/>
      <c r="EFH21" s="64"/>
      <c r="EFI21" s="64"/>
      <c r="EFJ21" s="64"/>
      <c r="EFK21" s="64"/>
      <c r="EFL21" s="64"/>
      <c r="EFM21" s="64"/>
      <c r="EFN21" s="64"/>
      <c r="EFO21" s="64"/>
      <c r="EFP21" s="64"/>
      <c r="EFQ21" s="64"/>
      <c r="EFR21" s="64"/>
      <c r="EFS21" s="64"/>
      <c r="EFT21" s="64"/>
      <c r="EFU21" s="64"/>
      <c r="EFV21" s="64"/>
      <c r="EFW21" s="64"/>
      <c r="EFX21" s="64"/>
      <c r="EFY21" s="64"/>
      <c r="EFZ21" s="64"/>
      <c r="EGA21" s="64"/>
      <c r="EGB21" s="64"/>
      <c r="EGC21" s="64"/>
      <c r="EGD21" s="64"/>
      <c r="EGE21" s="64"/>
      <c r="EGF21" s="64"/>
      <c r="EGG21" s="64"/>
      <c r="EGH21" s="64"/>
      <c r="EGI21" s="64"/>
      <c r="EGJ21" s="64"/>
      <c r="EGK21" s="64"/>
      <c r="EGL21" s="64"/>
      <c r="EGM21" s="64"/>
      <c r="EGN21" s="64"/>
      <c r="EGO21" s="64"/>
      <c r="EGP21" s="64"/>
      <c r="EGQ21" s="64"/>
      <c r="EGR21" s="64"/>
      <c r="EGS21" s="64"/>
      <c r="EGT21" s="64"/>
      <c r="EGU21" s="64"/>
      <c r="EGV21" s="64"/>
      <c r="EGW21" s="64"/>
      <c r="EGX21" s="64"/>
      <c r="EGY21" s="64"/>
      <c r="EGZ21" s="64"/>
      <c r="EHA21" s="64"/>
      <c r="EHB21" s="64"/>
      <c r="EHC21" s="64"/>
      <c r="EHD21" s="64"/>
      <c r="EHE21" s="64"/>
      <c r="EHF21" s="64"/>
      <c r="EHG21" s="64"/>
      <c r="EHH21" s="64"/>
      <c r="EHI21" s="64"/>
      <c r="EHJ21" s="64"/>
      <c r="EHK21" s="64"/>
      <c r="EHL21" s="64"/>
      <c r="EHM21" s="64"/>
      <c r="EHN21" s="64"/>
      <c r="EHO21" s="64"/>
      <c r="EHP21" s="64"/>
      <c r="EHQ21" s="64"/>
      <c r="EHR21" s="64"/>
      <c r="EHS21" s="64"/>
      <c r="EHT21" s="64"/>
      <c r="EHU21" s="64"/>
      <c r="EHV21" s="64"/>
      <c r="EHW21" s="64"/>
      <c r="EHX21" s="64"/>
      <c r="EHY21" s="64"/>
      <c r="EHZ21" s="64"/>
      <c r="EIA21" s="64"/>
      <c r="EIB21" s="64"/>
      <c r="EIC21" s="64"/>
      <c r="EID21" s="64"/>
      <c r="EIE21" s="64"/>
      <c r="EIF21" s="64"/>
      <c r="EIG21" s="64"/>
      <c r="EIH21" s="64"/>
      <c r="EII21" s="64"/>
      <c r="EIJ21" s="64"/>
      <c r="EIK21" s="64"/>
      <c r="EIL21" s="64"/>
      <c r="EIM21" s="64"/>
      <c r="EIN21" s="64"/>
      <c r="EIO21" s="64"/>
      <c r="EIP21" s="64"/>
      <c r="EIQ21" s="64"/>
      <c r="EIR21" s="64"/>
      <c r="EIS21" s="64"/>
      <c r="EIT21" s="64"/>
      <c r="EIU21" s="64"/>
      <c r="EIV21" s="64"/>
      <c r="EIW21" s="64"/>
      <c r="EIX21" s="64"/>
      <c r="EIY21" s="64"/>
      <c r="EIZ21" s="64"/>
      <c r="EJA21" s="64"/>
      <c r="EJB21" s="64"/>
      <c r="EJC21" s="64"/>
      <c r="EJD21" s="64"/>
      <c r="EJE21" s="64"/>
      <c r="EJF21" s="64"/>
      <c r="EJG21" s="64"/>
      <c r="EJH21" s="64"/>
      <c r="EJI21" s="64"/>
      <c r="EJJ21" s="64"/>
      <c r="EJK21" s="64"/>
      <c r="EJL21" s="64"/>
      <c r="EJM21" s="64"/>
      <c r="EJN21" s="64"/>
      <c r="EJO21" s="64"/>
      <c r="EJP21" s="64"/>
      <c r="EJQ21" s="64"/>
      <c r="EJR21" s="64"/>
      <c r="EJS21" s="64"/>
      <c r="EJT21" s="64"/>
      <c r="EJU21" s="64"/>
      <c r="EJV21" s="64"/>
      <c r="EJW21" s="64"/>
      <c r="EJX21" s="64"/>
      <c r="EJY21" s="64"/>
      <c r="EJZ21" s="64"/>
      <c r="EKA21" s="64"/>
      <c r="EKB21" s="64"/>
      <c r="EKC21" s="64"/>
      <c r="EKD21" s="64"/>
      <c r="EKE21" s="64"/>
      <c r="EKF21" s="64"/>
      <c r="EKG21" s="64"/>
      <c r="EKH21" s="64"/>
      <c r="EKI21" s="64"/>
      <c r="EKJ21" s="64"/>
      <c r="EKK21" s="64"/>
      <c r="EKL21" s="64"/>
      <c r="EKM21" s="64"/>
      <c r="EKN21" s="64"/>
      <c r="EKO21" s="64"/>
      <c r="EKP21" s="64"/>
      <c r="EKQ21" s="64"/>
      <c r="EKR21" s="64"/>
      <c r="EKS21" s="64"/>
      <c r="EKT21" s="64"/>
      <c r="EKU21" s="64"/>
      <c r="EKV21" s="64"/>
      <c r="EKW21" s="64"/>
      <c r="EKX21" s="64"/>
      <c r="EKY21" s="64"/>
      <c r="EKZ21" s="64"/>
      <c r="ELA21" s="64"/>
      <c r="ELB21" s="64"/>
      <c r="ELC21" s="64"/>
      <c r="ELD21" s="64"/>
      <c r="ELE21" s="64"/>
      <c r="ELF21" s="64"/>
      <c r="ELG21" s="64"/>
      <c r="ELH21" s="64"/>
      <c r="ELI21" s="64"/>
      <c r="ELJ21" s="64"/>
      <c r="ELK21" s="64"/>
      <c r="ELL21" s="64"/>
      <c r="ELM21" s="64"/>
      <c r="ELN21" s="64"/>
      <c r="ELO21" s="64"/>
      <c r="ELP21" s="64"/>
      <c r="ELQ21" s="64"/>
      <c r="ELR21" s="64"/>
      <c r="ELS21" s="64"/>
      <c r="ELT21" s="64"/>
      <c r="ELU21" s="64"/>
      <c r="ELV21" s="64"/>
      <c r="ELW21" s="64"/>
      <c r="ELX21" s="64"/>
      <c r="ELY21" s="64"/>
      <c r="ELZ21" s="64"/>
      <c r="EMA21" s="64"/>
      <c r="EMB21" s="64"/>
      <c r="EMC21" s="64"/>
      <c r="EMD21" s="64"/>
      <c r="EME21" s="64"/>
      <c r="EMF21" s="64"/>
      <c r="EMG21" s="64"/>
      <c r="EMH21" s="64"/>
      <c r="EMI21" s="64"/>
      <c r="EMJ21" s="64"/>
      <c r="EMK21" s="64"/>
      <c r="EML21" s="64"/>
      <c r="EMM21" s="64"/>
      <c r="EMN21" s="64"/>
      <c r="EMO21" s="64"/>
      <c r="EMP21" s="64"/>
      <c r="EMQ21" s="64"/>
      <c r="EMR21" s="64"/>
      <c r="EMS21" s="64"/>
      <c r="EMT21" s="64"/>
      <c r="EMU21" s="64"/>
      <c r="EMV21" s="64"/>
      <c r="EMW21" s="64"/>
      <c r="EMX21" s="64"/>
      <c r="EMY21" s="64"/>
      <c r="EMZ21" s="64"/>
      <c r="ENA21" s="64"/>
      <c r="ENB21" s="64"/>
      <c r="ENC21" s="64"/>
      <c r="END21" s="64"/>
      <c r="ENE21" s="64"/>
      <c r="ENF21" s="64"/>
      <c r="ENG21" s="64"/>
      <c r="ENH21" s="64"/>
      <c r="ENI21" s="64"/>
      <c r="ENJ21" s="64"/>
      <c r="ENK21" s="64"/>
      <c r="ENL21" s="64"/>
      <c r="ENM21" s="64"/>
      <c r="ENN21" s="64"/>
      <c r="ENO21" s="64"/>
      <c r="ENP21" s="64"/>
      <c r="ENQ21" s="64"/>
      <c r="ENR21" s="64"/>
      <c r="ENS21" s="64"/>
      <c r="ENT21" s="64"/>
      <c r="ENU21" s="64"/>
      <c r="ENV21" s="64"/>
      <c r="ENW21" s="64"/>
      <c r="ENX21" s="64"/>
      <c r="ENY21" s="64"/>
      <c r="ENZ21" s="64"/>
      <c r="EOA21" s="64"/>
      <c r="EOB21" s="64"/>
      <c r="EOC21" s="64"/>
      <c r="EOD21" s="64"/>
      <c r="EOE21" s="64"/>
      <c r="EOF21" s="64"/>
      <c r="EOG21" s="64"/>
      <c r="EOH21" s="64"/>
      <c r="EOI21" s="64"/>
      <c r="EOJ21" s="64"/>
      <c r="EOK21" s="64"/>
      <c r="EOL21" s="64"/>
      <c r="EOM21" s="64"/>
      <c r="EON21" s="64"/>
      <c r="EOO21" s="64"/>
      <c r="EOP21" s="64"/>
      <c r="EOQ21" s="64"/>
      <c r="EOR21" s="64"/>
      <c r="EOS21" s="64"/>
      <c r="EOT21" s="64"/>
      <c r="EOU21" s="64"/>
      <c r="EOV21" s="64"/>
      <c r="EOW21" s="64"/>
      <c r="EOX21" s="64"/>
      <c r="EOY21" s="64"/>
      <c r="EOZ21" s="64"/>
      <c r="EPA21" s="64"/>
      <c r="EPB21" s="64"/>
      <c r="EPC21" s="64"/>
      <c r="EPD21" s="64"/>
      <c r="EPE21" s="64"/>
      <c r="EPF21" s="64"/>
      <c r="EPG21" s="64"/>
      <c r="EPH21" s="64"/>
      <c r="EPI21" s="64"/>
      <c r="EPJ21" s="64"/>
      <c r="EPK21" s="64"/>
      <c r="EPL21" s="64"/>
      <c r="EPM21" s="64"/>
      <c r="EPN21" s="64"/>
      <c r="EPO21" s="64"/>
      <c r="EPP21" s="64"/>
      <c r="EPQ21" s="64"/>
      <c r="EPR21" s="64"/>
      <c r="EPS21" s="64"/>
      <c r="EPT21" s="64"/>
      <c r="EPU21" s="64"/>
      <c r="EPV21" s="64"/>
      <c r="EPW21" s="64"/>
      <c r="EPX21" s="64"/>
      <c r="EPY21" s="64"/>
      <c r="EPZ21" s="64"/>
      <c r="EQA21" s="64"/>
      <c r="EQB21" s="64"/>
      <c r="EQC21" s="64"/>
      <c r="EQD21" s="64"/>
      <c r="EQE21" s="64"/>
      <c r="EQF21" s="64"/>
      <c r="EQG21" s="64"/>
      <c r="EQH21" s="64"/>
      <c r="EQI21" s="64"/>
      <c r="EQJ21" s="64"/>
      <c r="EQK21" s="64"/>
      <c r="EQL21" s="64"/>
      <c r="EQM21" s="64"/>
      <c r="EQN21" s="64"/>
      <c r="EQO21" s="64"/>
      <c r="EQP21" s="64"/>
      <c r="EQQ21" s="64"/>
      <c r="EQR21" s="64"/>
      <c r="EQS21" s="64"/>
      <c r="EQT21" s="64"/>
      <c r="EQU21" s="64"/>
      <c r="EQV21" s="64"/>
      <c r="EQW21" s="64"/>
      <c r="EQX21" s="64"/>
      <c r="EQY21" s="64"/>
      <c r="EQZ21" s="64"/>
      <c r="ERA21" s="64"/>
      <c r="ERB21" s="64"/>
      <c r="ERC21" s="64"/>
      <c r="ERD21" s="64"/>
      <c r="ERE21" s="64"/>
      <c r="ERF21" s="64"/>
      <c r="ERG21" s="64"/>
      <c r="ERH21" s="64"/>
      <c r="ERI21" s="64"/>
      <c r="ERJ21" s="64"/>
      <c r="ERK21" s="64"/>
      <c r="ERL21" s="64"/>
      <c r="ERM21" s="64"/>
      <c r="ERN21" s="64"/>
      <c r="ERO21" s="64"/>
      <c r="ERP21" s="64"/>
      <c r="ERQ21" s="64"/>
      <c r="ERR21" s="64"/>
      <c r="ERS21" s="64"/>
      <c r="ERT21" s="64"/>
      <c r="ERU21" s="64"/>
      <c r="ERV21" s="64"/>
      <c r="ERW21" s="64"/>
      <c r="ERX21" s="64"/>
      <c r="ERY21" s="64"/>
      <c r="ERZ21" s="64"/>
      <c r="ESA21" s="64"/>
      <c r="ESB21" s="64"/>
      <c r="ESC21" s="64"/>
      <c r="ESD21" s="64"/>
      <c r="ESE21" s="64"/>
      <c r="ESF21" s="64"/>
      <c r="ESG21" s="64"/>
      <c r="ESH21" s="64"/>
      <c r="ESI21" s="64"/>
      <c r="ESJ21" s="64"/>
      <c r="ESK21" s="64"/>
      <c r="ESL21" s="64"/>
      <c r="ESM21" s="64"/>
      <c r="ESN21" s="64"/>
      <c r="ESO21" s="64"/>
      <c r="ESP21" s="64"/>
      <c r="ESQ21" s="64"/>
      <c r="ESR21" s="64"/>
      <c r="ESS21" s="64"/>
      <c r="EST21" s="64"/>
      <c r="ESU21" s="64"/>
      <c r="ESV21" s="64"/>
      <c r="ESW21" s="64"/>
      <c r="ESX21" s="64"/>
      <c r="ESY21" s="64"/>
      <c r="ESZ21" s="64"/>
      <c r="ETA21" s="64"/>
      <c r="ETB21" s="64"/>
      <c r="ETC21" s="64"/>
      <c r="ETD21" s="64"/>
      <c r="ETE21" s="64"/>
      <c r="ETF21" s="64"/>
      <c r="ETG21" s="64"/>
      <c r="ETH21" s="64"/>
      <c r="ETI21" s="64"/>
      <c r="ETJ21" s="64"/>
      <c r="ETK21" s="64"/>
      <c r="ETL21" s="64"/>
      <c r="ETM21" s="64"/>
      <c r="ETN21" s="64"/>
      <c r="ETO21" s="64"/>
      <c r="ETP21" s="64"/>
      <c r="ETQ21" s="64"/>
      <c r="ETR21" s="64"/>
      <c r="ETS21" s="64"/>
      <c r="ETT21" s="64"/>
      <c r="ETU21" s="64"/>
      <c r="ETV21" s="64"/>
      <c r="ETW21" s="64"/>
      <c r="ETX21" s="64"/>
      <c r="ETY21" s="64"/>
      <c r="ETZ21" s="64"/>
      <c r="EUA21" s="64"/>
      <c r="EUB21" s="64"/>
      <c r="EUC21" s="64"/>
      <c r="EUD21" s="64"/>
      <c r="EUE21" s="64"/>
      <c r="EUF21" s="64"/>
      <c r="EUG21" s="64"/>
      <c r="EUH21" s="64"/>
      <c r="EUI21" s="64"/>
      <c r="EUJ21" s="64"/>
      <c r="EUK21" s="64"/>
      <c r="EUL21" s="64"/>
      <c r="EUM21" s="64"/>
      <c r="EUN21" s="64"/>
      <c r="EUO21" s="64"/>
      <c r="EUP21" s="64"/>
      <c r="EUQ21" s="64"/>
      <c r="EUR21" s="64"/>
      <c r="EUS21" s="64"/>
      <c r="EUT21" s="64"/>
      <c r="EUU21" s="64"/>
      <c r="EUV21" s="64"/>
      <c r="EUW21" s="64"/>
      <c r="EUX21" s="64"/>
      <c r="EUY21" s="64"/>
      <c r="EUZ21" s="64"/>
      <c r="EVA21" s="64"/>
      <c r="EVB21" s="64"/>
      <c r="EVC21" s="64"/>
      <c r="EVD21" s="64"/>
      <c r="EVE21" s="64"/>
      <c r="EVF21" s="64"/>
      <c r="EVG21" s="64"/>
      <c r="EVH21" s="64"/>
      <c r="EVI21" s="64"/>
      <c r="EVJ21" s="64"/>
      <c r="EVK21" s="64"/>
      <c r="EVL21" s="64"/>
      <c r="EVM21" s="64"/>
      <c r="EVN21" s="64"/>
      <c r="EVO21" s="64"/>
      <c r="EVP21" s="64"/>
      <c r="EVQ21" s="64"/>
      <c r="EVR21" s="64"/>
      <c r="EVS21" s="64"/>
      <c r="EVT21" s="64"/>
      <c r="EVU21" s="64"/>
      <c r="EVV21" s="64"/>
      <c r="EVW21" s="64"/>
      <c r="EVX21" s="64"/>
      <c r="EVY21" s="64"/>
      <c r="EVZ21" s="64"/>
      <c r="EWA21" s="64"/>
      <c r="EWB21" s="64"/>
      <c r="EWC21" s="64"/>
      <c r="EWD21" s="64"/>
      <c r="EWE21" s="64"/>
      <c r="EWF21" s="64"/>
      <c r="EWG21" s="64"/>
      <c r="EWH21" s="64"/>
      <c r="EWI21" s="64"/>
      <c r="EWJ21" s="64"/>
      <c r="EWK21" s="64"/>
      <c r="EWL21" s="64"/>
      <c r="EWM21" s="64"/>
      <c r="EWN21" s="64"/>
      <c r="EWO21" s="64"/>
      <c r="EWP21" s="64"/>
      <c r="EWQ21" s="64"/>
      <c r="EWR21" s="64"/>
      <c r="EWS21" s="64"/>
      <c r="EWT21" s="64"/>
      <c r="EWU21" s="64"/>
      <c r="EWV21" s="64"/>
      <c r="EWW21" s="64"/>
      <c r="EWX21" s="64"/>
      <c r="EWY21" s="64"/>
      <c r="EWZ21" s="64"/>
      <c r="EXA21" s="64"/>
      <c r="EXB21" s="64"/>
      <c r="EXC21" s="64"/>
      <c r="EXD21" s="64"/>
      <c r="EXE21" s="64"/>
      <c r="EXF21" s="64"/>
      <c r="EXG21" s="64"/>
      <c r="EXH21" s="64"/>
      <c r="EXI21" s="64"/>
      <c r="EXJ21" s="64"/>
      <c r="EXK21" s="64"/>
      <c r="EXL21" s="64"/>
      <c r="EXM21" s="64"/>
      <c r="EXN21" s="64"/>
      <c r="EXO21" s="64"/>
      <c r="EXP21" s="64"/>
      <c r="EXQ21" s="64"/>
      <c r="EXR21" s="64"/>
      <c r="EXS21" s="64"/>
      <c r="EXT21" s="64"/>
      <c r="EXU21" s="64"/>
      <c r="EXV21" s="64"/>
      <c r="EXW21" s="64"/>
      <c r="EXX21" s="64"/>
      <c r="EXY21" s="64"/>
      <c r="EXZ21" s="64"/>
      <c r="EYA21" s="64"/>
      <c r="EYB21" s="64"/>
      <c r="EYC21" s="64"/>
      <c r="EYD21" s="64"/>
      <c r="EYE21" s="64"/>
      <c r="EYF21" s="64"/>
      <c r="EYG21" s="64"/>
      <c r="EYH21" s="64"/>
      <c r="EYI21" s="64"/>
      <c r="EYJ21" s="64"/>
      <c r="EYK21" s="64"/>
      <c r="EYL21" s="64"/>
      <c r="EYM21" s="64"/>
      <c r="EYN21" s="64"/>
      <c r="EYO21" s="64"/>
      <c r="EYP21" s="64"/>
      <c r="EYQ21" s="64"/>
      <c r="EYR21" s="64"/>
      <c r="EYS21" s="64"/>
      <c r="EYT21" s="64"/>
      <c r="EYU21" s="64"/>
      <c r="EYV21" s="64"/>
      <c r="EYW21" s="64"/>
      <c r="EYX21" s="64"/>
      <c r="EYY21" s="64"/>
      <c r="EYZ21" s="64"/>
      <c r="EZA21" s="64"/>
      <c r="EZB21" s="64"/>
      <c r="EZC21" s="64"/>
      <c r="EZD21" s="64"/>
      <c r="EZE21" s="64"/>
      <c r="EZF21" s="64"/>
      <c r="EZG21" s="64"/>
      <c r="EZH21" s="64"/>
      <c r="EZI21" s="64"/>
      <c r="EZJ21" s="64"/>
      <c r="EZK21" s="64"/>
      <c r="EZL21" s="64"/>
      <c r="EZM21" s="64"/>
      <c r="EZN21" s="64"/>
      <c r="EZO21" s="64"/>
      <c r="EZP21" s="64"/>
      <c r="EZQ21" s="64"/>
      <c r="EZR21" s="64"/>
      <c r="EZS21" s="64"/>
      <c r="EZT21" s="64"/>
      <c r="EZU21" s="64"/>
      <c r="EZV21" s="64"/>
      <c r="EZW21" s="64"/>
      <c r="EZX21" s="64"/>
      <c r="EZY21" s="64"/>
      <c r="EZZ21" s="64"/>
      <c r="FAA21" s="64"/>
      <c r="FAB21" s="64"/>
      <c r="FAC21" s="64"/>
      <c r="FAD21" s="64"/>
      <c r="FAE21" s="64"/>
      <c r="FAF21" s="64"/>
      <c r="FAG21" s="64"/>
      <c r="FAH21" s="64"/>
      <c r="FAI21" s="64"/>
      <c r="FAJ21" s="64"/>
      <c r="FAK21" s="64"/>
      <c r="FAL21" s="64"/>
      <c r="FAM21" s="64"/>
      <c r="FAN21" s="64"/>
      <c r="FAO21" s="64"/>
      <c r="FAP21" s="64"/>
      <c r="FAQ21" s="64"/>
      <c r="FAR21" s="64"/>
      <c r="FAS21" s="64"/>
      <c r="FAT21" s="64"/>
      <c r="FAU21" s="64"/>
      <c r="FAV21" s="64"/>
      <c r="FAW21" s="64"/>
      <c r="FAX21" s="64"/>
      <c r="FAY21" s="64"/>
      <c r="FAZ21" s="64"/>
      <c r="FBA21" s="64"/>
      <c r="FBB21" s="64"/>
      <c r="FBC21" s="64"/>
      <c r="FBD21" s="64"/>
      <c r="FBE21" s="64"/>
      <c r="FBF21" s="64"/>
      <c r="FBG21" s="64"/>
      <c r="FBH21" s="64"/>
      <c r="FBI21" s="64"/>
      <c r="FBJ21" s="64"/>
      <c r="FBK21" s="64"/>
      <c r="FBL21" s="64"/>
      <c r="FBM21" s="64"/>
      <c r="FBN21" s="64"/>
      <c r="FBO21" s="64"/>
      <c r="FBP21" s="64"/>
      <c r="FBQ21" s="64"/>
      <c r="FBR21" s="64"/>
      <c r="FBS21" s="64"/>
      <c r="FBT21" s="64"/>
      <c r="FBU21" s="64"/>
      <c r="FBV21" s="64"/>
      <c r="FBW21" s="64"/>
      <c r="FBX21" s="64"/>
      <c r="FBY21" s="64"/>
      <c r="FBZ21" s="64"/>
      <c r="FCA21" s="64"/>
      <c r="FCB21" s="64"/>
      <c r="FCC21" s="64"/>
      <c r="FCD21" s="64"/>
      <c r="FCE21" s="64"/>
      <c r="FCF21" s="64"/>
      <c r="FCG21" s="64"/>
      <c r="FCH21" s="64"/>
      <c r="FCI21" s="64"/>
      <c r="FCJ21" s="64"/>
      <c r="FCK21" s="64"/>
      <c r="FCL21" s="64"/>
      <c r="FCM21" s="64"/>
      <c r="FCN21" s="64"/>
      <c r="FCO21" s="64"/>
      <c r="FCP21" s="64"/>
      <c r="FCQ21" s="64"/>
      <c r="FCR21" s="64"/>
      <c r="FCS21" s="64"/>
      <c r="FCT21" s="64"/>
      <c r="FCU21" s="64"/>
      <c r="FCV21" s="64"/>
      <c r="FCW21" s="64"/>
      <c r="FCX21" s="64"/>
      <c r="FCY21" s="64"/>
      <c r="FCZ21" s="64"/>
      <c r="FDA21" s="64"/>
      <c r="FDB21" s="64"/>
      <c r="FDC21" s="64"/>
      <c r="FDD21" s="64"/>
      <c r="FDE21" s="64"/>
      <c r="FDF21" s="64"/>
      <c r="FDG21" s="64"/>
      <c r="FDH21" s="64"/>
      <c r="FDI21" s="64"/>
      <c r="FDJ21" s="64"/>
      <c r="FDK21" s="64"/>
      <c r="FDL21" s="64"/>
      <c r="FDM21" s="64"/>
      <c r="FDN21" s="64"/>
      <c r="FDO21" s="64"/>
      <c r="FDP21" s="64"/>
      <c r="FDQ21" s="64"/>
      <c r="FDR21" s="64"/>
      <c r="FDS21" s="64"/>
      <c r="FDT21" s="64"/>
      <c r="FDU21" s="64"/>
      <c r="FDV21" s="64"/>
      <c r="FDW21" s="64"/>
      <c r="FDX21" s="64"/>
      <c r="FDY21" s="64"/>
      <c r="FDZ21" s="64"/>
      <c r="FEA21" s="64"/>
      <c r="FEB21" s="64"/>
      <c r="FEC21" s="64"/>
      <c r="FED21" s="64"/>
      <c r="FEE21" s="64"/>
      <c r="FEF21" s="64"/>
      <c r="FEG21" s="64"/>
      <c r="FEH21" s="64"/>
      <c r="FEI21" s="64"/>
      <c r="FEJ21" s="64"/>
      <c r="FEK21" s="64"/>
      <c r="FEL21" s="64"/>
      <c r="FEM21" s="64"/>
      <c r="FEN21" s="64"/>
      <c r="FEO21" s="64"/>
      <c r="FEP21" s="64"/>
      <c r="FEQ21" s="64"/>
      <c r="FER21" s="64"/>
      <c r="FES21" s="64"/>
      <c r="FET21" s="64"/>
      <c r="FEU21" s="64"/>
      <c r="FEV21" s="64"/>
      <c r="FEW21" s="64"/>
      <c r="FEX21" s="64"/>
      <c r="FEY21" s="64"/>
      <c r="FEZ21" s="64"/>
      <c r="FFA21" s="64"/>
      <c r="FFB21" s="64"/>
      <c r="FFC21" s="64"/>
      <c r="FFD21" s="64"/>
      <c r="FFE21" s="64"/>
      <c r="FFF21" s="64"/>
      <c r="FFG21" s="64"/>
      <c r="FFH21" s="64"/>
      <c r="FFI21" s="64"/>
      <c r="FFJ21" s="64"/>
      <c r="FFK21" s="64"/>
      <c r="FFL21" s="64"/>
      <c r="FFM21" s="64"/>
      <c r="FFN21" s="64"/>
      <c r="FFO21" s="64"/>
      <c r="FFP21" s="64"/>
      <c r="FFQ21" s="64"/>
      <c r="FFR21" s="64"/>
      <c r="FFS21" s="64"/>
      <c r="FFT21" s="64"/>
      <c r="FFU21" s="64"/>
      <c r="FFV21" s="64"/>
      <c r="FFW21" s="64"/>
      <c r="FFX21" s="64"/>
      <c r="FFY21" s="64"/>
      <c r="FFZ21" s="64"/>
      <c r="FGA21" s="64"/>
      <c r="FGB21" s="64"/>
      <c r="FGC21" s="64"/>
      <c r="FGD21" s="64"/>
      <c r="FGE21" s="64"/>
      <c r="FGF21" s="64"/>
      <c r="FGG21" s="64"/>
      <c r="FGH21" s="64"/>
      <c r="FGI21" s="64"/>
      <c r="FGJ21" s="64"/>
      <c r="FGK21" s="64"/>
      <c r="FGL21" s="64"/>
      <c r="FGM21" s="64"/>
      <c r="FGN21" s="64"/>
      <c r="FGO21" s="64"/>
      <c r="FGP21" s="64"/>
      <c r="FGQ21" s="64"/>
      <c r="FGR21" s="64"/>
      <c r="FGS21" s="64"/>
      <c r="FGT21" s="64"/>
      <c r="FGU21" s="64"/>
      <c r="FGV21" s="64"/>
      <c r="FGW21" s="64"/>
      <c r="FGX21" s="64"/>
      <c r="FGY21" s="64"/>
      <c r="FGZ21" s="64"/>
      <c r="FHA21" s="64"/>
      <c r="FHB21" s="64"/>
      <c r="FHC21" s="64"/>
      <c r="FHD21" s="64"/>
      <c r="FHE21" s="64"/>
      <c r="FHF21" s="64"/>
      <c r="FHG21" s="64"/>
      <c r="FHH21" s="64"/>
      <c r="FHI21" s="64"/>
      <c r="FHJ21" s="64"/>
      <c r="FHK21" s="64"/>
      <c r="FHL21" s="64"/>
      <c r="FHM21" s="64"/>
      <c r="FHN21" s="64"/>
      <c r="FHO21" s="64"/>
      <c r="FHP21" s="64"/>
      <c r="FHQ21" s="64"/>
      <c r="FHR21" s="64"/>
      <c r="FHS21" s="64"/>
      <c r="FHT21" s="64"/>
      <c r="FHU21" s="64"/>
      <c r="FHV21" s="64"/>
      <c r="FHW21" s="64"/>
      <c r="FHX21" s="64"/>
      <c r="FHY21" s="64"/>
      <c r="FHZ21" s="64"/>
      <c r="FIA21" s="64"/>
      <c r="FIB21" s="64"/>
      <c r="FIC21" s="64"/>
      <c r="FID21" s="64"/>
      <c r="FIE21" s="64"/>
      <c r="FIF21" s="64"/>
      <c r="FIG21" s="64"/>
      <c r="FIH21" s="64"/>
      <c r="FII21" s="64"/>
      <c r="FIJ21" s="64"/>
      <c r="FIK21" s="64"/>
      <c r="FIL21" s="64"/>
      <c r="FIM21" s="64"/>
      <c r="FIN21" s="64"/>
      <c r="FIO21" s="64"/>
      <c r="FIP21" s="64"/>
      <c r="FIQ21" s="64"/>
      <c r="FIR21" s="64"/>
      <c r="FIS21" s="64"/>
      <c r="FIT21" s="64"/>
      <c r="FIU21" s="64"/>
      <c r="FIV21" s="64"/>
      <c r="FIW21" s="64"/>
      <c r="FIX21" s="64"/>
      <c r="FIY21" s="64"/>
      <c r="FIZ21" s="64"/>
      <c r="FJA21" s="64"/>
      <c r="FJB21" s="64"/>
      <c r="FJC21" s="64"/>
      <c r="FJD21" s="64"/>
      <c r="FJE21" s="64"/>
      <c r="FJF21" s="64"/>
      <c r="FJG21" s="64"/>
      <c r="FJH21" s="64"/>
      <c r="FJI21" s="64"/>
      <c r="FJJ21" s="64"/>
      <c r="FJK21" s="64"/>
      <c r="FJL21" s="64"/>
      <c r="FJM21" s="64"/>
      <c r="FJN21" s="64"/>
      <c r="FJO21" s="64"/>
      <c r="FJP21" s="64"/>
      <c r="FJQ21" s="64"/>
      <c r="FJR21" s="64"/>
      <c r="FJS21" s="64"/>
      <c r="FJT21" s="64"/>
      <c r="FJU21" s="64"/>
      <c r="FJV21" s="64"/>
      <c r="FJW21" s="64"/>
      <c r="FJX21" s="64"/>
      <c r="FJY21" s="64"/>
      <c r="FJZ21" s="64"/>
      <c r="FKA21" s="64"/>
      <c r="FKB21" s="64"/>
      <c r="FKC21" s="64"/>
      <c r="FKD21" s="64"/>
      <c r="FKE21" s="64"/>
      <c r="FKF21" s="64"/>
      <c r="FKG21" s="64"/>
      <c r="FKH21" s="64"/>
      <c r="FKI21" s="64"/>
      <c r="FKJ21" s="64"/>
      <c r="FKK21" s="64"/>
      <c r="FKL21" s="64"/>
      <c r="FKM21" s="64"/>
      <c r="FKN21" s="64"/>
      <c r="FKO21" s="64"/>
      <c r="FKP21" s="64"/>
      <c r="FKQ21" s="64"/>
      <c r="FKR21" s="64"/>
      <c r="FKS21" s="64"/>
      <c r="FKT21" s="64"/>
      <c r="FKU21" s="64"/>
      <c r="FKV21" s="64"/>
      <c r="FKW21" s="64"/>
      <c r="FKX21" s="64"/>
      <c r="FKY21" s="64"/>
      <c r="FKZ21" s="64"/>
      <c r="FLA21" s="64"/>
      <c r="FLB21" s="64"/>
      <c r="FLC21" s="64"/>
      <c r="FLD21" s="64"/>
      <c r="FLE21" s="64"/>
      <c r="FLF21" s="64"/>
      <c r="FLG21" s="64"/>
      <c r="FLH21" s="64"/>
      <c r="FLI21" s="64"/>
      <c r="FLJ21" s="64"/>
      <c r="FLK21" s="64"/>
      <c r="FLL21" s="64"/>
      <c r="FLM21" s="64"/>
      <c r="FLN21" s="64"/>
      <c r="FLO21" s="64"/>
      <c r="FLP21" s="64"/>
      <c r="FLQ21" s="64"/>
      <c r="FLR21" s="64"/>
      <c r="FLS21" s="64"/>
      <c r="FLT21" s="64"/>
      <c r="FLU21" s="64"/>
      <c r="FLV21" s="64"/>
      <c r="FLW21" s="64"/>
      <c r="FLX21" s="64"/>
      <c r="FLY21" s="64"/>
      <c r="FLZ21" s="64"/>
      <c r="FMA21" s="64"/>
      <c r="FMB21" s="64"/>
      <c r="FMC21" s="64"/>
      <c r="FMD21" s="64"/>
      <c r="FME21" s="64"/>
      <c r="FMF21" s="64"/>
      <c r="FMG21" s="64"/>
      <c r="FMH21" s="64"/>
      <c r="FMI21" s="64"/>
      <c r="FMJ21" s="64"/>
      <c r="FMK21" s="64"/>
      <c r="FML21" s="64"/>
      <c r="FMM21" s="64"/>
      <c r="FMN21" s="64"/>
      <c r="FMO21" s="64"/>
      <c r="FMP21" s="64"/>
      <c r="FMQ21" s="64"/>
      <c r="FMR21" s="64"/>
      <c r="FMS21" s="64"/>
      <c r="FMT21" s="64"/>
      <c r="FMU21" s="64"/>
      <c r="FMV21" s="64"/>
      <c r="FMW21" s="64"/>
      <c r="FMX21" s="64"/>
      <c r="FMY21" s="64"/>
      <c r="FMZ21" s="64"/>
      <c r="FNA21" s="64"/>
      <c r="FNB21" s="64"/>
      <c r="FNC21" s="64"/>
      <c r="FND21" s="64"/>
      <c r="FNE21" s="64"/>
      <c r="FNF21" s="64"/>
      <c r="FNG21" s="64"/>
      <c r="FNH21" s="64"/>
      <c r="FNI21" s="64"/>
      <c r="FNJ21" s="64"/>
      <c r="FNK21" s="64"/>
      <c r="FNL21" s="64"/>
      <c r="FNM21" s="64"/>
      <c r="FNN21" s="64"/>
      <c r="FNO21" s="64"/>
      <c r="FNP21" s="64"/>
      <c r="FNQ21" s="64"/>
      <c r="FNR21" s="64"/>
      <c r="FNS21" s="64"/>
      <c r="FNT21" s="64"/>
      <c r="FNU21" s="64"/>
      <c r="FNV21" s="64"/>
      <c r="FNW21" s="64"/>
      <c r="FNX21" s="64"/>
      <c r="FNY21" s="64"/>
      <c r="FNZ21" s="64"/>
      <c r="FOA21" s="64"/>
      <c r="FOB21" s="64"/>
      <c r="FOC21" s="64"/>
      <c r="FOD21" s="64"/>
      <c r="FOE21" s="64"/>
      <c r="FOF21" s="64"/>
      <c r="FOG21" s="64"/>
      <c r="FOH21" s="64"/>
      <c r="FOI21" s="64"/>
      <c r="FOJ21" s="64"/>
      <c r="FOK21" s="64"/>
      <c r="FOL21" s="64"/>
      <c r="FOM21" s="64"/>
      <c r="FON21" s="64"/>
      <c r="FOO21" s="64"/>
      <c r="FOP21" s="64"/>
      <c r="FOQ21" s="64"/>
      <c r="FOR21" s="64"/>
      <c r="FOS21" s="64"/>
      <c r="FOT21" s="64"/>
      <c r="FOU21" s="64"/>
      <c r="FOV21" s="64"/>
      <c r="FOW21" s="64"/>
      <c r="FOX21" s="64"/>
      <c r="FOY21" s="64"/>
      <c r="FOZ21" s="64"/>
      <c r="FPA21" s="64"/>
      <c r="FPB21" s="64"/>
      <c r="FPC21" s="64"/>
      <c r="FPD21" s="64"/>
      <c r="FPE21" s="64"/>
      <c r="FPF21" s="64"/>
      <c r="FPG21" s="64"/>
      <c r="FPH21" s="64"/>
      <c r="FPI21" s="64"/>
      <c r="FPJ21" s="64"/>
      <c r="FPK21" s="64"/>
      <c r="FPL21" s="64"/>
      <c r="FPM21" s="64"/>
      <c r="FPN21" s="64"/>
      <c r="FPO21" s="64"/>
      <c r="FPP21" s="64"/>
      <c r="FPQ21" s="64"/>
      <c r="FPR21" s="64"/>
      <c r="FPS21" s="64"/>
      <c r="FPT21" s="64"/>
      <c r="FPU21" s="64"/>
      <c r="FPV21" s="64"/>
      <c r="FPW21" s="64"/>
      <c r="FPX21" s="64"/>
      <c r="FPY21" s="64"/>
      <c r="FPZ21" s="64"/>
      <c r="FQA21" s="64"/>
      <c r="FQB21" s="64"/>
      <c r="FQC21" s="64"/>
      <c r="FQD21" s="64"/>
      <c r="FQE21" s="64"/>
      <c r="FQF21" s="64"/>
      <c r="FQG21" s="64"/>
      <c r="FQH21" s="64"/>
      <c r="FQI21" s="64"/>
      <c r="FQJ21" s="64"/>
      <c r="FQK21" s="64"/>
      <c r="FQL21" s="64"/>
      <c r="FQM21" s="64"/>
      <c r="FQN21" s="64"/>
      <c r="FQO21" s="64"/>
      <c r="FQP21" s="64"/>
      <c r="FQQ21" s="64"/>
      <c r="FQR21" s="64"/>
      <c r="FQS21" s="64"/>
      <c r="FQT21" s="64"/>
      <c r="FQU21" s="64"/>
      <c r="FQV21" s="64"/>
      <c r="FQW21" s="64"/>
      <c r="FQX21" s="64"/>
      <c r="FQY21" s="64"/>
      <c r="FQZ21" s="64"/>
      <c r="FRA21" s="64"/>
      <c r="FRB21" s="64"/>
      <c r="FRC21" s="64"/>
      <c r="FRD21" s="64"/>
      <c r="FRE21" s="64"/>
      <c r="FRF21" s="64"/>
      <c r="FRG21" s="64"/>
      <c r="FRH21" s="64"/>
      <c r="FRI21" s="64"/>
      <c r="FRJ21" s="64"/>
      <c r="FRK21" s="64"/>
      <c r="FRL21" s="64"/>
      <c r="FRM21" s="64"/>
      <c r="FRN21" s="64"/>
      <c r="FRO21" s="64"/>
      <c r="FRP21" s="64"/>
      <c r="FRQ21" s="64"/>
      <c r="FRR21" s="64"/>
      <c r="FRS21" s="64"/>
      <c r="FRT21" s="64"/>
      <c r="FRU21" s="64"/>
      <c r="FRV21" s="64"/>
      <c r="FRW21" s="64"/>
      <c r="FRX21" s="64"/>
      <c r="FRY21" s="64"/>
      <c r="FRZ21" s="64"/>
      <c r="FSA21" s="64"/>
      <c r="FSB21" s="64"/>
      <c r="FSC21" s="64"/>
      <c r="FSD21" s="64"/>
      <c r="FSE21" s="64"/>
      <c r="FSF21" s="64"/>
      <c r="FSG21" s="64"/>
      <c r="FSH21" s="64"/>
      <c r="FSI21" s="64"/>
      <c r="FSJ21" s="64"/>
      <c r="FSK21" s="64"/>
      <c r="FSL21" s="64"/>
      <c r="FSM21" s="64"/>
      <c r="FSN21" s="64"/>
      <c r="FSO21" s="64"/>
      <c r="FSP21" s="64"/>
      <c r="FSQ21" s="64"/>
      <c r="FSR21" s="64"/>
      <c r="FSS21" s="64"/>
      <c r="FST21" s="64"/>
      <c r="FSU21" s="64"/>
      <c r="FSV21" s="64"/>
      <c r="FSW21" s="64"/>
      <c r="FSX21" s="64"/>
      <c r="FSY21" s="64"/>
      <c r="FSZ21" s="64"/>
      <c r="FTA21" s="64"/>
      <c r="FTB21" s="64"/>
      <c r="FTC21" s="64"/>
      <c r="FTD21" s="64"/>
      <c r="FTE21" s="64"/>
      <c r="FTF21" s="64"/>
      <c r="FTG21" s="64"/>
      <c r="FTH21" s="64"/>
      <c r="FTI21" s="64"/>
      <c r="FTJ21" s="64"/>
      <c r="FTK21" s="64"/>
      <c r="FTL21" s="64"/>
      <c r="FTM21" s="64"/>
      <c r="FTN21" s="64"/>
      <c r="FTO21" s="64"/>
      <c r="FTP21" s="64"/>
      <c r="FTQ21" s="64"/>
      <c r="FTR21" s="64"/>
      <c r="FTS21" s="64"/>
      <c r="FTT21" s="64"/>
      <c r="FTU21" s="64"/>
      <c r="FTV21" s="64"/>
      <c r="FTW21" s="64"/>
      <c r="FTX21" s="64"/>
      <c r="FTY21" s="64"/>
      <c r="FTZ21" s="64"/>
      <c r="FUA21" s="64"/>
      <c r="FUB21" s="64"/>
      <c r="FUC21" s="64"/>
      <c r="FUD21" s="64"/>
      <c r="FUE21" s="64"/>
      <c r="FUF21" s="64"/>
      <c r="FUG21" s="64"/>
      <c r="FUH21" s="64"/>
      <c r="FUI21" s="64"/>
      <c r="FUJ21" s="64"/>
      <c r="FUK21" s="64"/>
      <c r="FUL21" s="64"/>
      <c r="FUM21" s="64"/>
      <c r="FUN21" s="64"/>
      <c r="FUO21" s="64"/>
      <c r="FUP21" s="64"/>
      <c r="FUQ21" s="64"/>
      <c r="FUR21" s="64"/>
      <c r="FUS21" s="64"/>
      <c r="FUT21" s="64"/>
      <c r="FUU21" s="64"/>
      <c r="FUV21" s="64"/>
      <c r="FUW21" s="64"/>
      <c r="FUX21" s="64"/>
      <c r="FUY21" s="64"/>
      <c r="FUZ21" s="64"/>
      <c r="FVA21" s="64"/>
      <c r="FVB21" s="64"/>
      <c r="FVC21" s="64"/>
      <c r="FVD21" s="64"/>
      <c r="FVE21" s="64"/>
      <c r="FVF21" s="64"/>
      <c r="FVG21" s="64"/>
      <c r="FVH21" s="64"/>
      <c r="FVI21" s="64"/>
      <c r="FVJ21" s="64"/>
      <c r="FVK21" s="64"/>
      <c r="FVL21" s="64"/>
      <c r="FVM21" s="64"/>
      <c r="FVN21" s="64"/>
      <c r="FVO21" s="64"/>
      <c r="FVP21" s="64"/>
      <c r="FVQ21" s="64"/>
      <c r="FVR21" s="64"/>
      <c r="FVS21" s="64"/>
      <c r="FVT21" s="64"/>
      <c r="FVU21" s="64"/>
      <c r="FVV21" s="64"/>
      <c r="FVW21" s="64"/>
      <c r="FVX21" s="64"/>
      <c r="FVY21" s="64"/>
      <c r="FVZ21" s="64"/>
      <c r="FWA21" s="64"/>
      <c r="FWB21" s="64"/>
      <c r="FWC21" s="64"/>
      <c r="FWD21" s="64"/>
      <c r="FWE21" s="64"/>
      <c r="FWF21" s="64"/>
      <c r="FWG21" s="64"/>
      <c r="FWH21" s="64"/>
      <c r="FWI21" s="64"/>
      <c r="FWJ21" s="64"/>
      <c r="FWK21" s="64"/>
      <c r="FWL21" s="64"/>
      <c r="FWM21" s="64"/>
      <c r="FWN21" s="64"/>
      <c r="FWO21" s="64"/>
      <c r="FWP21" s="64"/>
      <c r="FWQ21" s="64"/>
      <c r="FWR21" s="64"/>
      <c r="FWS21" s="64"/>
      <c r="FWT21" s="64"/>
      <c r="FWU21" s="64"/>
      <c r="FWV21" s="64"/>
      <c r="FWW21" s="64"/>
      <c r="FWX21" s="64"/>
      <c r="FWY21" s="64"/>
      <c r="FWZ21" s="64"/>
      <c r="FXA21" s="64"/>
      <c r="FXB21" s="64"/>
      <c r="FXC21" s="64"/>
      <c r="FXD21" s="64"/>
      <c r="FXE21" s="64"/>
      <c r="FXF21" s="64"/>
      <c r="FXG21" s="64"/>
      <c r="FXH21" s="64"/>
      <c r="FXI21" s="64"/>
      <c r="FXJ21" s="64"/>
      <c r="FXK21" s="64"/>
      <c r="FXL21" s="64"/>
      <c r="FXM21" s="64"/>
      <c r="FXN21" s="64"/>
      <c r="FXO21" s="64"/>
      <c r="FXP21" s="64"/>
      <c r="FXQ21" s="64"/>
      <c r="FXR21" s="64"/>
      <c r="FXS21" s="64"/>
      <c r="FXT21" s="64"/>
      <c r="FXU21" s="64"/>
      <c r="FXV21" s="64"/>
      <c r="FXW21" s="64"/>
      <c r="FXX21" s="64"/>
      <c r="FXY21" s="64"/>
      <c r="FXZ21" s="64"/>
      <c r="FYA21" s="64"/>
      <c r="FYB21" s="64"/>
      <c r="FYC21" s="64"/>
      <c r="FYD21" s="64"/>
      <c r="FYE21" s="64"/>
      <c r="FYF21" s="64"/>
      <c r="FYG21" s="64"/>
      <c r="FYH21" s="64"/>
      <c r="FYI21" s="64"/>
      <c r="FYJ21" s="64"/>
      <c r="FYK21" s="64"/>
      <c r="FYL21" s="64"/>
      <c r="FYM21" s="64"/>
      <c r="FYN21" s="64"/>
      <c r="FYO21" s="64"/>
      <c r="FYP21" s="64"/>
      <c r="FYQ21" s="64"/>
      <c r="FYR21" s="64"/>
      <c r="FYS21" s="64"/>
      <c r="FYT21" s="64"/>
      <c r="FYU21" s="64"/>
      <c r="FYV21" s="64"/>
      <c r="FYW21" s="64"/>
      <c r="FYX21" s="64"/>
      <c r="FYY21" s="64"/>
      <c r="FYZ21" s="64"/>
      <c r="FZA21" s="64"/>
      <c r="FZB21" s="64"/>
      <c r="FZC21" s="64"/>
      <c r="FZD21" s="64"/>
      <c r="FZE21" s="64"/>
      <c r="FZF21" s="64"/>
      <c r="FZG21" s="64"/>
      <c r="FZH21" s="64"/>
      <c r="FZI21" s="64"/>
      <c r="FZJ21" s="64"/>
      <c r="FZK21" s="64"/>
      <c r="FZL21" s="64"/>
      <c r="FZM21" s="64"/>
      <c r="FZN21" s="64"/>
      <c r="FZO21" s="64"/>
      <c r="FZP21" s="64"/>
      <c r="FZQ21" s="64"/>
      <c r="FZR21" s="64"/>
      <c r="FZS21" s="64"/>
      <c r="FZT21" s="64"/>
      <c r="FZU21" s="64"/>
      <c r="FZV21" s="64"/>
      <c r="FZW21" s="64"/>
      <c r="FZX21" s="64"/>
      <c r="FZY21" s="64"/>
      <c r="FZZ21" s="64"/>
      <c r="GAA21" s="64"/>
      <c r="GAB21" s="64"/>
      <c r="GAC21" s="64"/>
      <c r="GAD21" s="64"/>
      <c r="GAE21" s="64"/>
      <c r="GAF21" s="64"/>
      <c r="GAG21" s="64"/>
      <c r="GAH21" s="64"/>
      <c r="GAI21" s="64"/>
      <c r="GAJ21" s="64"/>
      <c r="GAK21" s="64"/>
      <c r="GAL21" s="64"/>
      <c r="GAM21" s="64"/>
      <c r="GAN21" s="64"/>
      <c r="GAO21" s="64"/>
      <c r="GAP21" s="64"/>
      <c r="GAQ21" s="64"/>
      <c r="GAR21" s="64"/>
      <c r="GAS21" s="64"/>
      <c r="GAT21" s="64"/>
      <c r="GAU21" s="64"/>
      <c r="GAV21" s="64"/>
      <c r="GAW21" s="64"/>
      <c r="GAX21" s="64"/>
      <c r="GAY21" s="64"/>
      <c r="GAZ21" s="64"/>
      <c r="GBA21" s="64"/>
      <c r="GBB21" s="64"/>
      <c r="GBC21" s="64"/>
      <c r="GBD21" s="64"/>
      <c r="GBE21" s="64"/>
      <c r="GBF21" s="64"/>
      <c r="GBG21" s="64"/>
      <c r="GBH21" s="64"/>
      <c r="GBI21" s="64"/>
      <c r="GBJ21" s="64"/>
      <c r="GBK21" s="64"/>
      <c r="GBL21" s="64"/>
      <c r="GBM21" s="64"/>
      <c r="GBN21" s="64"/>
      <c r="GBO21" s="64"/>
      <c r="GBP21" s="64"/>
      <c r="GBQ21" s="64"/>
      <c r="GBR21" s="64"/>
      <c r="GBS21" s="64"/>
      <c r="GBT21" s="64"/>
      <c r="GBU21" s="64"/>
      <c r="GBV21" s="64"/>
      <c r="GBW21" s="64"/>
      <c r="GBX21" s="64"/>
      <c r="GBY21" s="64"/>
      <c r="GBZ21" s="64"/>
      <c r="GCA21" s="64"/>
      <c r="GCB21" s="64"/>
      <c r="GCC21" s="64"/>
      <c r="GCD21" s="64"/>
      <c r="GCE21" s="64"/>
      <c r="GCF21" s="64"/>
      <c r="GCG21" s="64"/>
      <c r="GCH21" s="64"/>
      <c r="GCI21" s="64"/>
      <c r="GCJ21" s="64"/>
      <c r="GCK21" s="64"/>
      <c r="GCL21" s="64"/>
      <c r="GCM21" s="64"/>
      <c r="GCN21" s="64"/>
      <c r="GCO21" s="64"/>
      <c r="GCP21" s="64"/>
      <c r="GCQ21" s="64"/>
      <c r="GCR21" s="64"/>
      <c r="GCS21" s="64"/>
      <c r="GCT21" s="64"/>
      <c r="GCU21" s="64"/>
      <c r="GCV21" s="64"/>
      <c r="GCW21" s="64"/>
      <c r="GCX21" s="64"/>
      <c r="GCY21" s="64"/>
      <c r="GCZ21" s="64"/>
      <c r="GDA21" s="64"/>
      <c r="GDB21" s="64"/>
      <c r="GDC21" s="64"/>
      <c r="GDD21" s="64"/>
      <c r="GDE21" s="64"/>
      <c r="GDF21" s="64"/>
      <c r="GDG21" s="64"/>
      <c r="GDH21" s="64"/>
      <c r="GDI21" s="64"/>
      <c r="GDJ21" s="64"/>
      <c r="GDK21" s="64"/>
      <c r="GDL21" s="64"/>
      <c r="GDM21" s="64"/>
      <c r="GDN21" s="64"/>
      <c r="GDO21" s="64"/>
      <c r="GDP21" s="64"/>
      <c r="GDQ21" s="64"/>
      <c r="GDR21" s="64"/>
      <c r="GDS21" s="64"/>
      <c r="GDT21" s="64"/>
      <c r="GDU21" s="64"/>
      <c r="GDV21" s="64"/>
      <c r="GDW21" s="64"/>
      <c r="GDX21" s="64"/>
      <c r="GDY21" s="64"/>
      <c r="GDZ21" s="64"/>
      <c r="GEA21" s="64"/>
      <c r="GEB21" s="64"/>
      <c r="GEC21" s="64"/>
      <c r="GED21" s="64"/>
      <c r="GEE21" s="64"/>
      <c r="GEF21" s="64"/>
      <c r="GEG21" s="64"/>
      <c r="GEH21" s="64"/>
      <c r="GEI21" s="64"/>
      <c r="GEJ21" s="64"/>
      <c r="GEK21" s="64"/>
      <c r="GEL21" s="64"/>
      <c r="GEM21" s="64"/>
      <c r="GEN21" s="64"/>
      <c r="GEO21" s="64"/>
      <c r="GEP21" s="64"/>
      <c r="GEQ21" s="64"/>
      <c r="GER21" s="64"/>
      <c r="GES21" s="64"/>
      <c r="GET21" s="64"/>
      <c r="GEU21" s="64"/>
      <c r="GEV21" s="64"/>
      <c r="GEW21" s="64"/>
      <c r="GEX21" s="64"/>
      <c r="GEY21" s="64"/>
      <c r="GEZ21" s="64"/>
      <c r="GFA21" s="64"/>
      <c r="GFB21" s="64"/>
      <c r="GFC21" s="64"/>
      <c r="GFD21" s="64"/>
      <c r="GFE21" s="64"/>
      <c r="GFF21" s="64"/>
      <c r="GFG21" s="64"/>
      <c r="GFH21" s="64"/>
      <c r="GFI21" s="64"/>
      <c r="GFJ21" s="64"/>
      <c r="GFK21" s="64"/>
      <c r="GFL21" s="64"/>
      <c r="GFM21" s="64"/>
      <c r="GFN21" s="64"/>
      <c r="GFO21" s="64"/>
      <c r="GFP21" s="64"/>
      <c r="GFQ21" s="64"/>
      <c r="GFR21" s="64"/>
      <c r="GFS21" s="64"/>
      <c r="GFT21" s="64"/>
      <c r="GFU21" s="64"/>
      <c r="GFV21" s="64"/>
      <c r="GFW21" s="64"/>
      <c r="GFX21" s="64"/>
      <c r="GFY21" s="64"/>
      <c r="GFZ21" s="64"/>
      <c r="GGA21" s="64"/>
      <c r="GGB21" s="64"/>
      <c r="GGC21" s="64"/>
      <c r="GGD21" s="64"/>
      <c r="GGE21" s="64"/>
      <c r="GGF21" s="64"/>
      <c r="GGG21" s="64"/>
      <c r="GGH21" s="64"/>
      <c r="GGI21" s="64"/>
      <c r="GGJ21" s="64"/>
      <c r="GGK21" s="64"/>
      <c r="GGL21" s="64"/>
      <c r="GGM21" s="64"/>
      <c r="GGN21" s="64"/>
      <c r="GGO21" s="64"/>
      <c r="GGP21" s="64"/>
      <c r="GGQ21" s="64"/>
      <c r="GGR21" s="64"/>
      <c r="GGS21" s="64"/>
      <c r="GGT21" s="64"/>
      <c r="GGU21" s="64"/>
      <c r="GGV21" s="64"/>
      <c r="GGW21" s="64"/>
      <c r="GGX21" s="64"/>
      <c r="GGY21" s="64"/>
      <c r="GGZ21" s="64"/>
      <c r="GHA21" s="64"/>
      <c r="GHB21" s="64"/>
      <c r="GHC21" s="64"/>
      <c r="GHD21" s="64"/>
      <c r="GHE21" s="64"/>
      <c r="GHF21" s="64"/>
      <c r="GHG21" s="64"/>
      <c r="GHH21" s="64"/>
      <c r="GHI21" s="64"/>
      <c r="GHJ21" s="64"/>
      <c r="GHK21" s="64"/>
      <c r="GHL21" s="64"/>
      <c r="GHM21" s="64"/>
      <c r="GHN21" s="64"/>
      <c r="GHO21" s="64"/>
      <c r="GHP21" s="64"/>
      <c r="GHQ21" s="64"/>
      <c r="GHR21" s="64"/>
      <c r="GHS21" s="64"/>
      <c r="GHT21" s="64"/>
      <c r="GHU21" s="64"/>
      <c r="GHV21" s="64"/>
      <c r="GHW21" s="64"/>
      <c r="GHX21" s="64"/>
      <c r="GHY21" s="64"/>
      <c r="GHZ21" s="64"/>
      <c r="GIA21" s="64"/>
      <c r="GIB21" s="64"/>
      <c r="GIC21" s="64"/>
      <c r="GID21" s="64"/>
      <c r="GIE21" s="64"/>
      <c r="GIF21" s="64"/>
      <c r="GIG21" s="64"/>
      <c r="GIH21" s="64"/>
      <c r="GII21" s="64"/>
      <c r="GIJ21" s="64"/>
      <c r="GIK21" s="64"/>
      <c r="GIL21" s="64"/>
      <c r="GIM21" s="64"/>
      <c r="GIN21" s="64"/>
      <c r="GIO21" s="64"/>
      <c r="GIP21" s="64"/>
      <c r="GIQ21" s="64"/>
      <c r="GIR21" s="64"/>
      <c r="GIS21" s="64"/>
      <c r="GIT21" s="64"/>
      <c r="GIU21" s="64"/>
      <c r="GIV21" s="64"/>
      <c r="GIW21" s="64"/>
      <c r="GIX21" s="64"/>
      <c r="GIY21" s="64"/>
      <c r="GIZ21" s="64"/>
      <c r="GJA21" s="64"/>
      <c r="GJB21" s="64"/>
      <c r="GJC21" s="64"/>
      <c r="GJD21" s="64"/>
      <c r="GJE21" s="64"/>
      <c r="GJF21" s="64"/>
      <c r="GJG21" s="64"/>
      <c r="GJH21" s="64"/>
      <c r="GJI21" s="64"/>
      <c r="GJJ21" s="64"/>
      <c r="GJK21" s="64"/>
      <c r="GJL21" s="64"/>
      <c r="GJM21" s="64"/>
      <c r="GJN21" s="64"/>
      <c r="GJO21" s="64"/>
      <c r="GJP21" s="64"/>
      <c r="GJQ21" s="64"/>
      <c r="GJR21" s="64"/>
      <c r="GJS21" s="64"/>
      <c r="GJT21" s="64"/>
      <c r="GJU21" s="64"/>
      <c r="GJV21" s="64"/>
      <c r="GJW21" s="64"/>
      <c r="GJX21" s="64"/>
      <c r="GJY21" s="64"/>
      <c r="GJZ21" s="64"/>
      <c r="GKA21" s="64"/>
      <c r="GKB21" s="64"/>
      <c r="GKC21" s="64"/>
      <c r="GKD21" s="64"/>
      <c r="GKE21" s="64"/>
      <c r="GKF21" s="64"/>
      <c r="GKG21" s="64"/>
      <c r="GKH21" s="64"/>
      <c r="GKI21" s="64"/>
      <c r="GKJ21" s="64"/>
      <c r="GKK21" s="64"/>
      <c r="GKL21" s="64"/>
      <c r="GKM21" s="64"/>
      <c r="GKN21" s="64"/>
      <c r="GKO21" s="64"/>
      <c r="GKP21" s="64"/>
      <c r="GKQ21" s="64"/>
      <c r="GKR21" s="64"/>
      <c r="GKS21" s="64"/>
      <c r="GKT21" s="64"/>
      <c r="GKU21" s="64"/>
      <c r="GKV21" s="64"/>
      <c r="GKW21" s="64"/>
      <c r="GKX21" s="64"/>
      <c r="GKY21" s="64"/>
      <c r="GKZ21" s="64"/>
      <c r="GLA21" s="64"/>
      <c r="GLB21" s="64"/>
      <c r="GLC21" s="64"/>
      <c r="GLD21" s="64"/>
      <c r="GLE21" s="64"/>
      <c r="GLF21" s="64"/>
      <c r="GLG21" s="64"/>
      <c r="GLH21" s="64"/>
      <c r="GLI21" s="64"/>
      <c r="GLJ21" s="64"/>
      <c r="GLK21" s="64"/>
      <c r="GLL21" s="64"/>
      <c r="GLM21" s="64"/>
      <c r="GLN21" s="64"/>
      <c r="GLO21" s="64"/>
      <c r="GLP21" s="64"/>
      <c r="GLQ21" s="64"/>
      <c r="GLR21" s="64"/>
      <c r="GLS21" s="64"/>
      <c r="GLT21" s="64"/>
      <c r="GLU21" s="64"/>
      <c r="GLV21" s="64"/>
      <c r="GLW21" s="64"/>
      <c r="GLX21" s="64"/>
      <c r="GLY21" s="64"/>
      <c r="GLZ21" s="64"/>
      <c r="GMA21" s="64"/>
      <c r="GMB21" s="64"/>
      <c r="GMC21" s="64"/>
      <c r="GMD21" s="64"/>
      <c r="GME21" s="64"/>
      <c r="GMF21" s="64"/>
      <c r="GMG21" s="64"/>
      <c r="GMH21" s="64"/>
      <c r="GMI21" s="64"/>
      <c r="GMJ21" s="64"/>
      <c r="GMK21" s="64"/>
      <c r="GML21" s="64"/>
      <c r="GMM21" s="64"/>
      <c r="GMN21" s="64"/>
      <c r="GMO21" s="64"/>
      <c r="GMP21" s="64"/>
      <c r="GMQ21" s="64"/>
      <c r="GMR21" s="64"/>
      <c r="GMS21" s="64"/>
      <c r="GMT21" s="64"/>
      <c r="GMU21" s="64"/>
      <c r="GMV21" s="64"/>
      <c r="GMW21" s="64"/>
      <c r="GMX21" s="64"/>
      <c r="GMY21" s="64"/>
      <c r="GMZ21" s="64"/>
      <c r="GNA21" s="64"/>
      <c r="GNB21" s="64"/>
      <c r="GNC21" s="64"/>
      <c r="GND21" s="64"/>
      <c r="GNE21" s="64"/>
      <c r="GNF21" s="64"/>
      <c r="GNG21" s="64"/>
      <c r="GNH21" s="64"/>
      <c r="GNI21" s="64"/>
      <c r="GNJ21" s="64"/>
      <c r="GNK21" s="64"/>
      <c r="GNL21" s="64"/>
      <c r="GNM21" s="64"/>
      <c r="GNN21" s="64"/>
      <c r="GNO21" s="64"/>
      <c r="GNP21" s="64"/>
      <c r="GNQ21" s="64"/>
      <c r="GNR21" s="64"/>
      <c r="GNS21" s="64"/>
      <c r="GNT21" s="64"/>
      <c r="GNU21" s="64"/>
      <c r="GNV21" s="64"/>
      <c r="GNW21" s="64"/>
      <c r="GNX21" s="64"/>
      <c r="GNY21" s="64"/>
      <c r="GNZ21" s="64"/>
      <c r="GOA21" s="64"/>
      <c r="GOB21" s="64"/>
      <c r="GOC21" s="64"/>
      <c r="GOD21" s="64"/>
      <c r="GOE21" s="64"/>
      <c r="GOF21" s="64"/>
      <c r="GOG21" s="64"/>
      <c r="GOH21" s="64"/>
      <c r="GOI21" s="64"/>
      <c r="GOJ21" s="64"/>
      <c r="GOK21" s="64"/>
      <c r="GOL21" s="64"/>
      <c r="GOM21" s="64"/>
      <c r="GON21" s="64"/>
      <c r="GOO21" s="64"/>
      <c r="GOP21" s="64"/>
      <c r="GOQ21" s="64"/>
      <c r="GOR21" s="64"/>
      <c r="GOS21" s="64"/>
      <c r="GOT21" s="64"/>
      <c r="GOU21" s="64"/>
      <c r="GOV21" s="64"/>
      <c r="GOW21" s="64"/>
      <c r="GOX21" s="64"/>
      <c r="GOY21" s="64"/>
      <c r="GOZ21" s="64"/>
      <c r="GPA21" s="64"/>
      <c r="GPB21" s="64"/>
      <c r="GPC21" s="64"/>
      <c r="GPD21" s="64"/>
      <c r="GPE21" s="64"/>
      <c r="GPF21" s="64"/>
      <c r="GPG21" s="64"/>
      <c r="GPH21" s="64"/>
      <c r="GPI21" s="64"/>
      <c r="GPJ21" s="64"/>
      <c r="GPK21" s="64"/>
      <c r="GPL21" s="64"/>
      <c r="GPM21" s="64"/>
      <c r="GPN21" s="64"/>
      <c r="GPO21" s="64"/>
      <c r="GPP21" s="64"/>
      <c r="GPQ21" s="64"/>
      <c r="GPR21" s="64"/>
      <c r="GPS21" s="64"/>
      <c r="GPT21" s="64"/>
      <c r="GPU21" s="64"/>
      <c r="GPV21" s="64"/>
      <c r="GPW21" s="64"/>
      <c r="GPX21" s="64"/>
      <c r="GPY21" s="64"/>
      <c r="GPZ21" s="64"/>
      <c r="GQA21" s="64"/>
      <c r="GQB21" s="64"/>
      <c r="GQC21" s="64"/>
      <c r="GQD21" s="64"/>
      <c r="GQE21" s="64"/>
      <c r="GQF21" s="64"/>
      <c r="GQG21" s="64"/>
      <c r="GQH21" s="64"/>
      <c r="GQI21" s="64"/>
      <c r="GQJ21" s="64"/>
      <c r="GQK21" s="64"/>
      <c r="GQL21" s="64"/>
      <c r="GQM21" s="64"/>
      <c r="GQN21" s="64"/>
      <c r="GQO21" s="64"/>
      <c r="GQP21" s="64"/>
      <c r="GQQ21" s="64"/>
      <c r="GQR21" s="64"/>
      <c r="GQS21" s="64"/>
      <c r="GQT21" s="64"/>
      <c r="GQU21" s="64"/>
      <c r="GQV21" s="64"/>
      <c r="GQW21" s="64"/>
      <c r="GQX21" s="64"/>
      <c r="GQY21" s="64"/>
      <c r="GQZ21" s="64"/>
      <c r="GRA21" s="64"/>
      <c r="GRB21" s="64"/>
      <c r="GRC21" s="64"/>
      <c r="GRD21" s="64"/>
      <c r="GRE21" s="64"/>
      <c r="GRF21" s="64"/>
      <c r="GRG21" s="64"/>
      <c r="GRH21" s="64"/>
      <c r="GRI21" s="64"/>
      <c r="GRJ21" s="64"/>
      <c r="GRK21" s="64"/>
      <c r="GRL21" s="64"/>
      <c r="GRM21" s="64"/>
      <c r="GRN21" s="64"/>
      <c r="GRO21" s="64"/>
      <c r="GRP21" s="64"/>
      <c r="GRQ21" s="64"/>
      <c r="GRR21" s="64"/>
      <c r="GRS21" s="64"/>
      <c r="GRT21" s="64"/>
      <c r="GRU21" s="64"/>
      <c r="GRV21" s="64"/>
      <c r="GRW21" s="64"/>
      <c r="GRX21" s="64"/>
      <c r="GRY21" s="64"/>
      <c r="GRZ21" s="64"/>
      <c r="GSA21" s="64"/>
      <c r="GSB21" s="64"/>
      <c r="GSC21" s="64"/>
      <c r="GSD21" s="64"/>
      <c r="GSE21" s="64"/>
      <c r="GSF21" s="64"/>
      <c r="GSG21" s="64"/>
      <c r="GSH21" s="64"/>
      <c r="GSI21" s="64"/>
      <c r="GSJ21" s="64"/>
      <c r="GSK21" s="64"/>
      <c r="GSL21" s="64"/>
      <c r="GSM21" s="64"/>
      <c r="GSN21" s="64"/>
      <c r="GSO21" s="64"/>
      <c r="GSP21" s="64"/>
      <c r="GSQ21" s="64"/>
      <c r="GSR21" s="64"/>
      <c r="GSS21" s="64"/>
      <c r="GST21" s="64"/>
      <c r="GSU21" s="64"/>
      <c r="GSV21" s="64"/>
      <c r="GSW21" s="64"/>
      <c r="GSX21" s="64"/>
      <c r="GSY21" s="64"/>
      <c r="GSZ21" s="64"/>
      <c r="GTA21" s="64"/>
      <c r="GTB21" s="64"/>
      <c r="GTC21" s="64"/>
      <c r="GTD21" s="64"/>
      <c r="GTE21" s="64"/>
      <c r="GTF21" s="64"/>
      <c r="GTG21" s="64"/>
      <c r="GTH21" s="64"/>
      <c r="GTI21" s="64"/>
      <c r="GTJ21" s="64"/>
      <c r="GTK21" s="64"/>
      <c r="GTL21" s="64"/>
      <c r="GTM21" s="64"/>
      <c r="GTN21" s="64"/>
      <c r="GTO21" s="64"/>
      <c r="GTP21" s="64"/>
      <c r="GTQ21" s="64"/>
      <c r="GTR21" s="64"/>
      <c r="GTS21" s="64"/>
      <c r="GTT21" s="64"/>
      <c r="GTU21" s="64"/>
      <c r="GTV21" s="64"/>
      <c r="GTW21" s="64"/>
      <c r="GTX21" s="64"/>
      <c r="GTY21" s="64"/>
      <c r="GTZ21" s="64"/>
      <c r="GUA21" s="64"/>
      <c r="GUB21" s="64"/>
      <c r="GUC21" s="64"/>
      <c r="GUD21" s="64"/>
      <c r="GUE21" s="64"/>
      <c r="GUF21" s="64"/>
      <c r="GUG21" s="64"/>
      <c r="GUH21" s="64"/>
      <c r="GUI21" s="64"/>
      <c r="GUJ21" s="64"/>
      <c r="GUK21" s="64"/>
      <c r="GUL21" s="64"/>
      <c r="GUM21" s="64"/>
      <c r="GUN21" s="64"/>
      <c r="GUO21" s="64"/>
      <c r="GUP21" s="64"/>
      <c r="GUQ21" s="64"/>
      <c r="GUR21" s="64"/>
      <c r="GUS21" s="64"/>
      <c r="GUT21" s="64"/>
      <c r="GUU21" s="64"/>
      <c r="GUV21" s="64"/>
      <c r="GUW21" s="64"/>
      <c r="GUX21" s="64"/>
      <c r="GUY21" s="64"/>
      <c r="GUZ21" s="64"/>
      <c r="GVA21" s="64"/>
      <c r="GVB21" s="64"/>
      <c r="GVC21" s="64"/>
      <c r="GVD21" s="64"/>
      <c r="GVE21" s="64"/>
      <c r="GVF21" s="64"/>
      <c r="GVG21" s="64"/>
      <c r="GVH21" s="64"/>
      <c r="GVI21" s="64"/>
      <c r="GVJ21" s="64"/>
      <c r="GVK21" s="64"/>
      <c r="GVL21" s="64"/>
      <c r="GVM21" s="64"/>
      <c r="GVN21" s="64"/>
      <c r="GVO21" s="64"/>
      <c r="GVP21" s="64"/>
      <c r="GVQ21" s="64"/>
      <c r="GVR21" s="64"/>
      <c r="GVS21" s="64"/>
      <c r="GVT21" s="64"/>
      <c r="GVU21" s="64"/>
      <c r="GVV21" s="64"/>
      <c r="GVW21" s="64"/>
      <c r="GVX21" s="64"/>
      <c r="GVY21" s="64"/>
      <c r="GVZ21" s="64"/>
      <c r="GWA21" s="64"/>
      <c r="GWB21" s="64"/>
      <c r="GWC21" s="64"/>
      <c r="GWD21" s="64"/>
      <c r="GWE21" s="64"/>
      <c r="GWF21" s="64"/>
      <c r="GWG21" s="64"/>
      <c r="GWH21" s="64"/>
      <c r="GWI21" s="64"/>
      <c r="GWJ21" s="64"/>
      <c r="GWK21" s="64"/>
      <c r="GWL21" s="64"/>
      <c r="GWM21" s="64"/>
      <c r="GWN21" s="64"/>
      <c r="GWO21" s="64"/>
      <c r="GWP21" s="64"/>
      <c r="GWQ21" s="64"/>
      <c r="GWR21" s="64"/>
      <c r="GWS21" s="64"/>
      <c r="GWT21" s="64"/>
      <c r="GWU21" s="64"/>
      <c r="GWV21" s="64"/>
      <c r="GWW21" s="64"/>
      <c r="GWX21" s="64"/>
      <c r="GWY21" s="64"/>
      <c r="GWZ21" s="64"/>
      <c r="GXA21" s="64"/>
      <c r="GXB21" s="64"/>
      <c r="GXC21" s="64"/>
      <c r="GXD21" s="64"/>
      <c r="GXE21" s="64"/>
      <c r="GXF21" s="64"/>
      <c r="GXG21" s="64"/>
      <c r="GXH21" s="64"/>
      <c r="GXI21" s="64"/>
      <c r="GXJ21" s="64"/>
      <c r="GXK21" s="64"/>
      <c r="GXL21" s="64"/>
      <c r="GXM21" s="64"/>
      <c r="GXN21" s="64"/>
      <c r="GXO21" s="64"/>
      <c r="GXP21" s="64"/>
      <c r="GXQ21" s="64"/>
      <c r="GXR21" s="64"/>
      <c r="GXS21" s="64"/>
      <c r="GXT21" s="64"/>
      <c r="GXU21" s="64"/>
      <c r="GXV21" s="64"/>
      <c r="GXW21" s="64"/>
      <c r="GXX21" s="64"/>
      <c r="GXY21" s="64"/>
      <c r="GXZ21" s="64"/>
      <c r="GYA21" s="64"/>
      <c r="GYB21" s="64"/>
      <c r="GYC21" s="64"/>
      <c r="GYD21" s="64"/>
      <c r="GYE21" s="64"/>
      <c r="GYF21" s="64"/>
      <c r="GYG21" s="64"/>
      <c r="GYH21" s="64"/>
      <c r="GYI21" s="64"/>
      <c r="GYJ21" s="64"/>
      <c r="GYK21" s="64"/>
      <c r="GYL21" s="64"/>
      <c r="GYM21" s="64"/>
      <c r="GYN21" s="64"/>
      <c r="GYO21" s="64"/>
      <c r="GYP21" s="64"/>
      <c r="GYQ21" s="64"/>
      <c r="GYR21" s="64"/>
      <c r="GYS21" s="64"/>
      <c r="GYT21" s="64"/>
      <c r="GYU21" s="64"/>
      <c r="GYV21" s="64"/>
      <c r="GYW21" s="64"/>
      <c r="GYX21" s="64"/>
      <c r="GYY21" s="64"/>
      <c r="GYZ21" s="64"/>
      <c r="GZA21" s="64"/>
      <c r="GZB21" s="64"/>
      <c r="GZC21" s="64"/>
      <c r="GZD21" s="64"/>
      <c r="GZE21" s="64"/>
      <c r="GZF21" s="64"/>
      <c r="GZG21" s="64"/>
      <c r="GZH21" s="64"/>
      <c r="GZI21" s="64"/>
      <c r="GZJ21" s="64"/>
      <c r="GZK21" s="64"/>
      <c r="GZL21" s="64"/>
      <c r="GZM21" s="64"/>
      <c r="GZN21" s="64"/>
      <c r="GZO21" s="64"/>
      <c r="GZP21" s="64"/>
      <c r="GZQ21" s="64"/>
      <c r="GZR21" s="64"/>
      <c r="GZS21" s="64"/>
      <c r="GZT21" s="64"/>
      <c r="GZU21" s="64"/>
      <c r="GZV21" s="64"/>
      <c r="GZW21" s="64"/>
      <c r="GZX21" s="64"/>
      <c r="GZY21" s="64"/>
      <c r="GZZ21" s="64"/>
      <c r="HAA21" s="64"/>
      <c r="HAB21" s="64"/>
      <c r="HAC21" s="64"/>
      <c r="HAD21" s="64"/>
      <c r="HAE21" s="64"/>
      <c r="HAF21" s="64"/>
      <c r="HAG21" s="64"/>
      <c r="HAH21" s="64"/>
      <c r="HAI21" s="64"/>
      <c r="HAJ21" s="64"/>
      <c r="HAK21" s="64"/>
      <c r="HAL21" s="64"/>
      <c r="HAM21" s="64"/>
      <c r="HAN21" s="64"/>
      <c r="HAO21" s="64"/>
      <c r="HAP21" s="64"/>
      <c r="HAQ21" s="64"/>
      <c r="HAR21" s="64"/>
      <c r="HAS21" s="64"/>
      <c r="HAT21" s="64"/>
      <c r="HAU21" s="64"/>
      <c r="HAV21" s="64"/>
      <c r="HAW21" s="64"/>
      <c r="HAX21" s="64"/>
      <c r="HAY21" s="64"/>
      <c r="HAZ21" s="64"/>
      <c r="HBA21" s="64"/>
      <c r="HBB21" s="64"/>
      <c r="HBC21" s="64"/>
      <c r="HBD21" s="64"/>
      <c r="HBE21" s="64"/>
      <c r="HBF21" s="64"/>
      <c r="HBG21" s="64"/>
      <c r="HBH21" s="64"/>
      <c r="HBI21" s="64"/>
      <c r="HBJ21" s="64"/>
      <c r="HBK21" s="64"/>
      <c r="HBL21" s="64"/>
      <c r="HBM21" s="64"/>
      <c r="HBN21" s="64"/>
      <c r="HBO21" s="64"/>
      <c r="HBP21" s="64"/>
      <c r="HBQ21" s="64"/>
      <c r="HBR21" s="64"/>
      <c r="HBS21" s="64"/>
      <c r="HBT21" s="64"/>
      <c r="HBU21" s="64"/>
      <c r="HBV21" s="64"/>
      <c r="HBW21" s="64"/>
      <c r="HBX21" s="64"/>
      <c r="HBY21" s="64"/>
      <c r="HBZ21" s="64"/>
      <c r="HCA21" s="64"/>
      <c r="HCB21" s="64"/>
      <c r="HCC21" s="64"/>
      <c r="HCD21" s="64"/>
      <c r="HCE21" s="64"/>
      <c r="HCF21" s="64"/>
      <c r="HCG21" s="64"/>
      <c r="HCH21" s="64"/>
      <c r="HCI21" s="64"/>
      <c r="HCJ21" s="64"/>
      <c r="HCK21" s="64"/>
      <c r="HCL21" s="64"/>
      <c r="HCM21" s="64"/>
      <c r="HCN21" s="64"/>
      <c r="HCO21" s="64"/>
      <c r="HCP21" s="64"/>
      <c r="HCQ21" s="64"/>
      <c r="HCR21" s="64"/>
      <c r="HCS21" s="64"/>
      <c r="HCT21" s="64"/>
      <c r="HCU21" s="64"/>
      <c r="HCV21" s="64"/>
      <c r="HCW21" s="64"/>
      <c r="HCX21" s="64"/>
      <c r="HCY21" s="64"/>
      <c r="HCZ21" s="64"/>
      <c r="HDA21" s="64"/>
      <c r="HDB21" s="64"/>
      <c r="HDC21" s="64"/>
      <c r="HDD21" s="64"/>
      <c r="HDE21" s="64"/>
      <c r="HDF21" s="64"/>
      <c r="HDG21" s="64"/>
      <c r="HDH21" s="64"/>
      <c r="HDI21" s="64"/>
      <c r="HDJ21" s="64"/>
      <c r="HDK21" s="64"/>
      <c r="HDL21" s="64"/>
      <c r="HDM21" s="64"/>
      <c r="HDN21" s="64"/>
      <c r="HDO21" s="64"/>
      <c r="HDP21" s="64"/>
      <c r="HDQ21" s="64"/>
      <c r="HDR21" s="64"/>
      <c r="HDS21" s="64"/>
      <c r="HDT21" s="64"/>
      <c r="HDU21" s="64"/>
      <c r="HDV21" s="64"/>
      <c r="HDW21" s="64"/>
      <c r="HDX21" s="64"/>
      <c r="HDY21" s="64"/>
      <c r="HDZ21" s="64"/>
      <c r="HEA21" s="64"/>
      <c r="HEB21" s="64"/>
      <c r="HEC21" s="64"/>
      <c r="HED21" s="64"/>
      <c r="HEE21" s="64"/>
      <c r="HEF21" s="64"/>
      <c r="HEG21" s="64"/>
      <c r="HEH21" s="64"/>
      <c r="HEI21" s="64"/>
      <c r="HEJ21" s="64"/>
      <c r="HEK21" s="64"/>
      <c r="HEL21" s="64"/>
      <c r="HEM21" s="64"/>
      <c r="HEN21" s="64"/>
      <c r="HEO21" s="64"/>
      <c r="HEP21" s="64"/>
      <c r="HEQ21" s="64"/>
      <c r="HER21" s="64"/>
      <c r="HES21" s="64"/>
      <c r="HET21" s="64"/>
      <c r="HEU21" s="64"/>
      <c r="HEV21" s="64"/>
      <c r="HEW21" s="64"/>
      <c r="HEX21" s="64"/>
      <c r="HEY21" s="64"/>
      <c r="HEZ21" s="64"/>
      <c r="HFA21" s="64"/>
      <c r="HFB21" s="64"/>
      <c r="HFC21" s="64"/>
      <c r="HFD21" s="64"/>
      <c r="HFE21" s="64"/>
      <c r="HFF21" s="64"/>
      <c r="HFG21" s="64"/>
      <c r="HFH21" s="64"/>
      <c r="HFI21" s="64"/>
      <c r="HFJ21" s="64"/>
      <c r="HFK21" s="64"/>
      <c r="HFL21" s="64"/>
      <c r="HFM21" s="64"/>
      <c r="HFN21" s="64"/>
      <c r="HFO21" s="64"/>
      <c r="HFP21" s="64"/>
      <c r="HFQ21" s="64"/>
      <c r="HFR21" s="64"/>
      <c r="HFS21" s="64"/>
      <c r="HFT21" s="64"/>
      <c r="HFU21" s="64"/>
      <c r="HFV21" s="64"/>
      <c r="HFW21" s="64"/>
      <c r="HFX21" s="64"/>
      <c r="HFY21" s="64"/>
      <c r="HFZ21" s="64"/>
      <c r="HGA21" s="64"/>
      <c r="HGB21" s="64"/>
      <c r="HGC21" s="64"/>
      <c r="HGD21" s="64"/>
      <c r="HGE21" s="64"/>
      <c r="HGF21" s="64"/>
      <c r="HGG21" s="64"/>
      <c r="HGH21" s="64"/>
      <c r="HGI21" s="64"/>
      <c r="HGJ21" s="64"/>
      <c r="HGK21" s="64"/>
      <c r="HGL21" s="64"/>
      <c r="HGM21" s="64"/>
      <c r="HGN21" s="64"/>
      <c r="HGO21" s="64"/>
      <c r="HGP21" s="64"/>
      <c r="HGQ21" s="64"/>
      <c r="HGR21" s="64"/>
      <c r="HGS21" s="64"/>
      <c r="HGT21" s="64"/>
      <c r="HGU21" s="64"/>
      <c r="HGV21" s="64"/>
      <c r="HGW21" s="64"/>
      <c r="HGX21" s="64"/>
      <c r="HGY21" s="64"/>
      <c r="HGZ21" s="64"/>
      <c r="HHA21" s="64"/>
      <c r="HHB21" s="64"/>
      <c r="HHC21" s="64"/>
      <c r="HHD21" s="64"/>
      <c r="HHE21" s="64"/>
      <c r="HHF21" s="64"/>
      <c r="HHG21" s="64"/>
      <c r="HHH21" s="64"/>
      <c r="HHI21" s="64"/>
      <c r="HHJ21" s="64"/>
      <c r="HHK21" s="64"/>
      <c r="HHL21" s="64"/>
      <c r="HHM21" s="64"/>
      <c r="HHN21" s="64"/>
      <c r="HHO21" s="64"/>
      <c r="HHP21" s="64"/>
      <c r="HHQ21" s="64"/>
      <c r="HHR21" s="64"/>
      <c r="HHS21" s="64"/>
      <c r="HHT21" s="64"/>
      <c r="HHU21" s="64"/>
      <c r="HHV21" s="64"/>
      <c r="HHW21" s="64"/>
      <c r="HHX21" s="64"/>
      <c r="HHY21" s="64"/>
      <c r="HHZ21" s="64"/>
      <c r="HIA21" s="64"/>
      <c r="HIB21" s="64"/>
      <c r="HIC21" s="64"/>
      <c r="HID21" s="64"/>
      <c r="HIE21" s="64"/>
      <c r="HIF21" s="64"/>
      <c r="HIG21" s="64"/>
      <c r="HIH21" s="64"/>
      <c r="HII21" s="64"/>
      <c r="HIJ21" s="64"/>
      <c r="HIK21" s="64"/>
      <c r="HIL21" s="64"/>
      <c r="HIM21" s="64"/>
      <c r="HIN21" s="64"/>
      <c r="HIO21" s="64"/>
      <c r="HIP21" s="64"/>
      <c r="HIQ21" s="64"/>
      <c r="HIR21" s="64"/>
      <c r="HIS21" s="64"/>
      <c r="HIT21" s="64"/>
      <c r="HIU21" s="64"/>
      <c r="HIV21" s="64"/>
      <c r="HIW21" s="64"/>
      <c r="HIX21" s="64"/>
      <c r="HIY21" s="64"/>
      <c r="HIZ21" s="64"/>
      <c r="HJA21" s="64"/>
      <c r="HJB21" s="64"/>
      <c r="HJC21" s="64"/>
      <c r="HJD21" s="64"/>
      <c r="HJE21" s="64"/>
      <c r="HJF21" s="64"/>
      <c r="HJG21" s="64"/>
      <c r="HJH21" s="64"/>
      <c r="HJI21" s="64"/>
      <c r="HJJ21" s="64"/>
      <c r="HJK21" s="64"/>
      <c r="HJL21" s="64"/>
      <c r="HJM21" s="64"/>
      <c r="HJN21" s="64"/>
      <c r="HJO21" s="64"/>
      <c r="HJP21" s="64"/>
      <c r="HJQ21" s="64"/>
      <c r="HJR21" s="64"/>
      <c r="HJS21" s="64"/>
      <c r="HJT21" s="64"/>
      <c r="HJU21" s="64"/>
      <c r="HJV21" s="64"/>
      <c r="HJW21" s="64"/>
      <c r="HJX21" s="64"/>
      <c r="HJY21" s="64"/>
      <c r="HJZ21" s="64"/>
      <c r="HKA21" s="64"/>
      <c r="HKB21" s="64"/>
      <c r="HKC21" s="64"/>
      <c r="HKD21" s="64"/>
      <c r="HKE21" s="64"/>
      <c r="HKF21" s="64"/>
      <c r="HKG21" s="64"/>
      <c r="HKH21" s="64"/>
      <c r="HKI21" s="64"/>
      <c r="HKJ21" s="64"/>
      <c r="HKK21" s="64"/>
      <c r="HKL21" s="64"/>
      <c r="HKM21" s="64"/>
      <c r="HKN21" s="64"/>
      <c r="HKO21" s="64"/>
      <c r="HKP21" s="64"/>
      <c r="HKQ21" s="64"/>
      <c r="HKR21" s="64"/>
      <c r="HKS21" s="64"/>
      <c r="HKT21" s="64"/>
      <c r="HKU21" s="64"/>
      <c r="HKV21" s="64"/>
      <c r="HKW21" s="64"/>
      <c r="HKX21" s="64"/>
      <c r="HKY21" s="64"/>
      <c r="HKZ21" s="64"/>
      <c r="HLA21" s="64"/>
      <c r="HLB21" s="64"/>
      <c r="HLC21" s="64"/>
      <c r="HLD21" s="64"/>
      <c r="HLE21" s="64"/>
      <c r="HLF21" s="64"/>
      <c r="HLG21" s="64"/>
      <c r="HLH21" s="64"/>
      <c r="HLI21" s="64"/>
      <c r="HLJ21" s="64"/>
      <c r="HLK21" s="64"/>
      <c r="HLL21" s="64"/>
      <c r="HLM21" s="64"/>
      <c r="HLN21" s="64"/>
      <c r="HLO21" s="64"/>
      <c r="HLP21" s="64"/>
      <c r="HLQ21" s="64"/>
      <c r="HLR21" s="64"/>
      <c r="HLS21" s="64"/>
      <c r="HLT21" s="64"/>
      <c r="HLU21" s="64"/>
      <c r="HLV21" s="64"/>
      <c r="HLW21" s="64"/>
      <c r="HLX21" s="64"/>
      <c r="HLY21" s="64"/>
      <c r="HLZ21" s="64"/>
      <c r="HMA21" s="64"/>
      <c r="HMB21" s="64"/>
      <c r="HMC21" s="64"/>
      <c r="HMD21" s="64"/>
      <c r="HME21" s="64"/>
      <c r="HMF21" s="64"/>
      <c r="HMG21" s="64"/>
      <c r="HMH21" s="64"/>
      <c r="HMI21" s="64"/>
      <c r="HMJ21" s="64"/>
      <c r="HMK21" s="64"/>
      <c r="HML21" s="64"/>
      <c r="HMM21" s="64"/>
      <c r="HMN21" s="64"/>
      <c r="HMO21" s="64"/>
      <c r="HMP21" s="64"/>
      <c r="HMQ21" s="64"/>
      <c r="HMR21" s="64"/>
      <c r="HMS21" s="64"/>
      <c r="HMT21" s="64"/>
      <c r="HMU21" s="64"/>
      <c r="HMV21" s="64"/>
      <c r="HMW21" s="64"/>
      <c r="HMX21" s="64"/>
      <c r="HMY21" s="64"/>
      <c r="HMZ21" s="64"/>
      <c r="HNA21" s="64"/>
      <c r="HNB21" s="64"/>
      <c r="HNC21" s="64"/>
      <c r="HND21" s="64"/>
      <c r="HNE21" s="64"/>
      <c r="HNF21" s="64"/>
      <c r="HNG21" s="64"/>
      <c r="HNH21" s="64"/>
      <c r="HNI21" s="64"/>
      <c r="HNJ21" s="64"/>
      <c r="HNK21" s="64"/>
      <c r="HNL21" s="64"/>
      <c r="HNM21" s="64"/>
      <c r="HNN21" s="64"/>
      <c r="HNO21" s="64"/>
      <c r="HNP21" s="64"/>
      <c r="HNQ21" s="64"/>
      <c r="HNR21" s="64"/>
      <c r="HNS21" s="64"/>
      <c r="HNT21" s="64"/>
      <c r="HNU21" s="64"/>
      <c r="HNV21" s="64"/>
      <c r="HNW21" s="64"/>
      <c r="HNX21" s="64"/>
      <c r="HNY21" s="64"/>
      <c r="HNZ21" s="64"/>
      <c r="HOA21" s="64"/>
      <c r="HOB21" s="64"/>
      <c r="HOC21" s="64"/>
      <c r="HOD21" s="64"/>
      <c r="HOE21" s="64"/>
      <c r="HOF21" s="64"/>
      <c r="HOG21" s="64"/>
      <c r="HOH21" s="64"/>
      <c r="HOI21" s="64"/>
      <c r="HOJ21" s="64"/>
      <c r="HOK21" s="64"/>
      <c r="HOL21" s="64"/>
      <c r="HOM21" s="64"/>
      <c r="HON21" s="64"/>
      <c r="HOO21" s="64"/>
      <c r="HOP21" s="64"/>
      <c r="HOQ21" s="64"/>
      <c r="HOR21" s="64"/>
      <c r="HOS21" s="64"/>
      <c r="HOT21" s="64"/>
      <c r="HOU21" s="64"/>
      <c r="HOV21" s="64"/>
      <c r="HOW21" s="64"/>
      <c r="HOX21" s="64"/>
      <c r="HOY21" s="64"/>
      <c r="HOZ21" s="64"/>
      <c r="HPA21" s="64"/>
      <c r="HPB21" s="64"/>
      <c r="HPC21" s="64"/>
      <c r="HPD21" s="64"/>
      <c r="HPE21" s="64"/>
      <c r="HPF21" s="64"/>
      <c r="HPG21" s="64"/>
      <c r="HPH21" s="64"/>
      <c r="HPI21" s="64"/>
      <c r="HPJ21" s="64"/>
      <c r="HPK21" s="64"/>
      <c r="HPL21" s="64"/>
      <c r="HPM21" s="64"/>
      <c r="HPN21" s="64"/>
      <c r="HPO21" s="64"/>
      <c r="HPP21" s="64"/>
      <c r="HPQ21" s="64"/>
      <c r="HPR21" s="64"/>
      <c r="HPS21" s="64"/>
      <c r="HPT21" s="64"/>
      <c r="HPU21" s="64"/>
      <c r="HPV21" s="64"/>
      <c r="HPW21" s="64"/>
      <c r="HPX21" s="64"/>
      <c r="HPY21" s="64"/>
      <c r="HPZ21" s="64"/>
      <c r="HQA21" s="64"/>
      <c r="HQB21" s="64"/>
      <c r="HQC21" s="64"/>
      <c r="HQD21" s="64"/>
      <c r="HQE21" s="64"/>
      <c r="HQF21" s="64"/>
      <c r="HQG21" s="64"/>
      <c r="HQH21" s="64"/>
      <c r="HQI21" s="64"/>
      <c r="HQJ21" s="64"/>
      <c r="HQK21" s="64"/>
      <c r="HQL21" s="64"/>
      <c r="HQM21" s="64"/>
      <c r="HQN21" s="64"/>
      <c r="HQO21" s="64"/>
      <c r="HQP21" s="64"/>
      <c r="HQQ21" s="64"/>
      <c r="HQR21" s="64"/>
      <c r="HQS21" s="64"/>
      <c r="HQT21" s="64"/>
      <c r="HQU21" s="64"/>
      <c r="HQV21" s="64"/>
      <c r="HQW21" s="64"/>
      <c r="HQX21" s="64"/>
      <c r="HQY21" s="64"/>
      <c r="HQZ21" s="64"/>
      <c r="HRA21" s="64"/>
      <c r="HRB21" s="64"/>
      <c r="HRC21" s="64"/>
      <c r="HRD21" s="64"/>
      <c r="HRE21" s="64"/>
      <c r="HRF21" s="64"/>
      <c r="HRG21" s="64"/>
      <c r="HRH21" s="64"/>
      <c r="HRI21" s="64"/>
      <c r="HRJ21" s="64"/>
      <c r="HRK21" s="64"/>
      <c r="HRL21" s="64"/>
      <c r="HRM21" s="64"/>
      <c r="HRN21" s="64"/>
      <c r="HRO21" s="64"/>
      <c r="HRP21" s="64"/>
      <c r="HRQ21" s="64"/>
      <c r="HRR21" s="64"/>
      <c r="HRS21" s="64"/>
      <c r="HRT21" s="64"/>
      <c r="HRU21" s="64"/>
      <c r="HRV21" s="64"/>
      <c r="HRW21" s="64"/>
      <c r="HRX21" s="64"/>
      <c r="HRY21" s="64"/>
      <c r="HRZ21" s="64"/>
      <c r="HSA21" s="64"/>
      <c r="HSB21" s="64"/>
      <c r="HSC21" s="64"/>
      <c r="HSD21" s="64"/>
      <c r="HSE21" s="64"/>
      <c r="HSF21" s="64"/>
      <c r="HSG21" s="64"/>
      <c r="HSH21" s="64"/>
      <c r="HSI21" s="64"/>
      <c r="HSJ21" s="64"/>
      <c r="HSK21" s="64"/>
      <c r="HSL21" s="64"/>
      <c r="HSM21" s="64"/>
      <c r="HSN21" s="64"/>
      <c r="HSO21" s="64"/>
      <c r="HSP21" s="64"/>
      <c r="HSQ21" s="64"/>
      <c r="HSR21" s="64"/>
      <c r="HSS21" s="64"/>
      <c r="HST21" s="64"/>
      <c r="HSU21" s="64"/>
      <c r="HSV21" s="64"/>
      <c r="HSW21" s="64"/>
      <c r="HSX21" s="64"/>
      <c r="HSY21" s="64"/>
      <c r="HSZ21" s="64"/>
      <c r="HTA21" s="64"/>
      <c r="HTB21" s="64"/>
      <c r="HTC21" s="64"/>
      <c r="HTD21" s="64"/>
      <c r="HTE21" s="64"/>
      <c r="HTF21" s="64"/>
      <c r="HTG21" s="64"/>
      <c r="HTH21" s="64"/>
      <c r="HTI21" s="64"/>
      <c r="HTJ21" s="64"/>
      <c r="HTK21" s="64"/>
      <c r="HTL21" s="64"/>
      <c r="HTM21" s="64"/>
      <c r="HTN21" s="64"/>
      <c r="HTO21" s="64"/>
      <c r="HTP21" s="64"/>
      <c r="HTQ21" s="64"/>
      <c r="HTR21" s="64"/>
      <c r="HTS21" s="64"/>
      <c r="HTT21" s="64"/>
      <c r="HTU21" s="64"/>
      <c r="HTV21" s="64"/>
      <c r="HTW21" s="64"/>
      <c r="HTX21" s="64"/>
      <c r="HTY21" s="64"/>
      <c r="HTZ21" s="64"/>
      <c r="HUA21" s="64"/>
      <c r="HUB21" s="64"/>
      <c r="HUC21" s="64"/>
      <c r="HUD21" s="64"/>
      <c r="HUE21" s="64"/>
      <c r="HUF21" s="64"/>
      <c r="HUG21" s="64"/>
      <c r="HUH21" s="64"/>
      <c r="HUI21" s="64"/>
      <c r="HUJ21" s="64"/>
      <c r="HUK21" s="64"/>
      <c r="HUL21" s="64"/>
      <c r="HUM21" s="64"/>
      <c r="HUN21" s="64"/>
      <c r="HUO21" s="64"/>
      <c r="HUP21" s="64"/>
      <c r="HUQ21" s="64"/>
      <c r="HUR21" s="64"/>
      <c r="HUS21" s="64"/>
      <c r="HUT21" s="64"/>
      <c r="HUU21" s="64"/>
      <c r="HUV21" s="64"/>
      <c r="HUW21" s="64"/>
      <c r="HUX21" s="64"/>
      <c r="HUY21" s="64"/>
      <c r="HUZ21" s="64"/>
      <c r="HVA21" s="64"/>
      <c r="HVB21" s="64"/>
      <c r="HVC21" s="64"/>
      <c r="HVD21" s="64"/>
      <c r="HVE21" s="64"/>
      <c r="HVF21" s="64"/>
      <c r="HVG21" s="64"/>
      <c r="HVH21" s="64"/>
      <c r="HVI21" s="64"/>
      <c r="HVJ21" s="64"/>
      <c r="HVK21" s="64"/>
      <c r="HVL21" s="64"/>
      <c r="HVM21" s="64"/>
      <c r="HVN21" s="64"/>
      <c r="HVO21" s="64"/>
      <c r="HVP21" s="64"/>
      <c r="HVQ21" s="64"/>
      <c r="HVR21" s="64"/>
      <c r="HVS21" s="64"/>
      <c r="HVT21" s="64"/>
      <c r="HVU21" s="64"/>
      <c r="HVV21" s="64"/>
      <c r="HVW21" s="64"/>
      <c r="HVX21" s="64"/>
      <c r="HVY21" s="64"/>
      <c r="HVZ21" s="64"/>
      <c r="HWA21" s="64"/>
      <c r="HWB21" s="64"/>
      <c r="HWC21" s="64"/>
      <c r="HWD21" s="64"/>
      <c r="HWE21" s="64"/>
      <c r="HWF21" s="64"/>
      <c r="HWG21" s="64"/>
      <c r="HWH21" s="64"/>
      <c r="HWI21" s="64"/>
      <c r="HWJ21" s="64"/>
      <c r="HWK21" s="64"/>
      <c r="HWL21" s="64"/>
      <c r="HWM21" s="64"/>
      <c r="HWN21" s="64"/>
      <c r="HWO21" s="64"/>
      <c r="HWP21" s="64"/>
      <c r="HWQ21" s="64"/>
      <c r="HWR21" s="64"/>
      <c r="HWS21" s="64"/>
      <c r="HWT21" s="64"/>
      <c r="HWU21" s="64"/>
      <c r="HWV21" s="64"/>
      <c r="HWW21" s="64"/>
      <c r="HWX21" s="64"/>
      <c r="HWY21" s="64"/>
      <c r="HWZ21" s="64"/>
      <c r="HXA21" s="64"/>
      <c r="HXB21" s="64"/>
      <c r="HXC21" s="64"/>
      <c r="HXD21" s="64"/>
      <c r="HXE21" s="64"/>
      <c r="HXF21" s="64"/>
      <c r="HXG21" s="64"/>
      <c r="HXH21" s="64"/>
      <c r="HXI21" s="64"/>
      <c r="HXJ21" s="64"/>
      <c r="HXK21" s="64"/>
      <c r="HXL21" s="64"/>
      <c r="HXM21" s="64"/>
      <c r="HXN21" s="64"/>
      <c r="HXO21" s="64"/>
      <c r="HXP21" s="64"/>
      <c r="HXQ21" s="64"/>
      <c r="HXR21" s="64"/>
      <c r="HXS21" s="64"/>
      <c r="HXT21" s="64"/>
      <c r="HXU21" s="64"/>
      <c r="HXV21" s="64"/>
      <c r="HXW21" s="64"/>
      <c r="HXX21" s="64"/>
      <c r="HXY21" s="64"/>
      <c r="HXZ21" s="64"/>
      <c r="HYA21" s="64"/>
      <c r="HYB21" s="64"/>
      <c r="HYC21" s="64"/>
      <c r="HYD21" s="64"/>
      <c r="HYE21" s="64"/>
      <c r="HYF21" s="64"/>
      <c r="HYG21" s="64"/>
      <c r="HYH21" s="64"/>
      <c r="HYI21" s="64"/>
      <c r="HYJ21" s="64"/>
      <c r="HYK21" s="64"/>
      <c r="HYL21" s="64"/>
      <c r="HYM21" s="64"/>
      <c r="HYN21" s="64"/>
      <c r="HYO21" s="64"/>
      <c r="HYP21" s="64"/>
      <c r="HYQ21" s="64"/>
      <c r="HYR21" s="64"/>
      <c r="HYS21" s="64"/>
      <c r="HYT21" s="64"/>
      <c r="HYU21" s="64"/>
      <c r="HYV21" s="64"/>
      <c r="HYW21" s="64"/>
      <c r="HYX21" s="64"/>
      <c r="HYY21" s="64"/>
      <c r="HYZ21" s="64"/>
      <c r="HZA21" s="64"/>
      <c r="HZB21" s="64"/>
      <c r="HZC21" s="64"/>
      <c r="HZD21" s="64"/>
      <c r="HZE21" s="64"/>
      <c r="HZF21" s="64"/>
      <c r="HZG21" s="64"/>
      <c r="HZH21" s="64"/>
      <c r="HZI21" s="64"/>
      <c r="HZJ21" s="64"/>
      <c r="HZK21" s="64"/>
      <c r="HZL21" s="64"/>
      <c r="HZM21" s="64"/>
      <c r="HZN21" s="64"/>
      <c r="HZO21" s="64"/>
      <c r="HZP21" s="64"/>
      <c r="HZQ21" s="64"/>
      <c r="HZR21" s="64"/>
      <c r="HZS21" s="64"/>
      <c r="HZT21" s="64"/>
      <c r="HZU21" s="64"/>
      <c r="HZV21" s="64"/>
      <c r="HZW21" s="64"/>
      <c r="HZX21" s="64"/>
      <c r="HZY21" s="64"/>
      <c r="HZZ21" s="64"/>
      <c r="IAA21" s="64"/>
      <c r="IAB21" s="64"/>
      <c r="IAC21" s="64"/>
      <c r="IAD21" s="64"/>
      <c r="IAE21" s="64"/>
      <c r="IAF21" s="64"/>
      <c r="IAG21" s="64"/>
      <c r="IAH21" s="64"/>
      <c r="IAI21" s="64"/>
      <c r="IAJ21" s="64"/>
      <c r="IAK21" s="64"/>
      <c r="IAL21" s="64"/>
      <c r="IAM21" s="64"/>
      <c r="IAN21" s="64"/>
      <c r="IAO21" s="64"/>
      <c r="IAP21" s="64"/>
      <c r="IAQ21" s="64"/>
      <c r="IAR21" s="64"/>
      <c r="IAS21" s="64"/>
      <c r="IAT21" s="64"/>
      <c r="IAU21" s="64"/>
      <c r="IAV21" s="64"/>
      <c r="IAW21" s="64"/>
      <c r="IAX21" s="64"/>
      <c r="IAY21" s="64"/>
      <c r="IAZ21" s="64"/>
      <c r="IBA21" s="64"/>
      <c r="IBB21" s="64"/>
      <c r="IBC21" s="64"/>
      <c r="IBD21" s="64"/>
      <c r="IBE21" s="64"/>
      <c r="IBF21" s="64"/>
      <c r="IBG21" s="64"/>
      <c r="IBH21" s="64"/>
      <c r="IBI21" s="64"/>
      <c r="IBJ21" s="64"/>
      <c r="IBK21" s="64"/>
      <c r="IBL21" s="64"/>
      <c r="IBM21" s="64"/>
      <c r="IBN21" s="64"/>
      <c r="IBO21" s="64"/>
      <c r="IBP21" s="64"/>
      <c r="IBQ21" s="64"/>
      <c r="IBR21" s="64"/>
      <c r="IBS21" s="64"/>
      <c r="IBT21" s="64"/>
      <c r="IBU21" s="64"/>
      <c r="IBV21" s="64"/>
      <c r="IBW21" s="64"/>
      <c r="IBX21" s="64"/>
      <c r="IBY21" s="64"/>
      <c r="IBZ21" s="64"/>
      <c r="ICA21" s="64"/>
      <c r="ICB21" s="64"/>
      <c r="ICC21" s="64"/>
      <c r="ICD21" s="64"/>
      <c r="ICE21" s="64"/>
      <c r="ICF21" s="64"/>
      <c r="ICG21" s="64"/>
      <c r="ICH21" s="64"/>
      <c r="ICI21" s="64"/>
      <c r="ICJ21" s="64"/>
      <c r="ICK21" s="64"/>
      <c r="ICL21" s="64"/>
      <c r="ICM21" s="64"/>
      <c r="ICN21" s="64"/>
      <c r="ICO21" s="64"/>
      <c r="ICP21" s="64"/>
      <c r="ICQ21" s="64"/>
      <c r="ICR21" s="64"/>
      <c r="ICS21" s="64"/>
      <c r="ICT21" s="64"/>
      <c r="ICU21" s="64"/>
      <c r="ICV21" s="64"/>
      <c r="ICW21" s="64"/>
      <c r="ICX21" s="64"/>
      <c r="ICY21" s="64"/>
      <c r="ICZ21" s="64"/>
      <c r="IDA21" s="64"/>
      <c r="IDB21" s="64"/>
      <c r="IDC21" s="64"/>
      <c r="IDD21" s="64"/>
      <c r="IDE21" s="64"/>
      <c r="IDF21" s="64"/>
      <c r="IDG21" s="64"/>
      <c r="IDH21" s="64"/>
      <c r="IDI21" s="64"/>
      <c r="IDJ21" s="64"/>
      <c r="IDK21" s="64"/>
      <c r="IDL21" s="64"/>
      <c r="IDM21" s="64"/>
      <c r="IDN21" s="64"/>
      <c r="IDO21" s="64"/>
      <c r="IDP21" s="64"/>
      <c r="IDQ21" s="64"/>
      <c r="IDR21" s="64"/>
      <c r="IDS21" s="64"/>
      <c r="IDT21" s="64"/>
      <c r="IDU21" s="64"/>
      <c r="IDV21" s="64"/>
      <c r="IDW21" s="64"/>
      <c r="IDX21" s="64"/>
      <c r="IDY21" s="64"/>
      <c r="IDZ21" s="64"/>
      <c r="IEA21" s="64"/>
      <c r="IEB21" s="64"/>
      <c r="IEC21" s="64"/>
      <c r="IED21" s="64"/>
      <c r="IEE21" s="64"/>
      <c r="IEF21" s="64"/>
      <c r="IEG21" s="64"/>
      <c r="IEH21" s="64"/>
      <c r="IEI21" s="64"/>
      <c r="IEJ21" s="64"/>
      <c r="IEK21" s="64"/>
      <c r="IEL21" s="64"/>
      <c r="IEM21" s="64"/>
      <c r="IEN21" s="64"/>
      <c r="IEO21" s="64"/>
      <c r="IEP21" s="64"/>
      <c r="IEQ21" s="64"/>
      <c r="IER21" s="64"/>
      <c r="IES21" s="64"/>
      <c r="IET21" s="64"/>
      <c r="IEU21" s="64"/>
      <c r="IEV21" s="64"/>
      <c r="IEW21" s="64"/>
      <c r="IEX21" s="64"/>
      <c r="IEY21" s="64"/>
      <c r="IEZ21" s="64"/>
      <c r="IFA21" s="64"/>
      <c r="IFB21" s="64"/>
      <c r="IFC21" s="64"/>
      <c r="IFD21" s="64"/>
      <c r="IFE21" s="64"/>
      <c r="IFF21" s="64"/>
      <c r="IFG21" s="64"/>
      <c r="IFH21" s="64"/>
      <c r="IFI21" s="64"/>
      <c r="IFJ21" s="64"/>
      <c r="IFK21" s="64"/>
      <c r="IFL21" s="64"/>
      <c r="IFM21" s="64"/>
      <c r="IFN21" s="64"/>
      <c r="IFO21" s="64"/>
      <c r="IFP21" s="64"/>
      <c r="IFQ21" s="64"/>
      <c r="IFR21" s="64"/>
      <c r="IFS21" s="64"/>
      <c r="IFT21" s="64"/>
      <c r="IFU21" s="64"/>
      <c r="IFV21" s="64"/>
      <c r="IFW21" s="64"/>
      <c r="IFX21" s="64"/>
      <c r="IFY21" s="64"/>
      <c r="IFZ21" s="64"/>
      <c r="IGA21" s="64"/>
      <c r="IGB21" s="64"/>
      <c r="IGC21" s="64"/>
      <c r="IGD21" s="64"/>
      <c r="IGE21" s="64"/>
      <c r="IGF21" s="64"/>
      <c r="IGG21" s="64"/>
      <c r="IGH21" s="64"/>
      <c r="IGI21" s="64"/>
      <c r="IGJ21" s="64"/>
      <c r="IGK21" s="64"/>
      <c r="IGL21" s="64"/>
      <c r="IGM21" s="64"/>
      <c r="IGN21" s="64"/>
      <c r="IGO21" s="64"/>
      <c r="IGP21" s="64"/>
      <c r="IGQ21" s="64"/>
      <c r="IGR21" s="64"/>
      <c r="IGS21" s="64"/>
      <c r="IGT21" s="64"/>
      <c r="IGU21" s="64"/>
      <c r="IGV21" s="64"/>
      <c r="IGW21" s="64"/>
      <c r="IGX21" s="64"/>
      <c r="IGY21" s="64"/>
      <c r="IGZ21" s="64"/>
      <c r="IHA21" s="64"/>
      <c r="IHB21" s="64"/>
      <c r="IHC21" s="64"/>
      <c r="IHD21" s="64"/>
      <c r="IHE21" s="64"/>
      <c r="IHF21" s="64"/>
      <c r="IHG21" s="64"/>
      <c r="IHH21" s="64"/>
      <c r="IHI21" s="64"/>
      <c r="IHJ21" s="64"/>
      <c r="IHK21" s="64"/>
      <c r="IHL21" s="64"/>
      <c r="IHM21" s="64"/>
      <c r="IHN21" s="64"/>
      <c r="IHO21" s="64"/>
      <c r="IHP21" s="64"/>
      <c r="IHQ21" s="64"/>
      <c r="IHR21" s="64"/>
      <c r="IHS21" s="64"/>
      <c r="IHT21" s="64"/>
      <c r="IHU21" s="64"/>
      <c r="IHV21" s="64"/>
      <c r="IHW21" s="64"/>
      <c r="IHX21" s="64"/>
      <c r="IHY21" s="64"/>
      <c r="IHZ21" s="64"/>
      <c r="IIA21" s="64"/>
      <c r="IIB21" s="64"/>
      <c r="IIC21" s="64"/>
      <c r="IID21" s="64"/>
      <c r="IIE21" s="64"/>
      <c r="IIF21" s="64"/>
      <c r="IIG21" s="64"/>
      <c r="IIH21" s="64"/>
      <c r="III21" s="64"/>
      <c r="IIJ21" s="64"/>
      <c r="IIK21" s="64"/>
      <c r="IIL21" s="64"/>
      <c r="IIM21" s="64"/>
      <c r="IIN21" s="64"/>
      <c r="IIO21" s="64"/>
      <c r="IIP21" s="64"/>
      <c r="IIQ21" s="64"/>
      <c r="IIR21" s="64"/>
      <c r="IIS21" s="64"/>
      <c r="IIT21" s="64"/>
      <c r="IIU21" s="64"/>
      <c r="IIV21" s="64"/>
      <c r="IIW21" s="64"/>
      <c r="IIX21" s="64"/>
      <c r="IIY21" s="64"/>
      <c r="IIZ21" s="64"/>
      <c r="IJA21" s="64"/>
      <c r="IJB21" s="64"/>
      <c r="IJC21" s="64"/>
      <c r="IJD21" s="64"/>
      <c r="IJE21" s="64"/>
      <c r="IJF21" s="64"/>
      <c r="IJG21" s="64"/>
      <c r="IJH21" s="64"/>
      <c r="IJI21" s="64"/>
      <c r="IJJ21" s="64"/>
      <c r="IJK21" s="64"/>
      <c r="IJL21" s="64"/>
      <c r="IJM21" s="64"/>
      <c r="IJN21" s="64"/>
      <c r="IJO21" s="64"/>
      <c r="IJP21" s="64"/>
      <c r="IJQ21" s="64"/>
      <c r="IJR21" s="64"/>
      <c r="IJS21" s="64"/>
      <c r="IJT21" s="64"/>
      <c r="IJU21" s="64"/>
      <c r="IJV21" s="64"/>
      <c r="IJW21" s="64"/>
      <c r="IJX21" s="64"/>
      <c r="IJY21" s="64"/>
      <c r="IJZ21" s="64"/>
      <c r="IKA21" s="64"/>
      <c r="IKB21" s="64"/>
      <c r="IKC21" s="64"/>
      <c r="IKD21" s="64"/>
      <c r="IKE21" s="64"/>
      <c r="IKF21" s="64"/>
      <c r="IKG21" s="64"/>
      <c r="IKH21" s="64"/>
      <c r="IKI21" s="64"/>
      <c r="IKJ21" s="64"/>
      <c r="IKK21" s="64"/>
      <c r="IKL21" s="64"/>
      <c r="IKM21" s="64"/>
      <c r="IKN21" s="64"/>
      <c r="IKO21" s="64"/>
      <c r="IKP21" s="64"/>
      <c r="IKQ21" s="64"/>
      <c r="IKR21" s="64"/>
      <c r="IKS21" s="64"/>
      <c r="IKT21" s="64"/>
      <c r="IKU21" s="64"/>
      <c r="IKV21" s="64"/>
      <c r="IKW21" s="64"/>
      <c r="IKX21" s="64"/>
      <c r="IKY21" s="64"/>
      <c r="IKZ21" s="64"/>
      <c r="ILA21" s="64"/>
      <c r="ILB21" s="64"/>
      <c r="ILC21" s="64"/>
      <c r="ILD21" s="64"/>
      <c r="ILE21" s="64"/>
      <c r="ILF21" s="64"/>
      <c r="ILG21" s="64"/>
      <c r="ILH21" s="64"/>
      <c r="ILI21" s="64"/>
      <c r="ILJ21" s="64"/>
      <c r="ILK21" s="64"/>
      <c r="ILL21" s="64"/>
      <c r="ILM21" s="64"/>
      <c r="ILN21" s="64"/>
      <c r="ILO21" s="64"/>
      <c r="ILP21" s="64"/>
      <c r="ILQ21" s="64"/>
      <c r="ILR21" s="64"/>
      <c r="ILS21" s="64"/>
      <c r="ILT21" s="64"/>
      <c r="ILU21" s="64"/>
      <c r="ILV21" s="64"/>
      <c r="ILW21" s="64"/>
      <c r="ILX21" s="64"/>
      <c r="ILY21" s="64"/>
      <c r="ILZ21" s="64"/>
      <c r="IMA21" s="64"/>
      <c r="IMB21" s="64"/>
      <c r="IMC21" s="64"/>
      <c r="IMD21" s="64"/>
      <c r="IME21" s="64"/>
      <c r="IMF21" s="64"/>
      <c r="IMG21" s="64"/>
      <c r="IMH21" s="64"/>
      <c r="IMI21" s="64"/>
      <c r="IMJ21" s="64"/>
      <c r="IMK21" s="64"/>
      <c r="IML21" s="64"/>
      <c r="IMM21" s="64"/>
      <c r="IMN21" s="64"/>
      <c r="IMO21" s="64"/>
      <c r="IMP21" s="64"/>
      <c r="IMQ21" s="64"/>
      <c r="IMR21" s="64"/>
      <c r="IMS21" s="64"/>
      <c r="IMT21" s="64"/>
      <c r="IMU21" s="64"/>
      <c r="IMV21" s="64"/>
      <c r="IMW21" s="64"/>
      <c r="IMX21" s="64"/>
      <c r="IMY21" s="64"/>
      <c r="IMZ21" s="64"/>
      <c r="INA21" s="64"/>
      <c r="INB21" s="64"/>
      <c r="INC21" s="64"/>
      <c r="IND21" s="64"/>
      <c r="INE21" s="64"/>
      <c r="INF21" s="64"/>
      <c r="ING21" s="64"/>
      <c r="INH21" s="64"/>
      <c r="INI21" s="64"/>
      <c r="INJ21" s="64"/>
      <c r="INK21" s="64"/>
      <c r="INL21" s="64"/>
      <c r="INM21" s="64"/>
      <c r="INN21" s="64"/>
      <c r="INO21" s="64"/>
      <c r="INP21" s="64"/>
      <c r="INQ21" s="64"/>
      <c r="INR21" s="64"/>
      <c r="INS21" s="64"/>
      <c r="INT21" s="64"/>
      <c r="INU21" s="64"/>
      <c r="INV21" s="64"/>
      <c r="INW21" s="64"/>
      <c r="INX21" s="64"/>
      <c r="INY21" s="64"/>
      <c r="INZ21" s="64"/>
      <c r="IOA21" s="64"/>
      <c r="IOB21" s="64"/>
      <c r="IOC21" s="64"/>
      <c r="IOD21" s="64"/>
      <c r="IOE21" s="64"/>
      <c r="IOF21" s="64"/>
      <c r="IOG21" s="64"/>
      <c r="IOH21" s="64"/>
      <c r="IOI21" s="64"/>
      <c r="IOJ21" s="64"/>
      <c r="IOK21" s="64"/>
      <c r="IOL21" s="64"/>
      <c r="IOM21" s="64"/>
      <c r="ION21" s="64"/>
      <c r="IOO21" s="64"/>
      <c r="IOP21" s="64"/>
      <c r="IOQ21" s="64"/>
      <c r="IOR21" s="64"/>
      <c r="IOS21" s="64"/>
      <c r="IOT21" s="64"/>
      <c r="IOU21" s="64"/>
      <c r="IOV21" s="64"/>
      <c r="IOW21" s="64"/>
      <c r="IOX21" s="64"/>
      <c r="IOY21" s="64"/>
      <c r="IOZ21" s="64"/>
      <c r="IPA21" s="64"/>
      <c r="IPB21" s="64"/>
      <c r="IPC21" s="64"/>
      <c r="IPD21" s="64"/>
      <c r="IPE21" s="64"/>
      <c r="IPF21" s="64"/>
      <c r="IPG21" s="64"/>
      <c r="IPH21" s="64"/>
      <c r="IPI21" s="64"/>
      <c r="IPJ21" s="64"/>
      <c r="IPK21" s="64"/>
      <c r="IPL21" s="64"/>
      <c r="IPM21" s="64"/>
      <c r="IPN21" s="64"/>
      <c r="IPO21" s="64"/>
      <c r="IPP21" s="64"/>
      <c r="IPQ21" s="64"/>
      <c r="IPR21" s="64"/>
      <c r="IPS21" s="64"/>
      <c r="IPT21" s="64"/>
      <c r="IPU21" s="64"/>
      <c r="IPV21" s="64"/>
      <c r="IPW21" s="64"/>
      <c r="IPX21" s="64"/>
      <c r="IPY21" s="64"/>
      <c r="IPZ21" s="64"/>
      <c r="IQA21" s="64"/>
      <c r="IQB21" s="64"/>
      <c r="IQC21" s="64"/>
      <c r="IQD21" s="64"/>
      <c r="IQE21" s="64"/>
      <c r="IQF21" s="64"/>
      <c r="IQG21" s="64"/>
      <c r="IQH21" s="64"/>
      <c r="IQI21" s="64"/>
      <c r="IQJ21" s="64"/>
      <c r="IQK21" s="64"/>
      <c r="IQL21" s="64"/>
      <c r="IQM21" s="64"/>
      <c r="IQN21" s="64"/>
      <c r="IQO21" s="64"/>
      <c r="IQP21" s="64"/>
      <c r="IQQ21" s="64"/>
      <c r="IQR21" s="64"/>
      <c r="IQS21" s="64"/>
      <c r="IQT21" s="64"/>
      <c r="IQU21" s="64"/>
      <c r="IQV21" s="64"/>
      <c r="IQW21" s="64"/>
      <c r="IQX21" s="64"/>
      <c r="IQY21" s="64"/>
      <c r="IQZ21" s="64"/>
      <c r="IRA21" s="64"/>
      <c r="IRB21" s="64"/>
      <c r="IRC21" s="64"/>
      <c r="IRD21" s="64"/>
      <c r="IRE21" s="64"/>
      <c r="IRF21" s="64"/>
      <c r="IRG21" s="64"/>
      <c r="IRH21" s="64"/>
      <c r="IRI21" s="64"/>
      <c r="IRJ21" s="64"/>
      <c r="IRK21" s="64"/>
      <c r="IRL21" s="64"/>
      <c r="IRM21" s="64"/>
      <c r="IRN21" s="64"/>
      <c r="IRO21" s="64"/>
      <c r="IRP21" s="64"/>
      <c r="IRQ21" s="64"/>
      <c r="IRR21" s="64"/>
      <c r="IRS21" s="64"/>
      <c r="IRT21" s="64"/>
      <c r="IRU21" s="64"/>
      <c r="IRV21" s="64"/>
      <c r="IRW21" s="64"/>
      <c r="IRX21" s="64"/>
      <c r="IRY21" s="64"/>
      <c r="IRZ21" s="64"/>
      <c r="ISA21" s="64"/>
      <c r="ISB21" s="64"/>
      <c r="ISC21" s="64"/>
      <c r="ISD21" s="64"/>
      <c r="ISE21" s="64"/>
      <c r="ISF21" s="64"/>
      <c r="ISG21" s="64"/>
      <c r="ISH21" s="64"/>
      <c r="ISI21" s="64"/>
      <c r="ISJ21" s="64"/>
      <c r="ISK21" s="64"/>
      <c r="ISL21" s="64"/>
      <c r="ISM21" s="64"/>
      <c r="ISN21" s="64"/>
      <c r="ISO21" s="64"/>
      <c r="ISP21" s="64"/>
      <c r="ISQ21" s="64"/>
      <c r="ISR21" s="64"/>
      <c r="ISS21" s="64"/>
      <c r="IST21" s="64"/>
      <c r="ISU21" s="64"/>
      <c r="ISV21" s="64"/>
      <c r="ISW21" s="64"/>
      <c r="ISX21" s="64"/>
      <c r="ISY21" s="64"/>
      <c r="ISZ21" s="64"/>
      <c r="ITA21" s="64"/>
      <c r="ITB21" s="64"/>
      <c r="ITC21" s="64"/>
      <c r="ITD21" s="64"/>
      <c r="ITE21" s="64"/>
      <c r="ITF21" s="64"/>
      <c r="ITG21" s="64"/>
      <c r="ITH21" s="64"/>
      <c r="ITI21" s="64"/>
      <c r="ITJ21" s="64"/>
      <c r="ITK21" s="64"/>
      <c r="ITL21" s="64"/>
      <c r="ITM21" s="64"/>
      <c r="ITN21" s="64"/>
      <c r="ITO21" s="64"/>
      <c r="ITP21" s="64"/>
      <c r="ITQ21" s="64"/>
      <c r="ITR21" s="64"/>
      <c r="ITS21" s="64"/>
      <c r="ITT21" s="64"/>
      <c r="ITU21" s="64"/>
      <c r="ITV21" s="64"/>
      <c r="ITW21" s="64"/>
      <c r="ITX21" s="64"/>
      <c r="ITY21" s="64"/>
      <c r="ITZ21" s="64"/>
      <c r="IUA21" s="64"/>
      <c r="IUB21" s="64"/>
      <c r="IUC21" s="64"/>
      <c r="IUD21" s="64"/>
      <c r="IUE21" s="64"/>
      <c r="IUF21" s="64"/>
      <c r="IUG21" s="64"/>
      <c r="IUH21" s="64"/>
      <c r="IUI21" s="64"/>
      <c r="IUJ21" s="64"/>
      <c r="IUK21" s="64"/>
      <c r="IUL21" s="64"/>
      <c r="IUM21" s="64"/>
      <c r="IUN21" s="64"/>
      <c r="IUO21" s="64"/>
      <c r="IUP21" s="64"/>
      <c r="IUQ21" s="64"/>
      <c r="IUR21" s="64"/>
      <c r="IUS21" s="64"/>
      <c r="IUT21" s="64"/>
      <c r="IUU21" s="64"/>
      <c r="IUV21" s="64"/>
      <c r="IUW21" s="64"/>
      <c r="IUX21" s="64"/>
      <c r="IUY21" s="64"/>
      <c r="IUZ21" s="64"/>
      <c r="IVA21" s="64"/>
      <c r="IVB21" s="64"/>
      <c r="IVC21" s="64"/>
      <c r="IVD21" s="64"/>
      <c r="IVE21" s="64"/>
      <c r="IVF21" s="64"/>
      <c r="IVG21" s="64"/>
      <c r="IVH21" s="64"/>
      <c r="IVI21" s="64"/>
      <c r="IVJ21" s="64"/>
      <c r="IVK21" s="64"/>
      <c r="IVL21" s="64"/>
      <c r="IVM21" s="64"/>
      <c r="IVN21" s="64"/>
      <c r="IVO21" s="64"/>
      <c r="IVP21" s="64"/>
      <c r="IVQ21" s="64"/>
      <c r="IVR21" s="64"/>
      <c r="IVS21" s="64"/>
      <c r="IVT21" s="64"/>
      <c r="IVU21" s="64"/>
      <c r="IVV21" s="64"/>
      <c r="IVW21" s="64"/>
      <c r="IVX21" s="64"/>
      <c r="IVY21" s="64"/>
      <c r="IVZ21" s="64"/>
      <c r="IWA21" s="64"/>
      <c r="IWB21" s="64"/>
      <c r="IWC21" s="64"/>
      <c r="IWD21" s="64"/>
      <c r="IWE21" s="64"/>
      <c r="IWF21" s="64"/>
      <c r="IWG21" s="64"/>
      <c r="IWH21" s="64"/>
      <c r="IWI21" s="64"/>
      <c r="IWJ21" s="64"/>
      <c r="IWK21" s="64"/>
      <c r="IWL21" s="64"/>
      <c r="IWM21" s="64"/>
      <c r="IWN21" s="64"/>
      <c r="IWO21" s="64"/>
      <c r="IWP21" s="64"/>
      <c r="IWQ21" s="64"/>
      <c r="IWR21" s="64"/>
      <c r="IWS21" s="64"/>
      <c r="IWT21" s="64"/>
      <c r="IWU21" s="64"/>
      <c r="IWV21" s="64"/>
      <c r="IWW21" s="64"/>
      <c r="IWX21" s="64"/>
      <c r="IWY21" s="64"/>
      <c r="IWZ21" s="64"/>
      <c r="IXA21" s="64"/>
      <c r="IXB21" s="64"/>
      <c r="IXC21" s="64"/>
      <c r="IXD21" s="64"/>
      <c r="IXE21" s="64"/>
      <c r="IXF21" s="64"/>
      <c r="IXG21" s="64"/>
      <c r="IXH21" s="64"/>
      <c r="IXI21" s="64"/>
      <c r="IXJ21" s="64"/>
      <c r="IXK21" s="64"/>
      <c r="IXL21" s="64"/>
      <c r="IXM21" s="64"/>
      <c r="IXN21" s="64"/>
      <c r="IXO21" s="64"/>
      <c r="IXP21" s="64"/>
      <c r="IXQ21" s="64"/>
      <c r="IXR21" s="64"/>
      <c r="IXS21" s="64"/>
      <c r="IXT21" s="64"/>
      <c r="IXU21" s="64"/>
      <c r="IXV21" s="64"/>
      <c r="IXW21" s="64"/>
      <c r="IXX21" s="64"/>
      <c r="IXY21" s="64"/>
      <c r="IXZ21" s="64"/>
      <c r="IYA21" s="64"/>
      <c r="IYB21" s="64"/>
      <c r="IYC21" s="64"/>
      <c r="IYD21" s="64"/>
      <c r="IYE21" s="64"/>
      <c r="IYF21" s="64"/>
      <c r="IYG21" s="64"/>
      <c r="IYH21" s="64"/>
      <c r="IYI21" s="64"/>
      <c r="IYJ21" s="64"/>
      <c r="IYK21" s="64"/>
      <c r="IYL21" s="64"/>
      <c r="IYM21" s="64"/>
      <c r="IYN21" s="64"/>
      <c r="IYO21" s="64"/>
      <c r="IYP21" s="64"/>
      <c r="IYQ21" s="64"/>
      <c r="IYR21" s="64"/>
      <c r="IYS21" s="64"/>
      <c r="IYT21" s="64"/>
      <c r="IYU21" s="64"/>
      <c r="IYV21" s="64"/>
      <c r="IYW21" s="64"/>
      <c r="IYX21" s="64"/>
      <c r="IYY21" s="64"/>
      <c r="IYZ21" s="64"/>
      <c r="IZA21" s="64"/>
      <c r="IZB21" s="64"/>
      <c r="IZC21" s="64"/>
      <c r="IZD21" s="64"/>
      <c r="IZE21" s="64"/>
      <c r="IZF21" s="64"/>
      <c r="IZG21" s="64"/>
      <c r="IZH21" s="64"/>
      <c r="IZI21" s="64"/>
      <c r="IZJ21" s="64"/>
      <c r="IZK21" s="64"/>
      <c r="IZL21" s="64"/>
      <c r="IZM21" s="64"/>
      <c r="IZN21" s="64"/>
      <c r="IZO21" s="64"/>
      <c r="IZP21" s="64"/>
      <c r="IZQ21" s="64"/>
      <c r="IZR21" s="64"/>
      <c r="IZS21" s="64"/>
      <c r="IZT21" s="64"/>
      <c r="IZU21" s="64"/>
      <c r="IZV21" s="64"/>
      <c r="IZW21" s="64"/>
      <c r="IZX21" s="64"/>
      <c r="IZY21" s="64"/>
      <c r="IZZ21" s="64"/>
      <c r="JAA21" s="64"/>
      <c r="JAB21" s="64"/>
      <c r="JAC21" s="64"/>
      <c r="JAD21" s="64"/>
      <c r="JAE21" s="64"/>
      <c r="JAF21" s="64"/>
      <c r="JAG21" s="64"/>
      <c r="JAH21" s="64"/>
      <c r="JAI21" s="64"/>
      <c r="JAJ21" s="64"/>
      <c r="JAK21" s="64"/>
      <c r="JAL21" s="64"/>
      <c r="JAM21" s="64"/>
      <c r="JAN21" s="64"/>
      <c r="JAO21" s="64"/>
      <c r="JAP21" s="64"/>
      <c r="JAQ21" s="64"/>
      <c r="JAR21" s="64"/>
      <c r="JAS21" s="64"/>
      <c r="JAT21" s="64"/>
      <c r="JAU21" s="64"/>
      <c r="JAV21" s="64"/>
      <c r="JAW21" s="64"/>
      <c r="JAX21" s="64"/>
      <c r="JAY21" s="64"/>
      <c r="JAZ21" s="64"/>
      <c r="JBA21" s="64"/>
      <c r="JBB21" s="64"/>
      <c r="JBC21" s="64"/>
      <c r="JBD21" s="64"/>
      <c r="JBE21" s="64"/>
      <c r="JBF21" s="64"/>
      <c r="JBG21" s="64"/>
      <c r="JBH21" s="64"/>
      <c r="JBI21" s="64"/>
      <c r="JBJ21" s="64"/>
      <c r="JBK21" s="64"/>
      <c r="JBL21" s="64"/>
      <c r="JBM21" s="64"/>
      <c r="JBN21" s="64"/>
      <c r="JBO21" s="64"/>
      <c r="JBP21" s="64"/>
      <c r="JBQ21" s="64"/>
      <c r="JBR21" s="64"/>
      <c r="JBS21" s="64"/>
      <c r="JBT21" s="64"/>
      <c r="JBU21" s="64"/>
      <c r="JBV21" s="64"/>
      <c r="JBW21" s="64"/>
      <c r="JBX21" s="64"/>
      <c r="JBY21" s="64"/>
      <c r="JBZ21" s="64"/>
      <c r="JCA21" s="64"/>
      <c r="JCB21" s="64"/>
      <c r="JCC21" s="64"/>
      <c r="JCD21" s="64"/>
      <c r="JCE21" s="64"/>
      <c r="JCF21" s="64"/>
      <c r="JCG21" s="64"/>
      <c r="JCH21" s="64"/>
      <c r="JCI21" s="64"/>
      <c r="JCJ21" s="64"/>
      <c r="JCK21" s="64"/>
      <c r="JCL21" s="64"/>
      <c r="JCM21" s="64"/>
      <c r="JCN21" s="64"/>
      <c r="JCO21" s="64"/>
      <c r="JCP21" s="64"/>
      <c r="JCQ21" s="64"/>
      <c r="JCR21" s="64"/>
      <c r="JCS21" s="64"/>
      <c r="JCT21" s="64"/>
      <c r="JCU21" s="64"/>
      <c r="JCV21" s="64"/>
      <c r="JCW21" s="64"/>
      <c r="JCX21" s="64"/>
      <c r="JCY21" s="64"/>
      <c r="JCZ21" s="64"/>
      <c r="JDA21" s="64"/>
      <c r="JDB21" s="64"/>
      <c r="JDC21" s="64"/>
      <c r="JDD21" s="64"/>
      <c r="JDE21" s="64"/>
      <c r="JDF21" s="64"/>
      <c r="JDG21" s="64"/>
      <c r="JDH21" s="64"/>
      <c r="JDI21" s="64"/>
      <c r="JDJ21" s="64"/>
      <c r="JDK21" s="64"/>
      <c r="JDL21" s="64"/>
      <c r="JDM21" s="64"/>
      <c r="JDN21" s="64"/>
      <c r="JDO21" s="64"/>
      <c r="JDP21" s="64"/>
      <c r="JDQ21" s="64"/>
      <c r="JDR21" s="64"/>
      <c r="JDS21" s="64"/>
      <c r="JDT21" s="64"/>
      <c r="JDU21" s="64"/>
      <c r="JDV21" s="64"/>
      <c r="JDW21" s="64"/>
      <c r="JDX21" s="64"/>
      <c r="JDY21" s="64"/>
      <c r="JDZ21" s="64"/>
      <c r="JEA21" s="64"/>
      <c r="JEB21" s="64"/>
      <c r="JEC21" s="64"/>
      <c r="JED21" s="64"/>
      <c r="JEE21" s="64"/>
      <c r="JEF21" s="64"/>
      <c r="JEG21" s="64"/>
      <c r="JEH21" s="64"/>
      <c r="JEI21" s="64"/>
      <c r="JEJ21" s="64"/>
      <c r="JEK21" s="64"/>
      <c r="JEL21" s="64"/>
      <c r="JEM21" s="64"/>
      <c r="JEN21" s="64"/>
      <c r="JEO21" s="64"/>
      <c r="JEP21" s="64"/>
      <c r="JEQ21" s="64"/>
      <c r="JER21" s="64"/>
      <c r="JES21" s="64"/>
      <c r="JET21" s="64"/>
      <c r="JEU21" s="64"/>
      <c r="JEV21" s="64"/>
      <c r="JEW21" s="64"/>
      <c r="JEX21" s="64"/>
      <c r="JEY21" s="64"/>
      <c r="JEZ21" s="64"/>
      <c r="JFA21" s="64"/>
      <c r="JFB21" s="64"/>
      <c r="JFC21" s="64"/>
      <c r="JFD21" s="64"/>
      <c r="JFE21" s="64"/>
      <c r="JFF21" s="64"/>
      <c r="JFG21" s="64"/>
      <c r="JFH21" s="64"/>
      <c r="JFI21" s="64"/>
      <c r="JFJ21" s="64"/>
      <c r="JFK21" s="64"/>
      <c r="JFL21" s="64"/>
      <c r="JFM21" s="64"/>
      <c r="JFN21" s="64"/>
      <c r="JFO21" s="64"/>
      <c r="JFP21" s="64"/>
      <c r="JFQ21" s="64"/>
      <c r="JFR21" s="64"/>
      <c r="JFS21" s="64"/>
      <c r="JFT21" s="64"/>
      <c r="JFU21" s="64"/>
      <c r="JFV21" s="64"/>
      <c r="JFW21" s="64"/>
      <c r="JFX21" s="64"/>
      <c r="JFY21" s="64"/>
      <c r="JFZ21" s="64"/>
      <c r="JGA21" s="64"/>
      <c r="JGB21" s="64"/>
      <c r="JGC21" s="64"/>
      <c r="JGD21" s="64"/>
      <c r="JGE21" s="64"/>
      <c r="JGF21" s="64"/>
      <c r="JGG21" s="64"/>
      <c r="JGH21" s="64"/>
      <c r="JGI21" s="64"/>
      <c r="JGJ21" s="64"/>
      <c r="JGK21" s="64"/>
      <c r="JGL21" s="64"/>
      <c r="JGM21" s="64"/>
      <c r="JGN21" s="64"/>
      <c r="JGO21" s="64"/>
      <c r="JGP21" s="64"/>
      <c r="JGQ21" s="64"/>
      <c r="JGR21" s="64"/>
      <c r="JGS21" s="64"/>
      <c r="JGT21" s="64"/>
      <c r="JGU21" s="64"/>
      <c r="JGV21" s="64"/>
      <c r="JGW21" s="64"/>
      <c r="JGX21" s="64"/>
      <c r="JGY21" s="64"/>
      <c r="JGZ21" s="64"/>
      <c r="JHA21" s="64"/>
      <c r="JHB21" s="64"/>
      <c r="JHC21" s="64"/>
      <c r="JHD21" s="64"/>
      <c r="JHE21" s="64"/>
      <c r="JHF21" s="64"/>
      <c r="JHG21" s="64"/>
      <c r="JHH21" s="64"/>
      <c r="JHI21" s="64"/>
      <c r="JHJ21" s="64"/>
      <c r="JHK21" s="64"/>
      <c r="JHL21" s="64"/>
      <c r="JHM21" s="64"/>
      <c r="JHN21" s="64"/>
      <c r="JHO21" s="64"/>
      <c r="JHP21" s="64"/>
      <c r="JHQ21" s="64"/>
      <c r="JHR21" s="64"/>
      <c r="JHS21" s="64"/>
      <c r="JHT21" s="64"/>
      <c r="JHU21" s="64"/>
      <c r="JHV21" s="64"/>
      <c r="JHW21" s="64"/>
      <c r="JHX21" s="64"/>
      <c r="JHY21" s="64"/>
      <c r="JHZ21" s="64"/>
      <c r="JIA21" s="64"/>
      <c r="JIB21" s="64"/>
      <c r="JIC21" s="64"/>
      <c r="JID21" s="64"/>
      <c r="JIE21" s="64"/>
      <c r="JIF21" s="64"/>
      <c r="JIG21" s="64"/>
      <c r="JIH21" s="64"/>
      <c r="JII21" s="64"/>
      <c r="JIJ21" s="64"/>
      <c r="JIK21" s="64"/>
      <c r="JIL21" s="64"/>
      <c r="JIM21" s="64"/>
      <c r="JIN21" s="64"/>
      <c r="JIO21" s="64"/>
      <c r="JIP21" s="64"/>
      <c r="JIQ21" s="64"/>
      <c r="JIR21" s="64"/>
      <c r="JIS21" s="64"/>
      <c r="JIT21" s="64"/>
      <c r="JIU21" s="64"/>
      <c r="JIV21" s="64"/>
      <c r="JIW21" s="64"/>
      <c r="JIX21" s="64"/>
      <c r="JIY21" s="64"/>
      <c r="JIZ21" s="64"/>
      <c r="JJA21" s="64"/>
      <c r="JJB21" s="64"/>
      <c r="JJC21" s="64"/>
      <c r="JJD21" s="64"/>
      <c r="JJE21" s="64"/>
      <c r="JJF21" s="64"/>
      <c r="JJG21" s="64"/>
      <c r="JJH21" s="64"/>
      <c r="JJI21" s="64"/>
      <c r="JJJ21" s="64"/>
      <c r="JJK21" s="64"/>
      <c r="JJL21" s="64"/>
      <c r="JJM21" s="64"/>
      <c r="JJN21" s="64"/>
      <c r="JJO21" s="64"/>
      <c r="JJP21" s="64"/>
      <c r="JJQ21" s="64"/>
      <c r="JJR21" s="64"/>
      <c r="JJS21" s="64"/>
      <c r="JJT21" s="64"/>
      <c r="JJU21" s="64"/>
      <c r="JJV21" s="64"/>
      <c r="JJW21" s="64"/>
      <c r="JJX21" s="64"/>
      <c r="JJY21" s="64"/>
      <c r="JJZ21" s="64"/>
      <c r="JKA21" s="64"/>
      <c r="JKB21" s="64"/>
      <c r="JKC21" s="64"/>
      <c r="JKD21" s="64"/>
      <c r="JKE21" s="64"/>
      <c r="JKF21" s="64"/>
      <c r="JKG21" s="64"/>
      <c r="JKH21" s="64"/>
      <c r="JKI21" s="64"/>
      <c r="JKJ21" s="64"/>
      <c r="JKK21" s="64"/>
      <c r="JKL21" s="64"/>
      <c r="JKM21" s="64"/>
      <c r="JKN21" s="64"/>
      <c r="JKO21" s="64"/>
      <c r="JKP21" s="64"/>
      <c r="JKQ21" s="64"/>
      <c r="JKR21" s="64"/>
      <c r="JKS21" s="64"/>
      <c r="JKT21" s="64"/>
      <c r="JKU21" s="64"/>
      <c r="JKV21" s="64"/>
      <c r="JKW21" s="64"/>
      <c r="JKX21" s="64"/>
      <c r="JKY21" s="64"/>
      <c r="JKZ21" s="64"/>
      <c r="JLA21" s="64"/>
      <c r="JLB21" s="64"/>
      <c r="JLC21" s="64"/>
      <c r="JLD21" s="64"/>
      <c r="JLE21" s="64"/>
      <c r="JLF21" s="64"/>
      <c r="JLG21" s="64"/>
      <c r="JLH21" s="64"/>
      <c r="JLI21" s="64"/>
      <c r="JLJ21" s="64"/>
      <c r="JLK21" s="64"/>
      <c r="JLL21" s="64"/>
      <c r="JLM21" s="64"/>
      <c r="JLN21" s="64"/>
      <c r="JLO21" s="64"/>
      <c r="JLP21" s="64"/>
      <c r="JLQ21" s="64"/>
      <c r="JLR21" s="64"/>
      <c r="JLS21" s="64"/>
      <c r="JLT21" s="64"/>
      <c r="JLU21" s="64"/>
      <c r="JLV21" s="64"/>
      <c r="JLW21" s="64"/>
      <c r="JLX21" s="64"/>
      <c r="JLY21" s="64"/>
      <c r="JLZ21" s="64"/>
      <c r="JMA21" s="64"/>
      <c r="JMB21" s="64"/>
      <c r="JMC21" s="64"/>
      <c r="JMD21" s="64"/>
      <c r="JME21" s="64"/>
      <c r="JMF21" s="64"/>
      <c r="JMG21" s="64"/>
      <c r="JMH21" s="64"/>
      <c r="JMI21" s="64"/>
      <c r="JMJ21" s="64"/>
      <c r="JMK21" s="64"/>
      <c r="JML21" s="64"/>
      <c r="JMM21" s="64"/>
      <c r="JMN21" s="64"/>
      <c r="JMO21" s="64"/>
      <c r="JMP21" s="64"/>
      <c r="JMQ21" s="64"/>
      <c r="JMR21" s="64"/>
      <c r="JMS21" s="64"/>
      <c r="JMT21" s="64"/>
      <c r="JMU21" s="64"/>
      <c r="JMV21" s="64"/>
      <c r="JMW21" s="64"/>
      <c r="JMX21" s="64"/>
      <c r="JMY21" s="64"/>
      <c r="JMZ21" s="64"/>
      <c r="JNA21" s="64"/>
      <c r="JNB21" s="64"/>
      <c r="JNC21" s="64"/>
      <c r="JND21" s="64"/>
      <c r="JNE21" s="64"/>
      <c r="JNF21" s="64"/>
      <c r="JNG21" s="64"/>
      <c r="JNH21" s="64"/>
      <c r="JNI21" s="64"/>
      <c r="JNJ21" s="64"/>
      <c r="JNK21" s="64"/>
      <c r="JNL21" s="64"/>
      <c r="JNM21" s="64"/>
      <c r="JNN21" s="64"/>
      <c r="JNO21" s="64"/>
      <c r="JNP21" s="64"/>
      <c r="JNQ21" s="64"/>
      <c r="JNR21" s="64"/>
      <c r="JNS21" s="64"/>
      <c r="JNT21" s="64"/>
      <c r="JNU21" s="64"/>
      <c r="JNV21" s="64"/>
      <c r="JNW21" s="64"/>
      <c r="JNX21" s="64"/>
      <c r="JNY21" s="64"/>
      <c r="JNZ21" s="64"/>
      <c r="JOA21" s="64"/>
      <c r="JOB21" s="64"/>
      <c r="JOC21" s="64"/>
      <c r="JOD21" s="64"/>
      <c r="JOE21" s="64"/>
      <c r="JOF21" s="64"/>
      <c r="JOG21" s="64"/>
      <c r="JOH21" s="64"/>
      <c r="JOI21" s="64"/>
      <c r="JOJ21" s="64"/>
      <c r="JOK21" s="64"/>
      <c r="JOL21" s="64"/>
      <c r="JOM21" s="64"/>
      <c r="JON21" s="64"/>
      <c r="JOO21" s="64"/>
      <c r="JOP21" s="64"/>
      <c r="JOQ21" s="64"/>
      <c r="JOR21" s="64"/>
      <c r="JOS21" s="64"/>
      <c r="JOT21" s="64"/>
      <c r="JOU21" s="64"/>
      <c r="JOV21" s="64"/>
      <c r="JOW21" s="64"/>
      <c r="JOX21" s="64"/>
      <c r="JOY21" s="64"/>
      <c r="JOZ21" s="64"/>
      <c r="JPA21" s="64"/>
      <c r="JPB21" s="64"/>
      <c r="JPC21" s="64"/>
      <c r="JPD21" s="64"/>
      <c r="JPE21" s="64"/>
      <c r="JPF21" s="64"/>
      <c r="JPG21" s="64"/>
      <c r="JPH21" s="64"/>
      <c r="JPI21" s="64"/>
      <c r="JPJ21" s="64"/>
      <c r="JPK21" s="64"/>
      <c r="JPL21" s="64"/>
      <c r="JPM21" s="64"/>
      <c r="JPN21" s="64"/>
      <c r="JPO21" s="64"/>
      <c r="JPP21" s="64"/>
      <c r="JPQ21" s="64"/>
      <c r="JPR21" s="64"/>
      <c r="JPS21" s="64"/>
      <c r="JPT21" s="64"/>
      <c r="JPU21" s="64"/>
      <c r="JPV21" s="64"/>
      <c r="JPW21" s="64"/>
      <c r="JPX21" s="64"/>
      <c r="JPY21" s="64"/>
      <c r="JPZ21" s="64"/>
      <c r="JQA21" s="64"/>
      <c r="JQB21" s="64"/>
      <c r="JQC21" s="64"/>
      <c r="JQD21" s="64"/>
      <c r="JQE21" s="64"/>
      <c r="JQF21" s="64"/>
      <c r="JQG21" s="64"/>
      <c r="JQH21" s="64"/>
      <c r="JQI21" s="64"/>
      <c r="JQJ21" s="64"/>
      <c r="JQK21" s="64"/>
      <c r="JQL21" s="64"/>
      <c r="JQM21" s="64"/>
      <c r="JQN21" s="64"/>
      <c r="JQO21" s="64"/>
      <c r="JQP21" s="64"/>
      <c r="JQQ21" s="64"/>
      <c r="JQR21" s="64"/>
      <c r="JQS21" s="64"/>
      <c r="JQT21" s="64"/>
      <c r="JQU21" s="64"/>
      <c r="JQV21" s="64"/>
      <c r="JQW21" s="64"/>
      <c r="JQX21" s="64"/>
      <c r="JQY21" s="64"/>
      <c r="JQZ21" s="64"/>
      <c r="JRA21" s="64"/>
      <c r="JRB21" s="64"/>
      <c r="JRC21" s="64"/>
      <c r="JRD21" s="64"/>
      <c r="JRE21" s="64"/>
      <c r="JRF21" s="64"/>
      <c r="JRG21" s="64"/>
      <c r="JRH21" s="64"/>
      <c r="JRI21" s="64"/>
      <c r="JRJ21" s="64"/>
      <c r="JRK21" s="64"/>
      <c r="JRL21" s="64"/>
      <c r="JRM21" s="64"/>
      <c r="JRN21" s="64"/>
      <c r="JRO21" s="64"/>
      <c r="JRP21" s="64"/>
      <c r="JRQ21" s="64"/>
      <c r="JRR21" s="64"/>
      <c r="JRS21" s="64"/>
      <c r="JRT21" s="64"/>
      <c r="JRU21" s="64"/>
      <c r="JRV21" s="64"/>
      <c r="JRW21" s="64"/>
      <c r="JRX21" s="64"/>
      <c r="JRY21" s="64"/>
      <c r="JRZ21" s="64"/>
      <c r="JSA21" s="64"/>
      <c r="JSB21" s="64"/>
      <c r="JSC21" s="64"/>
      <c r="JSD21" s="64"/>
      <c r="JSE21" s="64"/>
      <c r="JSF21" s="64"/>
      <c r="JSG21" s="64"/>
      <c r="JSH21" s="64"/>
      <c r="JSI21" s="64"/>
      <c r="JSJ21" s="64"/>
      <c r="JSK21" s="64"/>
      <c r="JSL21" s="64"/>
      <c r="JSM21" s="64"/>
      <c r="JSN21" s="64"/>
      <c r="JSO21" s="64"/>
      <c r="JSP21" s="64"/>
      <c r="JSQ21" s="64"/>
      <c r="JSR21" s="64"/>
      <c r="JSS21" s="64"/>
      <c r="JST21" s="64"/>
      <c r="JSU21" s="64"/>
      <c r="JSV21" s="64"/>
      <c r="JSW21" s="64"/>
      <c r="JSX21" s="64"/>
      <c r="JSY21" s="64"/>
      <c r="JSZ21" s="64"/>
      <c r="JTA21" s="64"/>
      <c r="JTB21" s="64"/>
      <c r="JTC21" s="64"/>
      <c r="JTD21" s="64"/>
      <c r="JTE21" s="64"/>
      <c r="JTF21" s="64"/>
      <c r="JTG21" s="64"/>
      <c r="JTH21" s="64"/>
      <c r="JTI21" s="64"/>
      <c r="JTJ21" s="64"/>
      <c r="JTK21" s="64"/>
      <c r="JTL21" s="64"/>
      <c r="JTM21" s="64"/>
      <c r="JTN21" s="64"/>
      <c r="JTO21" s="64"/>
      <c r="JTP21" s="64"/>
      <c r="JTQ21" s="64"/>
      <c r="JTR21" s="64"/>
      <c r="JTS21" s="64"/>
      <c r="JTT21" s="64"/>
      <c r="JTU21" s="64"/>
      <c r="JTV21" s="64"/>
      <c r="JTW21" s="64"/>
      <c r="JTX21" s="64"/>
      <c r="JTY21" s="64"/>
      <c r="JTZ21" s="64"/>
      <c r="JUA21" s="64"/>
      <c r="JUB21" s="64"/>
      <c r="JUC21" s="64"/>
      <c r="JUD21" s="64"/>
      <c r="JUE21" s="64"/>
      <c r="JUF21" s="64"/>
      <c r="JUG21" s="64"/>
      <c r="JUH21" s="64"/>
      <c r="JUI21" s="64"/>
      <c r="JUJ21" s="64"/>
      <c r="JUK21" s="64"/>
      <c r="JUL21" s="64"/>
      <c r="JUM21" s="64"/>
      <c r="JUN21" s="64"/>
      <c r="JUO21" s="64"/>
      <c r="JUP21" s="64"/>
      <c r="JUQ21" s="64"/>
      <c r="JUR21" s="64"/>
      <c r="JUS21" s="64"/>
      <c r="JUT21" s="64"/>
      <c r="JUU21" s="64"/>
      <c r="JUV21" s="64"/>
      <c r="JUW21" s="64"/>
      <c r="JUX21" s="64"/>
      <c r="JUY21" s="64"/>
      <c r="JUZ21" s="64"/>
      <c r="JVA21" s="64"/>
      <c r="JVB21" s="64"/>
      <c r="JVC21" s="64"/>
      <c r="JVD21" s="64"/>
      <c r="JVE21" s="64"/>
      <c r="JVF21" s="64"/>
      <c r="JVG21" s="64"/>
      <c r="JVH21" s="64"/>
      <c r="JVI21" s="64"/>
      <c r="JVJ21" s="64"/>
      <c r="JVK21" s="64"/>
      <c r="JVL21" s="64"/>
      <c r="JVM21" s="64"/>
      <c r="JVN21" s="64"/>
      <c r="JVO21" s="64"/>
      <c r="JVP21" s="64"/>
      <c r="JVQ21" s="64"/>
      <c r="JVR21" s="64"/>
      <c r="JVS21" s="64"/>
      <c r="JVT21" s="64"/>
      <c r="JVU21" s="64"/>
      <c r="JVV21" s="64"/>
      <c r="JVW21" s="64"/>
      <c r="JVX21" s="64"/>
      <c r="JVY21" s="64"/>
      <c r="JVZ21" s="64"/>
      <c r="JWA21" s="64"/>
      <c r="JWB21" s="64"/>
      <c r="JWC21" s="64"/>
      <c r="JWD21" s="64"/>
      <c r="JWE21" s="64"/>
      <c r="JWF21" s="64"/>
      <c r="JWG21" s="64"/>
      <c r="JWH21" s="64"/>
      <c r="JWI21" s="64"/>
      <c r="JWJ21" s="64"/>
      <c r="JWK21" s="64"/>
      <c r="JWL21" s="64"/>
      <c r="JWM21" s="64"/>
      <c r="JWN21" s="64"/>
      <c r="JWO21" s="64"/>
      <c r="JWP21" s="64"/>
      <c r="JWQ21" s="64"/>
      <c r="JWR21" s="64"/>
      <c r="JWS21" s="64"/>
      <c r="JWT21" s="64"/>
      <c r="JWU21" s="64"/>
      <c r="JWV21" s="64"/>
      <c r="JWW21" s="64"/>
      <c r="JWX21" s="64"/>
      <c r="JWY21" s="64"/>
      <c r="JWZ21" s="64"/>
      <c r="JXA21" s="64"/>
      <c r="JXB21" s="64"/>
      <c r="JXC21" s="64"/>
      <c r="JXD21" s="64"/>
      <c r="JXE21" s="64"/>
      <c r="JXF21" s="64"/>
      <c r="JXG21" s="64"/>
      <c r="JXH21" s="64"/>
      <c r="JXI21" s="64"/>
      <c r="JXJ21" s="64"/>
      <c r="JXK21" s="64"/>
      <c r="JXL21" s="64"/>
      <c r="JXM21" s="64"/>
      <c r="JXN21" s="64"/>
      <c r="JXO21" s="64"/>
      <c r="JXP21" s="64"/>
      <c r="JXQ21" s="64"/>
      <c r="JXR21" s="64"/>
      <c r="JXS21" s="64"/>
      <c r="JXT21" s="64"/>
      <c r="JXU21" s="64"/>
      <c r="JXV21" s="64"/>
      <c r="JXW21" s="64"/>
      <c r="JXX21" s="64"/>
      <c r="JXY21" s="64"/>
      <c r="JXZ21" s="64"/>
      <c r="JYA21" s="64"/>
      <c r="JYB21" s="64"/>
      <c r="JYC21" s="64"/>
      <c r="JYD21" s="64"/>
      <c r="JYE21" s="64"/>
      <c r="JYF21" s="64"/>
      <c r="JYG21" s="64"/>
      <c r="JYH21" s="64"/>
      <c r="JYI21" s="64"/>
      <c r="JYJ21" s="64"/>
      <c r="JYK21" s="64"/>
      <c r="JYL21" s="64"/>
      <c r="JYM21" s="64"/>
      <c r="JYN21" s="64"/>
      <c r="JYO21" s="64"/>
      <c r="JYP21" s="64"/>
      <c r="JYQ21" s="64"/>
      <c r="JYR21" s="64"/>
      <c r="JYS21" s="64"/>
      <c r="JYT21" s="64"/>
      <c r="JYU21" s="64"/>
      <c r="JYV21" s="64"/>
      <c r="JYW21" s="64"/>
      <c r="JYX21" s="64"/>
      <c r="JYY21" s="64"/>
      <c r="JYZ21" s="64"/>
      <c r="JZA21" s="64"/>
      <c r="JZB21" s="64"/>
      <c r="JZC21" s="64"/>
      <c r="JZD21" s="64"/>
      <c r="JZE21" s="64"/>
      <c r="JZF21" s="64"/>
      <c r="JZG21" s="64"/>
      <c r="JZH21" s="64"/>
      <c r="JZI21" s="64"/>
      <c r="JZJ21" s="64"/>
      <c r="JZK21" s="64"/>
      <c r="JZL21" s="64"/>
      <c r="JZM21" s="64"/>
      <c r="JZN21" s="64"/>
      <c r="JZO21" s="64"/>
      <c r="JZP21" s="64"/>
      <c r="JZQ21" s="64"/>
      <c r="JZR21" s="64"/>
      <c r="JZS21" s="64"/>
      <c r="JZT21" s="64"/>
      <c r="JZU21" s="64"/>
      <c r="JZV21" s="64"/>
      <c r="JZW21" s="64"/>
      <c r="JZX21" s="64"/>
      <c r="JZY21" s="64"/>
      <c r="JZZ21" s="64"/>
      <c r="KAA21" s="64"/>
      <c r="KAB21" s="64"/>
      <c r="KAC21" s="64"/>
      <c r="KAD21" s="64"/>
      <c r="KAE21" s="64"/>
      <c r="KAF21" s="64"/>
      <c r="KAG21" s="64"/>
      <c r="KAH21" s="64"/>
      <c r="KAI21" s="64"/>
      <c r="KAJ21" s="64"/>
      <c r="KAK21" s="64"/>
      <c r="KAL21" s="64"/>
      <c r="KAM21" s="64"/>
      <c r="KAN21" s="64"/>
      <c r="KAO21" s="64"/>
      <c r="KAP21" s="64"/>
      <c r="KAQ21" s="64"/>
      <c r="KAR21" s="64"/>
      <c r="KAS21" s="64"/>
      <c r="KAT21" s="64"/>
      <c r="KAU21" s="64"/>
      <c r="KAV21" s="64"/>
      <c r="KAW21" s="64"/>
      <c r="KAX21" s="64"/>
      <c r="KAY21" s="64"/>
      <c r="KAZ21" s="64"/>
      <c r="KBA21" s="64"/>
      <c r="KBB21" s="64"/>
      <c r="KBC21" s="64"/>
      <c r="KBD21" s="64"/>
      <c r="KBE21" s="64"/>
      <c r="KBF21" s="64"/>
      <c r="KBG21" s="64"/>
      <c r="KBH21" s="64"/>
      <c r="KBI21" s="64"/>
      <c r="KBJ21" s="64"/>
      <c r="KBK21" s="64"/>
      <c r="KBL21" s="64"/>
      <c r="KBM21" s="64"/>
      <c r="KBN21" s="64"/>
      <c r="KBO21" s="64"/>
      <c r="KBP21" s="64"/>
      <c r="KBQ21" s="64"/>
      <c r="KBR21" s="64"/>
      <c r="KBS21" s="64"/>
      <c r="KBT21" s="64"/>
      <c r="KBU21" s="64"/>
      <c r="KBV21" s="64"/>
      <c r="KBW21" s="64"/>
      <c r="KBX21" s="64"/>
      <c r="KBY21" s="64"/>
      <c r="KBZ21" s="64"/>
      <c r="KCA21" s="64"/>
      <c r="KCB21" s="64"/>
      <c r="KCC21" s="64"/>
      <c r="KCD21" s="64"/>
      <c r="KCE21" s="64"/>
      <c r="KCF21" s="64"/>
      <c r="KCG21" s="64"/>
      <c r="KCH21" s="64"/>
      <c r="KCI21" s="64"/>
      <c r="KCJ21" s="64"/>
      <c r="KCK21" s="64"/>
      <c r="KCL21" s="64"/>
      <c r="KCM21" s="64"/>
      <c r="KCN21" s="64"/>
      <c r="KCO21" s="64"/>
      <c r="KCP21" s="64"/>
      <c r="KCQ21" s="64"/>
      <c r="KCR21" s="64"/>
      <c r="KCS21" s="64"/>
      <c r="KCT21" s="64"/>
      <c r="KCU21" s="64"/>
      <c r="KCV21" s="64"/>
      <c r="KCW21" s="64"/>
      <c r="KCX21" s="64"/>
      <c r="KCY21" s="64"/>
      <c r="KCZ21" s="64"/>
      <c r="KDA21" s="64"/>
      <c r="KDB21" s="64"/>
      <c r="KDC21" s="64"/>
      <c r="KDD21" s="64"/>
      <c r="KDE21" s="64"/>
      <c r="KDF21" s="64"/>
      <c r="KDG21" s="64"/>
      <c r="KDH21" s="64"/>
      <c r="KDI21" s="64"/>
      <c r="KDJ21" s="64"/>
      <c r="KDK21" s="64"/>
      <c r="KDL21" s="64"/>
      <c r="KDM21" s="64"/>
      <c r="KDN21" s="64"/>
      <c r="KDO21" s="64"/>
      <c r="KDP21" s="64"/>
      <c r="KDQ21" s="64"/>
      <c r="KDR21" s="64"/>
      <c r="KDS21" s="64"/>
      <c r="KDT21" s="64"/>
      <c r="KDU21" s="64"/>
      <c r="KDV21" s="64"/>
      <c r="KDW21" s="64"/>
      <c r="KDX21" s="64"/>
      <c r="KDY21" s="64"/>
      <c r="KDZ21" s="64"/>
      <c r="KEA21" s="64"/>
      <c r="KEB21" s="64"/>
      <c r="KEC21" s="64"/>
      <c r="KED21" s="64"/>
      <c r="KEE21" s="64"/>
      <c r="KEF21" s="64"/>
      <c r="KEG21" s="64"/>
      <c r="KEH21" s="64"/>
      <c r="KEI21" s="64"/>
      <c r="KEJ21" s="64"/>
      <c r="KEK21" s="64"/>
      <c r="KEL21" s="64"/>
      <c r="KEM21" s="64"/>
      <c r="KEN21" s="64"/>
      <c r="KEO21" s="64"/>
      <c r="KEP21" s="64"/>
      <c r="KEQ21" s="64"/>
      <c r="KER21" s="64"/>
      <c r="KES21" s="64"/>
      <c r="KET21" s="64"/>
      <c r="KEU21" s="64"/>
      <c r="KEV21" s="64"/>
      <c r="KEW21" s="64"/>
      <c r="KEX21" s="64"/>
      <c r="KEY21" s="64"/>
      <c r="KEZ21" s="64"/>
      <c r="KFA21" s="64"/>
      <c r="KFB21" s="64"/>
      <c r="KFC21" s="64"/>
      <c r="KFD21" s="64"/>
      <c r="KFE21" s="64"/>
      <c r="KFF21" s="64"/>
      <c r="KFG21" s="64"/>
      <c r="KFH21" s="64"/>
      <c r="KFI21" s="64"/>
      <c r="KFJ21" s="64"/>
      <c r="KFK21" s="64"/>
      <c r="KFL21" s="64"/>
      <c r="KFM21" s="64"/>
      <c r="KFN21" s="64"/>
      <c r="KFO21" s="64"/>
      <c r="KFP21" s="64"/>
      <c r="KFQ21" s="64"/>
      <c r="KFR21" s="64"/>
      <c r="KFS21" s="64"/>
      <c r="KFT21" s="64"/>
      <c r="KFU21" s="64"/>
      <c r="KFV21" s="64"/>
      <c r="KFW21" s="64"/>
      <c r="KFX21" s="64"/>
      <c r="KFY21" s="64"/>
      <c r="KFZ21" s="64"/>
      <c r="KGA21" s="64"/>
      <c r="KGB21" s="64"/>
      <c r="KGC21" s="64"/>
      <c r="KGD21" s="64"/>
      <c r="KGE21" s="64"/>
      <c r="KGF21" s="64"/>
      <c r="KGG21" s="64"/>
      <c r="KGH21" s="64"/>
      <c r="KGI21" s="64"/>
      <c r="KGJ21" s="64"/>
      <c r="KGK21" s="64"/>
      <c r="KGL21" s="64"/>
      <c r="KGM21" s="64"/>
      <c r="KGN21" s="64"/>
      <c r="KGO21" s="64"/>
      <c r="KGP21" s="64"/>
      <c r="KGQ21" s="64"/>
      <c r="KGR21" s="64"/>
      <c r="KGS21" s="64"/>
      <c r="KGT21" s="64"/>
      <c r="KGU21" s="64"/>
      <c r="KGV21" s="64"/>
      <c r="KGW21" s="64"/>
      <c r="KGX21" s="64"/>
      <c r="KGY21" s="64"/>
      <c r="KGZ21" s="64"/>
      <c r="KHA21" s="64"/>
      <c r="KHB21" s="64"/>
      <c r="KHC21" s="64"/>
      <c r="KHD21" s="64"/>
      <c r="KHE21" s="64"/>
      <c r="KHF21" s="64"/>
      <c r="KHG21" s="64"/>
      <c r="KHH21" s="64"/>
      <c r="KHI21" s="64"/>
      <c r="KHJ21" s="64"/>
      <c r="KHK21" s="64"/>
      <c r="KHL21" s="64"/>
      <c r="KHM21" s="64"/>
      <c r="KHN21" s="64"/>
      <c r="KHO21" s="64"/>
      <c r="KHP21" s="64"/>
      <c r="KHQ21" s="64"/>
      <c r="KHR21" s="64"/>
      <c r="KHS21" s="64"/>
      <c r="KHT21" s="64"/>
      <c r="KHU21" s="64"/>
      <c r="KHV21" s="64"/>
      <c r="KHW21" s="64"/>
      <c r="KHX21" s="64"/>
      <c r="KHY21" s="64"/>
      <c r="KHZ21" s="64"/>
      <c r="KIA21" s="64"/>
      <c r="KIB21" s="64"/>
      <c r="KIC21" s="64"/>
      <c r="KID21" s="64"/>
      <c r="KIE21" s="64"/>
      <c r="KIF21" s="64"/>
      <c r="KIG21" s="64"/>
      <c r="KIH21" s="64"/>
      <c r="KII21" s="64"/>
      <c r="KIJ21" s="64"/>
      <c r="KIK21" s="64"/>
      <c r="KIL21" s="64"/>
      <c r="KIM21" s="64"/>
      <c r="KIN21" s="64"/>
      <c r="KIO21" s="64"/>
      <c r="KIP21" s="64"/>
      <c r="KIQ21" s="64"/>
      <c r="KIR21" s="64"/>
      <c r="KIS21" s="64"/>
      <c r="KIT21" s="64"/>
      <c r="KIU21" s="64"/>
      <c r="KIV21" s="64"/>
      <c r="KIW21" s="64"/>
      <c r="KIX21" s="64"/>
      <c r="KIY21" s="64"/>
      <c r="KIZ21" s="64"/>
      <c r="KJA21" s="64"/>
      <c r="KJB21" s="64"/>
      <c r="KJC21" s="64"/>
      <c r="KJD21" s="64"/>
      <c r="KJE21" s="64"/>
      <c r="KJF21" s="64"/>
      <c r="KJG21" s="64"/>
      <c r="KJH21" s="64"/>
      <c r="KJI21" s="64"/>
      <c r="KJJ21" s="64"/>
      <c r="KJK21" s="64"/>
      <c r="KJL21" s="64"/>
      <c r="KJM21" s="64"/>
      <c r="KJN21" s="64"/>
      <c r="KJO21" s="64"/>
      <c r="KJP21" s="64"/>
      <c r="KJQ21" s="64"/>
      <c r="KJR21" s="64"/>
      <c r="KJS21" s="64"/>
      <c r="KJT21" s="64"/>
      <c r="KJU21" s="64"/>
      <c r="KJV21" s="64"/>
      <c r="KJW21" s="64"/>
      <c r="KJX21" s="64"/>
      <c r="KJY21" s="64"/>
      <c r="KJZ21" s="64"/>
      <c r="KKA21" s="64"/>
      <c r="KKB21" s="64"/>
      <c r="KKC21" s="64"/>
      <c r="KKD21" s="64"/>
      <c r="KKE21" s="64"/>
      <c r="KKF21" s="64"/>
      <c r="KKG21" s="64"/>
      <c r="KKH21" s="64"/>
      <c r="KKI21" s="64"/>
      <c r="KKJ21" s="64"/>
      <c r="KKK21" s="64"/>
      <c r="KKL21" s="64"/>
      <c r="KKM21" s="64"/>
      <c r="KKN21" s="64"/>
      <c r="KKO21" s="64"/>
      <c r="KKP21" s="64"/>
      <c r="KKQ21" s="64"/>
      <c r="KKR21" s="64"/>
      <c r="KKS21" s="64"/>
      <c r="KKT21" s="64"/>
      <c r="KKU21" s="64"/>
      <c r="KKV21" s="64"/>
      <c r="KKW21" s="64"/>
      <c r="KKX21" s="64"/>
      <c r="KKY21" s="64"/>
      <c r="KKZ21" s="64"/>
      <c r="KLA21" s="64"/>
      <c r="KLB21" s="64"/>
      <c r="KLC21" s="64"/>
      <c r="KLD21" s="64"/>
      <c r="KLE21" s="64"/>
      <c r="KLF21" s="64"/>
      <c r="KLG21" s="64"/>
      <c r="KLH21" s="64"/>
      <c r="KLI21" s="64"/>
      <c r="KLJ21" s="64"/>
      <c r="KLK21" s="64"/>
      <c r="KLL21" s="64"/>
      <c r="KLM21" s="64"/>
      <c r="KLN21" s="64"/>
      <c r="KLO21" s="64"/>
      <c r="KLP21" s="64"/>
      <c r="KLQ21" s="64"/>
      <c r="KLR21" s="64"/>
      <c r="KLS21" s="64"/>
      <c r="KLT21" s="64"/>
      <c r="KLU21" s="64"/>
      <c r="KLV21" s="64"/>
      <c r="KLW21" s="64"/>
      <c r="KLX21" s="64"/>
      <c r="KLY21" s="64"/>
      <c r="KLZ21" s="64"/>
      <c r="KMA21" s="64"/>
      <c r="KMB21" s="64"/>
      <c r="KMC21" s="64"/>
      <c r="KMD21" s="64"/>
      <c r="KME21" s="64"/>
      <c r="KMF21" s="64"/>
      <c r="KMG21" s="64"/>
      <c r="KMH21" s="64"/>
      <c r="KMI21" s="64"/>
      <c r="KMJ21" s="64"/>
      <c r="KMK21" s="64"/>
      <c r="KML21" s="64"/>
      <c r="KMM21" s="64"/>
      <c r="KMN21" s="64"/>
      <c r="KMO21" s="64"/>
      <c r="KMP21" s="64"/>
      <c r="KMQ21" s="64"/>
      <c r="KMR21" s="64"/>
      <c r="KMS21" s="64"/>
      <c r="KMT21" s="64"/>
      <c r="KMU21" s="64"/>
      <c r="KMV21" s="64"/>
      <c r="KMW21" s="64"/>
      <c r="KMX21" s="64"/>
      <c r="KMY21" s="64"/>
      <c r="KMZ21" s="64"/>
      <c r="KNA21" s="64"/>
      <c r="KNB21" s="64"/>
      <c r="KNC21" s="64"/>
      <c r="KND21" s="64"/>
      <c r="KNE21" s="64"/>
      <c r="KNF21" s="64"/>
      <c r="KNG21" s="64"/>
      <c r="KNH21" s="64"/>
      <c r="KNI21" s="64"/>
      <c r="KNJ21" s="64"/>
      <c r="KNK21" s="64"/>
      <c r="KNL21" s="64"/>
      <c r="KNM21" s="64"/>
      <c r="KNN21" s="64"/>
      <c r="KNO21" s="64"/>
      <c r="KNP21" s="64"/>
      <c r="KNQ21" s="64"/>
      <c r="KNR21" s="64"/>
      <c r="KNS21" s="64"/>
      <c r="KNT21" s="64"/>
      <c r="KNU21" s="64"/>
      <c r="KNV21" s="64"/>
      <c r="KNW21" s="64"/>
      <c r="KNX21" s="64"/>
      <c r="KNY21" s="64"/>
      <c r="KNZ21" s="64"/>
      <c r="KOA21" s="64"/>
      <c r="KOB21" s="64"/>
      <c r="KOC21" s="64"/>
      <c r="KOD21" s="64"/>
      <c r="KOE21" s="64"/>
      <c r="KOF21" s="64"/>
      <c r="KOG21" s="64"/>
      <c r="KOH21" s="64"/>
      <c r="KOI21" s="64"/>
      <c r="KOJ21" s="64"/>
      <c r="KOK21" s="64"/>
      <c r="KOL21" s="64"/>
      <c r="KOM21" s="64"/>
      <c r="KON21" s="64"/>
      <c r="KOO21" s="64"/>
      <c r="KOP21" s="64"/>
      <c r="KOQ21" s="64"/>
      <c r="KOR21" s="64"/>
      <c r="KOS21" s="64"/>
      <c r="KOT21" s="64"/>
      <c r="KOU21" s="64"/>
      <c r="KOV21" s="64"/>
      <c r="KOW21" s="64"/>
      <c r="KOX21" s="64"/>
      <c r="KOY21" s="64"/>
      <c r="KOZ21" s="64"/>
      <c r="KPA21" s="64"/>
      <c r="KPB21" s="64"/>
      <c r="KPC21" s="64"/>
      <c r="KPD21" s="64"/>
      <c r="KPE21" s="64"/>
      <c r="KPF21" s="64"/>
      <c r="KPG21" s="64"/>
      <c r="KPH21" s="64"/>
      <c r="KPI21" s="64"/>
      <c r="KPJ21" s="64"/>
      <c r="KPK21" s="64"/>
      <c r="KPL21" s="64"/>
      <c r="KPM21" s="64"/>
      <c r="KPN21" s="64"/>
      <c r="KPO21" s="64"/>
      <c r="KPP21" s="64"/>
      <c r="KPQ21" s="64"/>
      <c r="KPR21" s="64"/>
      <c r="KPS21" s="64"/>
      <c r="KPT21" s="64"/>
      <c r="KPU21" s="64"/>
      <c r="KPV21" s="64"/>
      <c r="KPW21" s="64"/>
      <c r="KPX21" s="64"/>
      <c r="KPY21" s="64"/>
      <c r="KPZ21" s="64"/>
      <c r="KQA21" s="64"/>
      <c r="KQB21" s="64"/>
      <c r="KQC21" s="64"/>
      <c r="KQD21" s="64"/>
      <c r="KQE21" s="64"/>
      <c r="KQF21" s="64"/>
      <c r="KQG21" s="64"/>
      <c r="KQH21" s="64"/>
      <c r="KQI21" s="64"/>
      <c r="KQJ21" s="64"/>
      <c r="KQK21" s="64"/>
      <c r="KQL21" s="64"/>
      <c r="KQM21" s="64"/>
      <c r="KQN21" s="64"/>
      <c r="KQO21" s="64"/>
      <c r="KQP21" s="64"/>
      <c r="KQQ21" s="64"/>
      <c r="KQR21" s="64"/>
      <c r="KQS21" s="64"/>
      <c r="KQT21" s="64"/>
      <c r="KQU21" s="64"/>
      <c r="KQV21" s="64"/>
      <c r="KQW21" s="64"/>
      <c r="KQX21" s="64"/>
      <c r="KQY21" s="64"/>
      <c r="KQZ21" s="64"/>
      <c r="KRA21" s="64"/>
      <c r="KRB21" s="64"/>
      <c r="KRC21" s="64"/>
      <c r="KRD21" s="64"/>
      <c r="KRE21" s="64"/>
      <c r="KRF21" s="64"/>
      <c r="KRG21" s="64"/>
      <c r="KRH21" s="64"/>
      <c r="KRI21" s="64"/>
      <c r="KRJ21" s="64"/>
      <c r="KRK21" s="64"/>
      <c r="KRL21" s="64"/>
      <c r="KRM21" s="64"/>
      <c r="KRN21" s="64"/>
      <c r="KRO21" s="64"/>
      <c r="KRP21" s="64"/>
      <c r="KRQ21" s="64"/>
      <c r="KRR21" s="64"/>
      <c r="KRS21" s="64"/>
      <c r="KRT21" s="64"/>
      <c r="KRU21" s="64"/>
      <c r="KRV21" s="64"/>
      <c r="KRW21" s="64"/>
      <c r="KRX21" s="64"/>
      <c r="KRY21" s="64"/>
      <c r="KRZ21" s="64"/>
      <c r="KSA21" s="64"/>
      <c r="KSB21" s="64"/>
      <c r="KSC21" s="64"/>
      <c r="KSD21" s="64"/>
      <c r="KSE21" s="64"/>
      <c r="KSF21" s="64"/>
      <c r="KSG21" s="64"/>
      <c r="KSH21" s="64"/>
      <c r="KSI21" s="64"/>
      <c r="KSJ21" s="64"/>
      <c r="KSK21" s="64"/>
      <c r="KSL21" s="64"/>
      <c r="KSM21" s="64"/>
      <c r="KSN21" s="64"/>
      <c r="KSO21" s="64"/>
      <c r="KSP21" s="64"/>
      <c r="KSQ21" s="64"/>
      <c r="KSR21" s="64"/>
      <c r="KSS21" s="64"/>
      <c r="KST21" s="64"/>
      <c r="KSU21" s="64"/>
      <c r="KSV21" s="64"/>
      <c r="KSW21" s="64"/>
      <c r="KSX21" s="64"/>
      <c r="KSY21" s="64"/>
      <c r="KSZ21" s="64"/>
      <c r="KTA21" s="64"/>
      <c r="KTB21" s="64"/>
      <c r="KTC21" s="64"/>
      <c r="KTD21" s="64"/>
      <c r="KTE21" s="64"/>
      <c r="KTF21" s="64"/>
      <c r="KTG21" s="64"/>
      <c r="KTH21" s="64"/>
      <c r="KTI21" s="64"/>
      <c r="KTJ21" s="64"/>
      <c r="KTK21" s="64"/>
      <c r="KTL21" s="64"/>
      <c r="KTM21" s="64"/>
      <c r="KTN21" s="64"/>
      <c r="KTO21" s="64"/>
      <c r="KTP21" s="64"/>
      <c r="KTQ21" s="64"/>
      <c r="KTR21" s="64"/>
      <c r="KTS21" s="64"/>
      <c r="KTT21" s="64"/>
      <c r="KTU21" s="64"/>
      <c r="KTV21" s="64"/>
      <c r="KTW21" s="64"/>
      <c r="KTX21" s="64"/>
      <c r="KTY21" s="64"/>
      <c r="KTZ21" s="64"/>
      <c r="KUA21" s="64"/>
      <c r="KUB21" s="64"/>
      <c r="KUC21" s="64"/>
      <c r="KUD21" s="64"/>
      <c r="KUE21" s="64"/>
      <c r="KUF21" s="64"/>
      <c r="KUG21" s="64"/>
      <c r="KUH21" s="64"/>
      <c r="KUI21" s="64"/>
      <c r="KUJ21" s="64"/>
      <c r="KUK21" s="64"/>
      <c r="KUL21" s="64"/>
      <c r="KUM21" s="64"/>
      <c r="KUN21" s="64"/>
      <c r="KUO21" s="64"/>
      <c r="KUP21" s="64"/>
      <c r="KUQ21" s="64"/>
      <c r="KUR21" s="64"/>
      <c r="KUS21" s="64"/>
      <c r="KUT21" s="64"/>
      <c r="KUU21" s="64"/>
      <c r="KUV21" s="64"/>
      <c r="KUW21" s="64"/>
      <c r="KUX21" s="64"/>
      <c r="KUY21" s="64"/>
      <c r="KUZ21" s="64"/>
      <c r="KVA21" s="64"/>
      <c r="KVB21" s="64"/>
      <c r="KVC21" s="64"/>
      <c r="KVD21" s="64"/>
      <c r="KVE21" s="64"/>
      <c r="KVF21" s="64"/>
      <c r="KVG21" s="64"/>
      <c r="KVH21" s="64"/>
      <c r="KVI21" s="64"/>
      <c r="KVJ21" s="64"/>
      <c r="KVK21" s="64"/>
      <c r="KVL21" s="64"/>
      <c r="KVM21" s="64"/>
      <c r="KVN21" s="64"/>
      <c r="KVO21" s="64"/>
      <c r="KVP21" s="64"/>
      <c r="KVQ21" s="64"/>
      <c r="KVR21" s="64"/>
      <c r="KVS21" s="64"/>
      <c r="KVT21" s="64"/>
      <c r="KVU21" s="64"/>
      <c r="KVV21" s="64"/>
      <c r="KVW21" s="64"/>
      <c r="KVX21" s="64"/>
      <c r="KVY21" s="64"/>
      <c r="KVZ21" s="64"/>
      <c r="KWA21" s="64"/>
      <c r="KWB21" s="64"/>
      <c r="KWC21" s="64"/>
      <c r="KWD21" s="64"/>
      <c r="KWE21" s="64"/>
      <c r="KWF21" s="64"/>
      <c r="KWG21" s="64"/>
      <c r="KWH21" s="64"/>
      <c r="KWI21" s="64"/>
      <c r="KWJ21" s="64"/>
      <c r="KWK21" s="64"/>
      <c r="KWL21" s="64"/>
      <c r="KWM21" s="64"/>
      <c r="KWN21" s="64"/>
      <c r="KWO21" s="64"/>
      <c r="KWP21" s="64"/>
      <c r="KWQ21" s="64"/>
      <c r="KWR21" s="64"/>
      <c r="KWS21" s="64"/>
      <c r="KWT21" s="64"/>
      <c r="KWU21" s="64"/>
      <c r="KWV21" s="64"/>
      <c r="KWW21" s="64"/>
      <c r="KWX21" s="64"/>
      <c r="KWY21" s="64"/>
      <c r="KWZ21" s="64"/>
      <c r="KXA21" s="64"/>
      <c r="KXB21" s="64"/>
      <c r="KXC21" s="64"/>
      <c r="KXD21" s="64"/>
      <c r="KXE21" s="64"/>
      <c r="KXF21" s="64"/>
      <c r="KXG21" s="64"/>
      <c r="KXH21" s="64"/>
      <c r="KXI21" s="64"/>
      <c r="KXJ21" s="64"/>
      <c r="KXK21" s="64"/>
      <c r="KXL21" s="64"/>
      <c r="KXM21" s="64"/>
      <c r="KXN21" s="64"/>
      <c r="KXO21" s="64"/>
      <c r="KXP21" s="64"/>
      <c r="KXQ21" s="64"/>
      <c r="KXR21" s="64"/>
      <c r="KXS21" s="64"/>
      <c r="KXT21" s="64"/>
      <c r="KXU21" s="64"/>
      <c r="KXV21" s="64"/>
      <c r="KXW21" s="64"/>
      <c r="KXX21" s="64"/>
      <c r="KXY21" s="64"/>
      <c r="KXZ21" s="64"/>
      <c r="KYA21" s="64"/>
      <c r="KYB21" s="64"/>
      <c r="KYC21" s="64"/>
      <c r="KYD21" s="64"/>
      <c r="KYE21" s="64"/>
      <c r="KYF21" s="64"/>
      <c r="KYG21" s="64"/>
      <c r="KYH21" s="64"/>
      <c r="KYI21" s="64"/>
      <c r="KYJ21" s="64"/>
      <c r="KYK21" s="64"/>
      <c r="KYL21" s="64"/>
      <c r="KYM21" s="64"/>
      <c r="KYN21" s="64"/>
      <c r="KYO21" s="64"/>
      <c r="KYP21" s="64"/>
      <c r="KYQ21" s="64"/>
      <c r="KYR21" s="64"/>
      <c r="KYS21" s="64"/>
      <c r="KYT21" s="64"/>
      <c r="KYU21" s="64"/>
      <c r="KYV21" s="64"/>
      <c r="KYW21" s="64"/>
      <c r="KYX21" s="64"/>
      <c r="KYY21" s="64"/>
      <c r="KYZ21" s="64"/>
      <c r="KZA21" s="64"/>
      <c r="KZB21" s="64"/>
      <c r="KZC21" s="64"/>
      <c r="KZD21" s="64"/>
      <c r="KZE21" s="64"/>
      <c r="KZF21" s="64"/>
      <c r="KZG21" s="64"/>
      <c r="KZH21" s="64"/>
      <c r="KZI21" s="64"/>
      <c r="KZJ21" s="64"/>
      <c r="KZK21" s="64"/>
      <c r="KZL21" s="64"/>
      <c r="KZM21" s="64"/>
      <c r="KZN21" s="64"/>
      <c r="KZO21" s="64"/>
      <c r="KZP21" s="64"/>
      <c r="KZQ21" s="64"/>
      <c r="KZR21" s="64"/>
      <c r="KZS21" s="64"/>
      <c r="KZT21" s="64"/>
      <c r="KZU21" s="64"/>
      <c r="KZV21" s="64"/>
      <c r="KZW21" s="64"/>
      <c r="KZX21" s="64"/>
      <c r="KZY21" s="64"/>
      <c r="KZZ21" s="64"/>
      <c r="LAA21" s="64"/>
      <c r="LAB21" s="64"/>
      <c r="LAC21" s="64"/>
      <c r="LAD21" s="64"/>
      <c r="LAE21" s="64"/>
      <c r="LAF21" s="64"/>
      <c r="LAG21" s="64"/>
      <c r="LAH21" s="64"/>
      <c r="LAI21" s="64"/>
      <c r="LAJ21" s="64"/>
      <c r="LAK21" s="64"/>
      <c r="LAL21" s="64"/>
      <c r="LAM21" s="64"/>
      <c r="LAN21" s="64"/>
      <c r="LAO21" s="64"/>
      <c r="LAP21" s="64"/>
      <c r="LAQ21" s="64"/>
      <c r="LAR21" s="64"/>
      <c r="LAS21" s="64"/>
      <c r="LAT21" s="64"/>
      <c r="LAU21" s="64"/>
      <c r="LAV21" s="64"/>
      <c r="LAW21" s="64"/>
      <c r="LAX21" s="64"/>
      <c r="LAY21" s="64"/>
      <c r="LAZ21" s="64"/>
      <c r="LBA21" s="64"/>
      <c r="LBB21" s="64"/>
      <c r="LBC21" s="64"/>
      <c r="LBD21" s="64"/>
      <c r="LBE21" s="64"/>
      <c r="LBF21" s="64"/>
      <c r="LBG21" s="64"/>
      <c r="LBH21" s="64"/>
      <c r="LBI21" s="64"/>
      <c r="LBJ21" s="64"/>
      <c r="LBK21" s="64"/>
      <c r="LBL21" s="64"/>
      <c r="LBM21" s="64"/>
      <c r="LBN21" s="64"/>
      <c r="LBO21" s="64"/>
      <c r="LBP21" s="64"/>
      <c r="LBQ21" s="64"/>
      <c r="LBR21" s="64"/>
      <c r="LBS21" s="64"/>
      <c r="LBT21" s="64"/>
      <c r="LBU21" s="64"/>
      <c r="LBV21" s="64"/>
      <c r="LBW21" s="64"/>
      <c r="LBX21" s="64"/>
      <c r="LBY21" s="64"/>
      <c r="LBZ21" s="64"/>
      <c r="LCA21" s="64"/>
      <c r="LCB21" s="64"/>
      <c r="LCC21" s="64"/>
      <c r="LCD21" s="64"/>
      <c r="LCE21" s="64"/>
      <c r="LCF21" s="64"/>
      <c r="LCG21" s="64"/>
      <c r="LCH21" s="64"/>
      <c r="LCI21" s="64"/>
      <c r="LCJ21" s="64"/>
      <c r="LCK21" s="64"/>
      <c r="LCL21" s="64"/>
      <c r="LCM21" s="64"/>
      <c r="LCN21" s="64"/>
      <c r="LCO21" s="64"/>
      <c r="LCP21" s="64"/>
      <c r="LCQ21" s="64"/>
      <c r="LCR21" s="64"/>
      <c r="LCS21" s="64"/>
      <c r="LCT21" s="64"/>
      <c r="LCU21" s="64"/>
      <c r="LCV21" s="64"/>
      <c r="LCW21" s="64"/>
      <c r="LCX21" s="64"/>
      <c r="LCY21" s="64"/>
      <c r="LCZ21" s="64"/>
      <c r="LDA21" s="64"/>
      <c r="LDB21" s="64"/>
      <c r="LDC21" s="64"/>
      <c r="LDD21" s="64"/>
      <c r="LDE21" s="64"/>
      <c r="LDF21" s="64"/>
      <c r="LDG21" s="64"/>
      <c r="LDH21" s="64"/>
      <c r="LDI21" s="64"/>
      <c r="LDJ21" s="64"/>
      <c r="LDK21" s="64"/>
      <c r="LDL21" s="64"/>
      <c r="LDM21" s="64"/>
      <c r="LDN21" s="64"/>
      <c r="LDO21" s="64"/>
      <c r="LDP21" s="64"/>
      <c r="LDQ21" s="64"/>
      <c r="LDR21" s="64"/>
      <c r="LDS21" s="64"/>
      <c r="LDT21" s="64"/>
      <c r="LDU21" s="64"/>
      <c r="LDV21" s="64"/>
      <c r="LDW21" s="64"/>
      <c r="LDX21" s="64"/>
      <c r="LDY21" s="64"/>
      <c r="LDZ21" s="64"/>
      <c r="LEA21" s="64"/>
      <c r="LEB21" s="64"/>
      <c r="LEC21" s="64"/>
      <c r="LED21" s="64"/>
      <c r="LEE21" s="64"/>
      <c r="LEF21" s="64"/>
      <c r="LEG21" s="64"/>
      <c r="LEH21" s="64"/>
      <c r="LEI21" s="64"/>
      <c r="LEJ21" s="64"/>
      <c r="LEK21" s="64"/>
      <c r="LEL21" s="64"/>
      <c r="LEM21" s="64"/>
      <c r="LEN21" s="64"/>
      <c r="LEO21" s="64"/>
      <c r="LEP21" s="64"/>
      <c r="LEQ21" s="64"/>
      <c r="LER21" s="64"/>
      <c r="LES21" s="64"/>
      <c r="LET21" s="64"/>
      <c r="LEU21" s="64"/>
      <c r="LEV21" s="64"/>
      <c r="LEW21" s="64"/>
      <c r="LEX21" s="64"/>
      <c r="LEY21" s="64"/>
      <c r="LEZ21" s="64"/>
      <c r="LFA21" s="64"/>
      <c r="LFB21" s="64"/>
      <c r="LFC21" s="64"/>
      <c r="LFD21" s="64"/>
      <c r="LFE21" s="64"/>
      <c r="LFF21" s="64"/>
      <c r="LFG21" s="64"/>
      <c r="LFH21" s="64"/>
      <c r="LFI21" s="64"/>
      <c r="LFJ21" s="64"/>
      <c r="LFK21" s="64"/>
      <c r="LFL21" s="64"/>
      <c r="LFM21" s="64"/>
      <c r="LFN21" s="64"/>
      <c r="LFO21" s="64"/>
      <c r="LFP21" s="64"/>
      <c r="LFQ21" s="64"/>
      <c r="LFR21" s="64"/>
      <c r="LFS21" s="64"/>
      <c r="LFT21" s="64"/>
      <c r="LFU21" s="64"/>
      <c r="LFV21" s="64"/>
      <c r="LFW21" s="64"/>
      <c r="LFX21" s="64"/>
      <c r="LFY21" s="64"/>
      <c r="LFZ21" s="64"/>
      <c r="LGA21" s="64"/>
      <c r="LGB21" s="64"/>
      <c r="LGC21" s="64"/>
      <c r="LGD21" s="64"/>
      <c r="LGE21" s="64"/>
      <c r="LGF21" s="64"/>
      <c r="LGG21" s="64"/>
      <c r="LGH21" s="64"/>
      <c r="LGI21" s="64"/>
      <c r="LGJ21" s="64"/>
      <c r="LGK21" s="64"/>
      <c r="LGL21" s="64"/>
      <c r="LGM21" s="64"/>
      <c r="LGN21" s="64"/>
      <c r="LGO21" s="64"/>
      <c r="LGP21" s="64"/>
      <c r="LGQ21" s="64"/>
      <c r="LGR21" s="64"/>
      <c r="LGS21" s="64"/>
      <c r="LGT21" s="64"/>
      <c r="LGU21" s="64"/>
      <c r="LGV21" s="64"/>
      <c r="LGW21" s="64"/>
      <c r="LGX21" s="64"/>
      <c r="LGY21" s="64"/>
      <c r="LGZ21" s="64"/>
      <c r="LHA21" s="64"/>
      <c r="LHB21" s="64"/>
      <c r="LHC21" s="64"/>
      <c r="LHD21" s="64"/>
      <c r="LHE21" s="64"/>
      <c r="LHF21" s="64"/>
      <c r="LHG21" s="64"/>
      <c r="LHH21" s="64"/>
      <c r="LHI21" s="64"/>
      <c r="LHJ21" s="64"/>
      <c r="LHK21" s="64"/>
      <c r="LHL21" s="64"/>
      <c r="LHM21" s="64"/>
      <c r="LHN21" s="64"/>
      <c r="LHO21" s="64"/>
      <c r="LHP21" s="64"/>
      <c r="LHQ21" s="64"/>
      <c r="LHR21" s="64"/>
      <c r="LHS21" s="64"/>
      <c r="LHT21" s="64"/>
      <c r="LHU21" s="64"/>
      <c r="LHV21" s="64"/>
      <c r="LHW21" s="64"/>
      <c r="LHX21" s="64"/>
      <c r="LHY21" s="64"/>
      <c r="LHZ21" s="64"/>
      <c r="LIA21" s="64"/>
      <c r="LIB21" s="64"/>
      <c r="LIC21" s="64"/>
      <c r="LID21" s="64"/>
      <c r="LIE21" s="64"/>
      <c r="LIF21" s="64"/>
      <c r="LIG21" s="64"/>
      <c r="LIH21" s="64"/>
      <c r="LII21" s="64"/>
      <c r="LIJ21" s="64"/>
      <c r="LIK21" s="64"/>
      <c r="LIL21" s="64"/>
      <c r="LIM21" s="64"/>
      <c r="LIN21" s="64"/>
      <c r="LIO21" s="64"/>
      <c r="LIP21" s="64"/>
      <c r="LIQ21" s="64"/>
      <c r="LIR21" s="64"/>
      <c r="LIS21" s="64"/>
      <c r="LIT21" s="64"/>
      <c r="LIU21" s="64"/>
      <c r="LIV21" s="64"/>
      <c r="LIW21" s="64"/>
      <c r="LIX21" s="64"/>
      <c r="LIY21" s="64"/>
      <c r="LIZ21" s="64"/>
      <c r="LJA21" s="64"/>
      <c r="LJB21" s="64"/>
      <c r="LJC21" s="64"/>
      <c r="LJD21" s="64"/>
      <c r="LJE21" s="64"/>
      <c r="LJF21" s="64"/>
      <c r="LJG21" s="64"/>
      <c r="LJH21" s="64"/>
      <c r="LJI21" s="64"/>
      <c r="LJJ21" s="64"/>
      <c r="LJK21" s="64"/>
      <c r="LJL21" s="64"/>
      <c r="LJM21" s="64"/>
      <c r="LJN21" s="64"/>
      <c r="LJO21" s="64"/>
      <c r="LJP21" s="64"/>
      <c r="LJQ21" s="64"/>
      <c r="LJR21" s="64"/>
      <c r="LJS21" s="64"/>
      <c r="LJT21" s="64"/>
      <c r="LJU21" s="64"/>
      <c r="LJV21" s="64"/>
      <c r="LJW21" s="64"/>
      <c r="LJX21" s="64"/>
      <c r="LJY21" s="64"/>
      <c r="LJZ21" s="64"/>
      <c r="LKA21" s="64"/>
      <c r="LKB21" s="64"/>
      <c r="LKC21" s="64"/>
      <c r="LKD21" s="64"/>
      <c r="LKE21" s="64"/>
      <c r="LKF21" s="64"/>
      <c r="LKG21" s="64"/>
      <c r="LKH21" s="64"/>
      <c r="LKI21" s="64"/>
      <c r="LKJ21" s="64"/>
      <c r="LKK21" s="64"/>
      <c r="LKL21" s="64"/>
      <c r="LKM21" s="64"/>
      <c r="LKN21" s="64"/>
      <c r="LKO21" s="64"/>
      <c r="LKP21" s="64"/>
      <c r="LKQ21" s="64"/>
      <c r="LKR21" s="64"/>
      <c r="LKS21" s="64"/>
      <c r="LKT21" s="64"/>
      <c r="LKU21" s="64"/>
      <c r="LKV21" s="64"/>
      <c r="LKW21" s="64"/>
      <c r="LKX21" s="64"/>
      <c r="LKY21" s="64"/>
      <c r="LKZ21" s="64"/>
      <c r="LLA21" s="64"/>
      <c r="LLB21" s="64"/>
      <c r="LLC21" s="64"/>
      <c r="LLD21" s="64"/>
      <c r="LLE21" s="64"/>
      <c r="LLF21" s="64"/>
      <c r="LLG21" s="64"/>
      <c r="LLH21" s="64"/>
      <c r="LLI21" s="64"/>
      <c r="LLJ21" s="64"/>
      <c r="LLK21" s="64"/>
      <c r="LLL21" s="64"/>
      <c r="LLM21" s="64"/>
      <c r="LLN21" s="64"/>
      <c r="LLO21" s="64"/>
      <c r="LLP21" s="64"/>
      <c r="LLQ21" s="64"/>
      <c r="LLR21" s="64"/>
      <c r="LLS21" s="64"/>
      <c r="LLT21" s="64"/>
      <c r="LLU21" s="64"/>
      <c r="LLV21" s="64"/>
      <c r="LLW21" s="64"/>
      <c r="LLX21" s="64"/>
      <c r="LLY21" s="64"/>
      <c r="LLZ21" s="64"/>
      <c r="LMA21" s="64"/>
      <c r="LMB21" s="64"/>
      <c r="LMC21" s="64"/>
      <c r="LMD21" s="64"/>
      <c r="LME21" s="64"/>
      <c r="LMF21" s="64"/>
      <c r="LMG21" s="64"/>
      <c r="LMH21" s="64"/>
      <c r="LMI21" s="64"/>
      <c r="LMJ21" s="64"/>
      <c r="LMK21" s="64"/>
      <c r="LML21" s="64"/>
      <c r="LMM21" s="64"/>
      <c r="LMN21" s="64"/>
      <c r="LMO21" s="64"/>
      <c r="LMP21" s="64"/>
      <c r="LMQ21" s="64"/>
      <c r="LMR21" s="64"/>
      <c r="LMS21" s="64"/>
      <c r="LMT21" s="64"/>
      <c r="LMU21" s="64"/>
      <c r="LMV21" s="64"/>
      <c r="LMW21" s="64"/>
      <c r="LMX21" s="64"/>
      <c r="LMY21" s="64"/>
      <c r="LMZ21" s="64"/>
      <c r="LNA21" s="64"/>
      <c r="LNB21" s="64"/>
      <c r="LNC21" s="64"/>
      <c r="LND21" s="64"/>
      <c r="LNE21" s="64"/>
      <c r="LNF21" s="64"/>
      <c r="LNG21" s="64"/>
      <c r="LNH21" s="64"/>
      <c r="LNI21" s="64"/>
      <c r="LNJ21" s="64"/>
      <c r="LNK21" s="64"/>
      <c r="LNL21" s="64"/>
      <c r="LNM21" s="64"/>
      <c r="LNN21" s="64"/>
      <c r="LNO21" s="64"/>
      <c r="LNP21" s="64"/>
      <c r="LNQ21" s="64"/>
      <c r="LNR21" s="64"/>
      <c r="LNS21" s="64"/>
      <c r="LNT21" s="64"/>
      <c r="LNU21" s="64"/>
      <c r="LNV21" s="64"/>
      <c r="LNW21" s="64"/>
      <c r="LNX21" s="64"/>
      <c r="LNY21" s="64"/>
      <c r="LNZ21" s="64"/>
      <c r="LOA21" s="64"/>
      <c r="LOB21" s="64"/>
      <c r="LOC21" s="64"/>
      <c r="LOD21" s="64"/>
      <c r="LOE21" s="64"/>
      <c r="LOF21" s="64"/>
      <c r="LOG21" s="64"/>
      <c r="LOH21" s="64"/>
      <c r="LOI21" s="64"/>
      <c r="LOJ21" s="64"/>
      <c r="LOK21" s="64"/>
      <c r="LOL21" s="64"/>
      <c r="LOM21" s="64"/>
      <c r="LON21" s="64"/>
      <c r="LOO21" s="64"/>
      <c r="LOP21" s="64"/>
      <c r="LOQ21" s="64"/>
      <c r="LOR21" s="64"/>
      <c r="LOS21" s="64"/>
      <c r="LOT21" s="64"/>
      <c r="LOU21" s="64"/>
      <c r="LOV21" s="64"/>
      <c r="LOW21" s="64"/>
      <c r="LOX21" s="64"/>
      <c r="LOY21" s="64"/>
      <c r="LOZ21" s="64"/>
      <c r="LPA21" s="64"/>
      <c r="LPB21" s="64"/>
      <c r="LPC21" s="64"/>
      <c r="LPD21" s="64"/>
      <c r="LPE21" s="64"/>
      <c r="LPF21" s="64"/>
      <c r="LPG21" s="64"/>
      <c r="LPH21" s="64"/>
      <c r="LPI21" s="64"/>
      <c r="LPJ21" s="64"/>
      <c r="LPK21" s="64"/>
      <c r="LPL21" s="64"/>
      <c r="LPM21" s="64"/>
      <c r="LPN21" s="64"/>
      <c r="LPO21" s="64"/>
      <c r="LPP21" s="64"/>
      <c r="LPQ21" s="64"/>
      <c r="LPR21" s="64"/>
      <c r="LPS21" s="64"/>
      <c r="LPT21" s="64"/>
      <c r="LPU21" s="64"/>
      <c r="LPV21" s="64"/>
      <c r="LPW21" s="64"/>
      <c r="LPX21" s="64"/>
      <c r="LPY21" s="64"/>
      <c r="LPZ21" s="64"/>
      <c r="LQA21" s="64"/>
      <c r="LQB21" s="64"/>
      <c r="LQC21" s="64"/>
      <c r="LQD21" s="64"/>
      <c r="LQE21" s="64"/>
      <c r="LQF21" s="64"/>
      <c r="LQG21" s="64"/>
      <c r="LQH21" s="64"/>
      <c r="LQI21" s="64"/>
      <c r="LQJ21" s="64"/>
      <c r="LQK21" s="64"/>
      <c r="LQL21" s="64"/>
      <c r="LQM21" s="64"/>
      <c r="LQN21" s="64"/>
      <c r="LQO21" s="64"/>
      <c r="LQP21" s="64"/>
      <c r="LQQ21" s="64"/>
      <c r="LQR21" s="64"/>
      <c r="LQS21" s="64"/>
      <c r="LQT21" s="64"/>
      <c r="LQU21" s="64"/>
      <c r="LQV21" s="64"/>
      <c r="LQW21" s="64"/>
      <c r="LQX21" s="64"/>
      <c r="LQY21" s="64"/>
      <c r="LQZ21" s="64"/>
      <c r="LRA21" s="64"/>
      <c r="LRB21" s="64"/>
      <c r="LRC21" s="64"/>
      <c r="LRD21" s="64"/>
      <c r="LRE21" s="64"/>
      <c r="LRF21" s="64"/>
      <c r="LRG21" s="64"/>
      <c r="LRH21" s="64"/>
      <c r="LRI21" s="64"/>
      <c r="LRJ21" s="64"/>
      <c r="LRK21" s="64"/>
      <c r="LRL21" s="64"/>
      <c r="LRM21" s="64"/>
      <c r="LRN21" s="64"/>
      <c r="LRO21" s="64"/>
      <c r="LRP21" s="64"/>
      <c r="LRQ21" s="64"/>
      <c r="LRR21" s="64"/>
      <c r="LRS21" s="64"/>
      <c r="LRT21" s="64"/>
      <c r="LRU21" s="64"/>
      <c r="LRV21" s="64"/>
      <c r="LRW21" s="64"/>
      <c r="LRX21" s="64"/>
      <c r="LRY21" s="64"/>
      <c r="LRZ21" s="64"/>
      <c r="LSA21" s="64"/>
      <c r="LSB21" s="64"/>
      <c r="LSC21" s="64"/>
      <c r="LSD21" s="64"/>
      <c r="LSE21" s="64"/>
      <c r="LSF21" s="64"/>
      <c r="LSG21" s="64"/>
      <c r="LSH21" s="64"/>
      <c r="LSI21" s="64"/>
      <c r="LSJ21" s="64"/>
      <c r="LSK21" s="64"/>
      <c r="LSL21" s="64"/>
      <c r="LSM21" s="64"/>
      <c r="LSN21" s="64"/>
      <c r="LSO21" s="64"/>
      <c r="LSP21" s="64"/>
      <c r="LSQ21" s="64"/>
      <c r="LSR21" s="64"/>
      <c r="LSS21" s="64"/>
      <c r="LST21" s="64"/>
      <c r="LSU21" s="64"/>
      <c r="LSV21" s="64"/>
      <c r="LSW21" s="64"/>
      <c r="LSX21" s="64"/>
      <c r="LSY21" s="64"/>
      <c r="LSZ21" s="64"/>
      <c r="LTA21" s="64"/>
      <c r="LTB21" s="64"/>
      <c r="LTC21" s="64"/>
      <c r="LTD21" s="64"/>
      <c r="LTE21" s="64"/>
      <c r="LTF21" s="64"/>
      <c r="LTG21" s="64"/>
      <c r="LTH21" s="64"/>
      <c r="LTI21" s="64"/>
      <c r="LTJ21" s="64"/>
      <c r="LTK21" s="64"/>
      <c r="LTL21" s="64"/>
      <c r="LTM21" s="64"/>
      <c r="LTN21" s="64"/>
      <c r="LTO21" s="64"/>
      <c r="LTP21" s="64"/>
      <c r="LTQ21" s="64"/>
      <c r="LTR21" s="64"/>
      <c r="LTS21" s="64"/>
      <c r="LTT21" s="64"/>
      <c r="LTU21" s="64"/>
      <c r="LTV21" s="64"/>
      <c r="LTW21" s="64"/>
      <c r="LTX21" s="64"/>
      <c r="LTY21" s="64"/>
      <c r="LTZ21" s="64"/>
      <c r="LUA21" s="64"/>
      <c r="LUB21" s="64"/>
      <c r="LUC21" s="64"/>
      <c r="LUD21" s="64"/>
      <c r="LUE21" s="64"/>
      <c r="LUF21" s="64"/>
      <c r="LUG21" s="64"/>
      <c r="LUH21" s="64"/>
      <c r="LUI21" s="64"/>
      <c r="LUJ21" s="64"/>
      <c r="LUK21" s="64"/>
      <c r="LUL21" s="64"/>
      <c r="LUM21" s="64"/>
      <c r="LUN21" s="64"/>
      <c r="LUO21" s="64"/>
      <c r="LUP21" s="64"/>
      <c r="LUQ21" s="64"/>
      <c r="LUR21" s="64"/>
      <c r="LUS21" s="64"/>
      <c r="LUT21" s="64"/>
      <c r="LUU21" s="64"/>
      <c r="LUV21" s="64"/>
      <c r="LUW21" s="64"/>
      <c r="LUX21" s="64"/>
      <c r="LUY21" s="64"/>
      <c r="LUZ21" s="64"/>
      <c r="LVA21" s="64"/>
      <c r="LVB21" s="64"/>
      <c r="LVC21" s="64"/>
      <c r="LVD21" s="64"/>
      <c r="LVE21" s="64"/>
      <c r="LVF21" s="64"/>
      <c r="LVG21" s="64"/>
      <c r="LVH21" s="64"/>
      <c r="LVI21" s="64"/>
      <c r="LVJ21" s="64"/>
      <c r="LVK21" s="64"/>
      <c r="LVL21" s="64"/>
      <c r="LVM21" s="64"/>
      <c r="LVN21" s="64"/>
      <c r="LVO21" s="64"/>
      <c r="LVP21" s="64"/>
      <c r="LVQ21" s="64"/>
      <c r="LVR21" s="64"/>
      <c r="LVS21" s="64"/>
      <c r="LVT21" s="64"/>
      <c r="LVU21" s="64"/>
      <c r="LVV21" s="64"/>
      <c r="LVW21" s="64"/>
      <c r="LVX21" s="64"/>
      <c r="LVY21" s="64"/>
      <c r="LVZ21" s="64"/>
      <c r="LWA21" s="64"/>
      <c r="LWB21" s="64"/>
      <c r="LWC21" s="64"/>
      <c r="LWD21" s="64"/>
      <c r="LWE21" s="64"/>
      <c r="LWF21" s="64"/>
      <c r="LWG21" s="64"/>
      <c r="LWH21" s="64"/>
      <c r="LWI21" s="64"/>
      <c r="LWJ21" s="64"/>
      <c r="LWK21" s="64"/>
      <c r="LWL21" s="64"/>
      <c r="LWM21" s="64"/>
      <c r="LWN21" s="64"/>
      <c r="LWO21" s="64"/>
      <c r="LWP21" s="64"/>
      <c r="LWQ21" s="64"/>
      <c r="LWR21" s="64"/>
      <c r="LWS21" s="64"/>
      <c r="LWT21" s="64"/>
      <c r="LWU21" s="64"/>
      <c r="LWV21" s="64"/>
      <c r="LWW21" s="64"/>
      <c r="LWX21" s="64"/>
      <c r="LWY21" s="64"/>
      <c r="LWZ21" s="64"/>
      <c r="LXA21" s="64"/>
      <c r="LXB21" s="64"/>
      <c r="LXC21" s="64"/>
      <c r="LXD21" s="64"/>
      <c r="LXE21" s="64"/>
      <c r="LXF21" s="64"/>
      <c r="LXG21" s="64"/>
      <c r="LXH21" s="64"/>
      <c r="LXI21" s="64"/>
      <c r="LXJ21" s="64"/>
      <c r="LXK21" s="64"/>
      <c r="LXL21" s="64"/>
      <c r="LXM21" s="64"/>
      <c r="LXN21" s="64"/>
      <c r="LXO21" s="64"/>
      <c r="LXP21" s="64"/>
      <c r="LXQ21" s="64"/>
      <c r="LXR21" s="64"/>
      <c r="LXS21" s="64"/>
      <c r="LXT21" s="64"/>
      <c r="LXU21" s="64"/>
      <c r="LXV21" s="64"/>
      <c r="LXW21" s="64"/>
      <c r="LXX21" s="64"/>
      <c r="LXY21" s="64"/>
      <c r="LXZ21" s="64"/>
      <c r="LYA21" s="64"/>
      <c r="LYB21" s="64"/>
      <c r="LYC21" s="64"/>
      <c r="LYD21" s="64"/>
      <c r="LYE21" s="64"/>
      <c r="LYF21" s="64"/>
      <c r="LYG21" s="64"/>
      <c r="LYH21" s="64"/>
      <c r="LYI21" s="64"/>
      <c r="LYJ21" s="64"/>
      <c r="LYK21" s="64"/>
      <c r="LYL21" s="64"/>
      <c r="LYM21" s="64"/>
      <c r="LYN21" s="64"/>
      <c r="LYO21" s="64"/>
      <c r="LYP21" s="64"/>
      <c r="LYQ21" s="64"/>
      <c r="LYR21" s="64"/>
      <c r="LYS21" s="64"/>
      <c r="LYT21" s="64"/>
      <c r="LYU21" s="64"/>
      <c r="LYV21" s="64"/>
      <c r="LYW21" s="64"/>
      <c r="LYX21" s="64"/>
      <c r="LYY21" s="64"/>
      <c r="LYZ21" s="64"/>
      <c r="LZA21" s="64"/>
      <c r="LZB21" s="64"/>
      <c r="LZC21" s="64"/>
      <c r="LZD21" s="64"/>
      <c r="LZE21" s="64"/>
      <c r="LZF21" s="64"/>
      <c r="LZG21" s="64"/>
      <c r="LZH21" s="64"/>
      <c r="LZI21" s="64"/>
      <c r="LZJ21" s="64"/>
      <c r="LZK21" s="64"/>
      <c r="LZL21" s="64"/>
      <c r="LZM21" s="64"/>
      <c r="LZN21" s="64"/>
      <c r="LZO21" s="64"/>
      <c r="LZP21" s="64"/>
      <c r="LZQ21" s="64"/>
      <c r="LZR21" s="64"/>
      <c r="LZS21" s="64"/>
      <c r="LZT21" s="64"/>
      <c r="LZU21" s="64"/>
      <c r="LZV21" s="64"/>
      <c r="LZW21" s="64"/>
      <c r="LZX21" s="64"/>
      <c r="LZY21" s="64"/>
      <c r="LZZ21" s="64"/>
      <c r="MAA21" s="64"/>
      <c r="MAB21" s="64"/>
      <c r="MAC21" s="64"/>
      <c r="MAD21" s="64"/>
      <c r="MAE21" s="64"/>
      <c r="MAF21" s="64"/>
      <c r="MAG21" s="64"/>
      <c r="MAH21" s="64"/>
      <c r="MAI21" s="64"/>
      <c r="MAJ21" s="64"/>
      <c r="MAK21" s="64"/>
      <c r="MAL21" s="64"/>
      <c r="MAM21" s="64"/>
      <c r="MAN21" s="64"/>
      <c r="MAO21" s="64"/>
      <c r="MAP21" s="64"/>
      <c r="MAQ21" s="64"/>
      <c r="MAR21" s="64"/>
      <c r="MAS21" s="64"/>
      <c r="MAT21" s="64"/>
      <c r="MAU21" s="64"/>
      <c r="MAV21" s="64"/>
      <c r="MAW21" s="64"/>
      <c r="MAX21" s="64"/>
      <c r="MAY21" s="64"/>
      <c r="MAZ21" s="64"/>
      <c r="MBA21" s="64"/>
      <c r="MBB21" s="64"/>
      <c r="MBC21" s="64"/>
      <c r="MBD21" s="64"/>
      <c r="MBE21" s="64"/>
      <c r="MBF21" s="64"/>
      <c r="MBG21" s="64"/>
      <c r="MBH21" s="64"/>
      <c r="MBI21" s="64"/>
      <c r="MBJ21" s="64"/>
      <c r="MBK21" s="64"/>
      <c r="MBL21" s="64"/>
      <c r="MBM21" s="64"/>
      <c r="MBN21" s="64"/>
      <c r="MBO21" s="64"/>
      <c r="MBP21" s="64"/>
      <c r="MBQ21" s="64"/>
      <c r="MBR21" s="64"/>
      <c r="MBS21" s="64"/>
      <c r="MBT21" s="64"/>
      <c r="MBU21" s="64"/>
      <c r="MBV21" s="64"/>
      <c r="MBW21" s="64"/>
      <c r="MBX21" s="64"/>
      <c r="MBY21" s="64"/>
      <c r="MBZ21" s="64"/>
      <c r="MCA21" s="64"/>
      <c r="MCB21" s="64"/>
      <c r="MCC21" s="64"/>
      <c r="MCD21" s="64"/>
      <c r="MCE21" s="64"/>
      <c r="MCF21" s="64"/>
      <c r="MCG21" s="64"/>
      <c r="MCH21" s="64"/>
      <c r="MCI21" s="64"/>
      <c r="MCJ21" s="64"/>
      <c r="MCK21" s="64"/>
      <c r="MCL21" s="64"/>
      <c r="MCM21" s="64"/>
      <c r="MCN21" s="64"/>
      <c r="MCO21" s="64"/>
      <c r="MCP21" s="64"/>
      <c r="MCQ21" s="64"/>
      <c r="MCR21" s="64"/>
      <c r="MCS21" s="64"/>
      <c r="MCT21" s="64"/>
      <c r="MCU21" s="64"/>
      <c r="MCV21" s="64"/>
      <c r="MCW21" s="64"/>
      <c r="MCX21" s="64"/>
      <c r="MCY21" s="64"/>
      <c r="MCZ21" s="64"/>
      <c r="MDA21" s="64"/>
      <c r="MDB21" s="64"/>
      <c r="MDC21" s="64"/>
      <c r="MDD21" s="64"/>
      <c r="MDE21" s="64"/>
      <c r="MDF21" s="64"/>
      <c r="MDG21" s="64"/>
      <c r="MDH21" s="64"/>
      <c r="MDI21" s="64"/>
      <c r="MDJ21" s="64"/>
      <c r="MDK21" s="64"/>
      <c r="MDL21" s="64"/>
      <c r="MDM21" s="64"/>
      <c r="MDN21" s="64"/>
      <c r="MDO21" s="64"/>
      <c r="MDP21" s="64"/>
      <c r="MDQ21" s="64"/>
      <c r="MDR21" s="64"/>
      <c r="MDS21" s="64"/>
      <c r="MDT21" s="64"/>
      <c r="MDU21" s="64"/>
      <c r="MDV21" s="64"/>
      <c r="MDW21" s="64"/>
      <c r="MDX21" s="64"/>
      <c r="MDY21" s="64"/>
      <c r="MDZ21" s="64"/>
      <c r="MEA21" s="64"/>
      <c r="MEB21" s="64"/>
      <c r="MEC21" s="64"/>
      <c r="MED21" s="64"/>
      <c r="MEE21" s="64"/>
      <c r="MEF21" s="64"/>
      <c r="MEG21" s="64"/>
      <c r="MEH21" s="64"/>
      <c r="MEI21" s="64"/>
      <c r="MEJ21" s="64"/>
      <c r="MEK21" s="64"/>
      <c r="MEL21" s="64"/>
      <c r="MEM21" s="64"/>
      <c r="MEN21" s="64"/>
      <c r="MEO21" s="64"/>
      <c r="MEP21" s="64"/>
      <c r="MEQ21" s="64"/>
      <c r="MER21" s="64"/>
      <c r="MES21" s="64"/>
      <c r="MET21" s="64"/>
      <c r="MEU21" s="64"/>
      <c r="MEV21" s="64"/>
      <c r="MEW21" s="64"/>
      <c r="MEX21" s="64"/>
      <c r="MEY21" s="64"/>
      <c r="MEZ21" s="64"/>
      <c r="MFA21" s="64"/>
      <c r="MFB21" s="64"/>
      <c r="MFC21" s="64"/>
      <c r="MFD21" s="64"/>
      <c r="MFE21" s="64"/>
      <c r="MFF21" s="64"/>
      <c r="MFG21" s="64"/>
      <c r="MFH21" s="64"/>
      <c r="MFI21" s="64"/>
      <c r="MFJ21" s="64"/>
      <c r="MFK21" s="64"/>
      <c r="MFL21" s="64"/>
      <c r="MFM21" s="64"/>
      <c r="MFN21" s="64"/>
      <c r="MFO21" s="64"/>
      <c r="MFP21" s="64"/>
      <c r="MFQ21" s="64"/>
      <c r="MFR21" s="64"/>
      <c r="MFS21" s="64"/>
      <c r="MFT21" s="64"/>
      <c r="MFU21" s="64"/>
      <c r="MFV21" s="64"/>
      <c r="MFW21" s="64"/>
      <c r="MFX21" s="64"/>
      <c r="MFY21" s="64"/>
      <c r="MFZ21" s="64"/>
      <c r="MGA21" s="64"/>
      <c r="MGB21" s="64"/>
      <c r="MGC21" s="64"/>
      <c r="MGD21" s="64"/>
      <c r="MGE21" s="64"/>
      <c r="MGF21" s="64"/>
      <c r="MGG21" s="64"/>
      <c r="MGH21" s="64"/>
      <c r="MGI21" s="64"/>
      <c r="MGJ21" s="64"/>
      <c r="MGK21" s="64"/>
      <c r="MGL21" s="64"/>
      <c r="MGM21" s="64"/>
      <c r="MGN21" s="64"/>
      <c r="MGO21" s="64"/>
      <c r="MGP21" s="64"/>
      <c r="MGQ21" s="64"/>
      <c r="MGR21" s="64"/>
      <c r="MGS21" s="64"/>
      <c r="MGT21" s="64"/>
      <c r="MGU21" s="64"/>
      <c r="MGV21" s="64"/>
      <c r="MGW21" s="64"/>
      <c r="MGX21" s="64"/>
      <c r="MGY21" s="64"/>
      <c r="MGZ21" s="64"/>
      <c r="MHA21" s="64"/>
      <c r="MHB21" s="64"/>
      <c r="MHC21" s="64"/>
      <c r="MHD21" s="64"/>
      <c r="MHE21" s="64"/>
      <c r="MHF21" s="64"/>
      <c r="MHG21" s="64"/>
      <c r="MHH21" s="64"/>
      <c r="MHI21" s="64"/>
      <c r="MHJ21" s="64"/>
      <c r="MHK21" s="64"/>
      <c r="MHL21" s="64"/>
      <c r="MHM21" s="64"/>
      <c r="MHN21" s="64"/>
      <c r="MHO21" s="64"/>
      <c r="MHP21" s="64"/>
      <c r="MHQ21" s="64"/>
      <c r="MHR21" s="64"/>
      <c r="MHS21" s="64"/>
      <c r="MHT21" s="64"/>
      <c r="MHU21" s="64"/>
      <c r="MHV21" s="64"/>
      <c r="MHW21" s="64"/>
      <c r="MHX21" s="64"/>
      <c r="MHY21" s="64"/>
      <c r="MHZ21" s="64"/>
      <c r="MIA21" s="64"/>
      <c r="MIB21" s="64"/>
      <c r="MIC21" s="64"/>
      <c r="MID21" s="64"/>
      <c r="MIE21" s="64"/>
      <c r="MIF21" s="64"/>
      <c r="MIG21" s="64"/>
      <c r="MIH21" s="64"/>
      <c r="MII21" s="64"/>
      <c r="MIJ21" s="64"/>
      <c r="MIK21" s="64"/>
      <c r="MIL21" s="64"/>
      <c r="MIM21" s="64"/>
      <c r="MIN21" s="64"/>
      <c r="MIO21" s="64"/>
      <c r="MIP21" s="64"/>
      <c r="MIQ21" s="64"/>
      <c r="MIR21" s="64"/>
      <c r="MIS21" s="64"/>
      <c r="MIT21" s="64"/>
      <c r="MIU21" s="64"/>
      <c r="MIV21" s="64"/>
      <c r="MIW21" s="64"/>
      <c r="MIX21" s="64"/>
      <c r="MIY21" s="64"/>
      <c r="MIZ21" s="64"/>
      <c r="MJA21" s="64"/>
      <c r="MJB21" s="64"/>
      <c r="MJC21" s="64"/>
      <c r="MJD21" s="64"/>
      <c r="MJE21" s="64"/>
      <c r="MJF21" s="64"/>
      <c r="MJG21" s="64"/>
      <c r="MJH21" s="64"/>
      <c r="MJI21" s="64"/>
      <c r="MJJ21" s="64"/>
      <c r="MJK21" s="64"/>
      <c r="MJL21" s="64"/>
      <c r="MJM21" s="64"/>
      <c r="MJN21" s="64"/>
      <c r="MJO21" s="64"/>
      <c r="MJP21" s="64"/>
      <c r="MJQ21" s="64"/>
      <c r="MJR21" s="64"/>
      <c r="MJS21" s="64"/>
      <c r="MJT21" s="64"/>
      <c r="MJU21" s="64"/>
      <c r="MJV21" s="64"/>
      <c r="MJW21" s="64"/>
      <c r="MJX21" s="64"/>
      <c r="MJY21" s="64"/>
      <c r="MJZ21" s="64"/>
      <c r="MKA21" s="64"/>
      <c r="MKB21" s="64"/>
      <c r="MKC21" s="64"/>
      <c r="MKD21" s="64"/>
      <c r="MKE21" s="64"/>
      <c r="MKF21" s="64"/>
      <c r="MKG21" s="64"/>
      <c r="MKH21" s="64"/>
      <c r="MKI21" s="64"/>
      <c r="MKJ21" s="64"/>
      <c r="MKK21" s="64"/>
      <c r="MKL21" s="64"/>
      <c r="MKM21" s="64"/>
      <c r="MKN21" s="64"/>
      <c r="MKO21" s="64"/>
      <c r="MKP21" s="64"/>
      <c r="MKQ21" s="64"/>
      <c r="MKR21" s="64"/>
      <c r="MKS21" s="64"/>
      <c r="MKT21" s="64"/>
      <c r="MKU21" s="64"/>
      <c r="MKV21" s="64"/>
      <c r="MKW21" s="64"/>
      <c r="MKX21" s="64"/>
      <c r="MKY21" s="64"/>
      <c r="MKZ21" s="64"/>
      <c r="MLA21" s="64"/>
      <c r="MLB21" s="64"/>
      <c r="MLC21" s="64"/>
      <c r="MLD21" s="64"/>
      <c r="MLE21" s="64"/>
      <c r="MLF21" s="64"/>
      <c r="MLG21" s="64"/>
      <c r="MLH21" s="64"/>
      <c r="MLI21" s="64"/>
      <c r="MLJ21" s="64"/>
      <c r="MLK21" s="64"/>
      <c r="MLL21" s="64"/>
      <c r="MLM21" s="64"/>
      <c r="MLN21" s="64"/>
      <c r="MLO21" s="64"/>
      <c r="MLP21" s="64"/>
      <c r="MLQ21" s="64"/>
      <c r="MLR21" s="64"/>
      <c r="MLS21" s="64"/>
      <c r="MLT21" s="64"/>
      <c r="MLU21" s="64"/>
      <c r="MLV21" s="64"/>
      <c r="MLW21" s="64"/>
      <c r="MLX21" s="64"/>
      <c r="MLY21" s="64"/>
      <c r="MLZ21" s="64"/>
      <c r="MMA21" s="64"/>
      <c r="MMB21" s="64"/>
      <c r="MMC21" s="64"/>
      <c r="MMD21" s="64"/>
      <c r="MME21" s="64"/>
      <c r="MMF21" s="64"/>
      <c r="MMG21" s="64"/>
      <c r="MMH21" s="64"/>
      <c r="MMI21" s="64"/>
      <c r="MMJ21" s="64"/>
      <c r="MMK21" s="64"/>
      <c r="MML21" s="64"/>
      <c r="MMM21" s="64"/>
      <c r="MMN21" s="64"/>
      <c r="MMO21" s="64"/>
      <c r="MMP21" s="64"/>
      <c r="MMQ21" s="64"/>
      <c r="MMR21" s="64"/>
      <c r="MMS21" s="64"/>
      <c r="MMT21" s="64"/>
      <c r="MMU21" s="64"/>
      <c r="MMV21" s="64"/>
      <c r="MMW21" s="64"/>
      <c r="MMX21" s="64"/>
      <c r="MMY21" s="64"/>
      <c r="MMZ21" s="64"/>
      <c r="MNA21" s="64"/>
      <c r="MNB21" s="64"/>
      <c r="MNC21" s="64"/>
      <c r="MND21" s="64"/>
      <c r="MNE21" s="64"/>
      <c r="MNF21" s="64"/>
      <c r="MNG21" s="64"/>
      <c r="MNH21" s="64"/>
      <c r="MNI21" s="64"/>
      <c r="MNJ21" s="64"/>
      <c r="MNK21" s="64"/>
      <c r="MNL21" s="64"/>
      <c r="MNM21" s="64"/>
      <c r="MNN21" s="64"/>
      <c r="MNO21" s="64"/>
      <c r="MNP21" s="64"/>
      <c r="MNQ21" s="64"/>
      <c r="MNR21" s="64"/>
      <c r="MNS21" s="64"/>
      <c r="MNT21" s="64"/>
      <c r="MNU21" s="64"/>
      <c r="MNV21" s="64"/>
      <c r="MNW21" s="64"/>
      <c r="MNX21" s="64"/>
      <c r="MNY21" s="64"/>
      <c r="MNZ21" s="64"/>
      <c r="MOA21" s="64"/>
      <c r="MOB21" s="64"/>
      <c r="MOC21" s="64"/>
      <c r="MOD21" s="64"/>
      <c r="MOE21" s="64"/>
      <c r="MOF21" s="64"/>
      <c r="MOG21" s="64"/>
      <c r="MOH21" s="64"/>
      <c r="MOI21" s="64"/>
      <c r="MOJ21" s="64"/>
      <c r="MOK21" s="64"/>
      <c r="MOL21" s="64"/>
      <c r="MOM21" s="64"/>
      <c r="MON21" s="64"/>
      <c r="MOO21" s="64"/>
      <c r="MOP21" s="64"/>
      <c r="MOQ21" s="64"/>
      <c r="MOR21" s="64"/>
      <c r="MOS21" s="64"/>
      <c r="MOT21" s="64"/>
      <c r="MOU21" s="64"/>
      <c r="MOV21" s="64"/>
      <c r="MOW21" s="64"/>
      <c r="MOX21" s="64"/>
      <c r="MOY21" s="64"/>
      <c r="MOZ21" s="64"/>
      <c r="MPA21" s="64"/>
      <c r="MPB21" s="64"/>
      <c r="MPC21" s="64"/>
      <c r="MPD21" s="64"/>
      <c r="MPE21" s="64"/>
      <c r="MPF21" s="64"/>
      <c r="MPG21" s="64"/>
      <c r="MPH21" s="64"/>
      <c r="MPI21" s="64"/>
      <c r="MPJ21" s="64"/>
      <c r="MPK21" s="64"/>
      <c r="MPL21" s="64"/>
      <c r="MPM21" s="64"/>
      <c r="MPN21" s="64"/>
      <c r="MPO21" s="64"/>
      <c r="MPP21" s="64"/>
      <c r="MPQ21" s="64"/>
      <c r="MPR21" s="64"/>
      <c r="MPS21" s="64"/>
      <c r="MPT21" s="64"/>
      <c r="MPU21" s="64"/>
      <c r="MPV21" s="64"/>
      <c r="MPW21" s="64"/>
      <c r="MPX21" s="64"/>
      <c r="MPY21" s="64"/>
      <c r="MPZ21" s="64"/>
      <c r="MQA21" s="64"/>
      <c r="MQB21" s="64"/>
      <c r="MQC21" s="64"/>
      <c r="MQD21" s="64"/>
      <c r="MQE21" s="64"/>
      <c r="MQF21" s="64"/>
      <c r="MQG21" s="64"/>
      <c r="MQH21" s="64"/>
      <c r="MQI21" s="64"/>
      <c r="MQJ21" s="64"/>
      <c r="MQK21" s="64"/>
      <c r="MQL21" s="64"/>
      <c r="MQM21" s="64"/>
      <c r="MQN21" s="64"/>
      <c r="MQO21" s="64"/>
      <c r="MQP21" s="64"/>
      <c r="MQQ21" s="64"/>
      <c r="MQR21" s="64"/>
      <c r="MQS21" s="64"/>
      <c r="MQT21" s="64"/>
      <c r="MQU21" s="64"/>
      <c r="MQV21" s="64"/>
      <c r="MQW21" s="64"/>
      <c r="MQX21" s="64"/>
      <c r="MQY21" s="64"/>
      <c r="MQZ21" s="64"/>
      <c r="MRA21" s="64"/>
      <c r="MRB21" s="64"/>
      <c r="MRC21" s="64"/>
      <c r="MRD21" s="64"/>
      <c r="MRE21" s="64"/>
      <c r="MRF21" s="64"/>
      <c r="MRG21" s="64"/>
      <c r="MRH21" s="64"/>
      <c r="MRI21" s="64"/>
      <c r="MRJ21" s="64"/>
      <c r="MRK21" s="64"/>
      <c r="MRL21" s="64"/>
      <c r="MRM21" s="64"/>
      <c r="MRN21" s="64"/>
      <c r="MRO21" s="64"/>
      <c r="MRP21" s="64"/>
      <c r="MRQ21" s="64"/>
      <c r="MRR21" s="64"/>
      <c r="MRS21" s="64"/>
      <c r="MRT21" s="64"/>
      <c r="MRU21" s="64"/>
      <c r="MRV21" s="64"/>
      <c r="MRW21" s="64"/>
      <c r="MRX21" s="64"/>
      <c r="MRY21" s="64"/>
      <c r="MRZ21" s="64"/>
      <c r="MSA21" s="64"/>
      <c r="MSB21" s="64"/>
      <c r="MSC21" s="64"/>
      <c r="MSD21" s="64"/>
      <c r="MSE21" s="64"/>
      <c r="MSF21" s="64"/>
      <c r="MSG21" s="64"/>
      <c r="MSH21" s="64"/>
      <c r="MSI21" s="64"/>
      <c r="MSJ21" s="64"/>
      <c r="MSK21" s="64"/>
      <c r="MSL21" s="64"/>
      <c r="MSM21" s="64"/>
      <c r="MSN21" s="64"/>
      <c r="MSO21" s="64"/>
      <c r="MSP21" s="64"/>
      <c r="MSQ21" s="64"/>
      <c r="MSR21" s="64"/>
      <c r="MSS21" s="64"/>
      <c r="MST21" s="64"/>
      <c r="MSU21" s="64"/>
      <c r="MSV21" s="64"/>
      <c r="MSW21" s="64"/>
      <c r="MSX21" s="64"/>
      <c r="MSY21" s="64"/>
      <c r="MSZ21" s="64"/>
      <c r="MTA21" s="64"/>
      <c r="MTB21" s="64"/>
      <c r="MTC21" s="64"/>
      <c r="MTD21" s="64"/>
      <c r="MTE21" s="64"/>
      <c r="MTF21" s="64"/>
      <c r="MTG21" s="64"/>
      <c r="MTH21" s="64"/>
      <c r="MTI21" s="64"/>
      <c r="MTJ21" s="64"/>
      <c r="MTK21" s="64"/>
      <c r="MTL21" s="64"/>
      <c r="MTM21" s="64"/>
      <c r="MTN21" s="64"/>
      <c r="MTO21" s="64"/>
      <c r="MTP21" s="64"/>
      <c r="MTQ21" s="64"/>
      <c r="MTR21" s="64"/>
      <c r="MTS21" s="64"/>
      <c r="MTT21" s="64"/>
      <c r="MTU21" s="64"/>
      <c r="MTV21" s="64"/>
      <c r="MTW21" s="64"/>
      <c r="MTX21" s="64"/>
      <c r="MTY21" s="64"/>
      <c r="MTZ21" s="64"/>
      <c r="MUA21" s="64"/>
      <c r="MUB21" s="64"/>
      <c r="MUC21" s="64"/>
      <c r="MUD21" s="64"/>
      <c r="MUE21" s="64"/>
      <c r="MUF21" s="64"/>
      <c r="MUG21" s="64"/>
      <c r="MUH21" s="64"/>
      <c r="MUI21" s="64"/>
      <c r="MUJ21" s="64"/>
      <c r="MUK21" s="64"/>
      <c r="MUL21" s="64"/>
      <c r="MUM21" s="64"/>
      <c r="MUN21" s="64"/>
      <c r="MUO21" s="64"/>
      <c r="MUP21" s="64"/>
      <c r="MUQ21" s="64"/>
      <c r="MUR21" s="64"/>
      <c r="MUS21" s="64"/>
      <c r="MUT21" s="64"/>
      <c r="MUU21" s="64"/>
      <c r="MUV21" s="64"/>
      <c r="MUW21" s="64"/>
      <c r="MUX21" s="64"/>
      <c r="MUY21" s="64"/>
      <c r="MUZ21" s="64"/>
      <c r="MVA21" s="64"/>
      <c r="MVB21" s="64"/>
      <c r="MVC21" s="64"/>
      <c r="MVD21" s="64"/>
      <c r="MVE21" s="64"/>
      <c r="MVF21" s="64"/>
      <c r="MVG21" s="64"/>
      <c r="MVH21" s="64"/>
      <c r="MVI21" s="64"/>
      <c r="MVJ21" s="64"/>
      <c r="MVK21" s="64"/>
      <c r="MVL21" s="64"/>
      <c r="MVM21" s="64"/>
      <c r="MVN21" s="64"/>
      <c r="MVO21" s="64"/>
      <c r="MVP21" s="64"/>
      <c r="MVQ21" s="64"/>
      <c r="MVR21" s="64"/>
      <c r="MVS21" s="64"/>
      <c r="MVT21" s="64"/>
      <c r="MVU21" s="64"/>
      <c r="MVV21" s="64"/>
      <c r="MVW21" s="64"/>
      <c r="MVX21" s="64"/>
      <c r="MVY21" s="64"/>
      <c r="MVZ21" s="64"/>
      <c r="MWA21" s="64"/>
      <c r="MWB21" s="64"/>
      <c r="MWC21" s="64"/>
      <c r="MWD21" s="64"/>
      <c r="MWE21" s="64"/>
      <c r="MWF21" s="64"/>
      <c r="MWG21" s="64"/>
      <c r="MWH21" s="64"/>
      <c r="MWI21" s="64"/>
      <c r="MWJ21" s="64"/>
      <c r="MWK21" s="64"/>
      <c r="MWL21" s="64"/>
      <c r="MWM21" s="64"/>
      <c r="MWN21" s="64"/>
      <c r="MWO21" s="64"/>
      <c r="MWP21" s="64"/>
      <c r="MWQ21" s="64"/>
      <c r="MWR21" s="64"/>
      <c r="MWS21" s="64"/>
      <c r="MWT21" s="64"/>
      <c r="MWU21" s="64"/>
      <c r="MWV21" s="64"/>
      <c r="MWW21" s="64"/>
      <c r="MWX21" s="64"/>
      <c r="MWY21" s="64"/>
      <c r="MWZ21" s="64"/>
      <c r="MXA21" s="64"/>
      <c r="MXB21" s="64"/>
      <c r="MXC21" s="64"/>
      <c r="MXD21" s="64"/>
      <c r="MXE21" s="64"/>
      <c r="MXF21" s="64"/>
      <c r="MXG21" s="64"/>
      <c r="MXH21" s="64"/>
      <c r="MXI21" s="64"/>
      <c r="MXJ21" s="64"/>
      <c r="MXK21" s="64"/>
      <c r="MXL21" s="64"/>
      <c r="MXM21" s="64"/>
      <c r="MXN21" s="64"/>
      <c r="MXO21" s="64"/>
      <c r="MXP21" s="64"/>
      <c r="MXQ21" s="64"/>
      <c r="MXR21" s="64"/>
      <c r="MXS21" s="64"/>
      <c r="MXT21" s="64"/>
      <c r="MXU21" s="64"/>
      <c r="MXV21" s="64"/>
      <c r="MXW21" s="64"/>
      <c r="MXX21" s="64"/>
      <c r="MXY21" s="64"/>
      <c r="MXZ21" s="64"/>
      <c r="MYA21" s="64"/>
      <c r="MYB21" s="64"/>
      <c r="MYC21" s="64"/>
      <c r="MYD21" s="64"/>
      <c r="MYE21" s="64"/>
      <c r="MYF21" s="64"/>
      <c r="MYG21" s="64"/>
      <c r="MYH21" s="64"/>
      <c r="MYI21" s="64"/>
      <c r="MYJ21" s="64"/>
      <c r="MYK21" s="64"/>
      <c r="MYL21" s="64"/>
      <c r="MYM21" s="64"/>
      <c r="MYN21" s="64"/>
      <c r="MYO21" s="64"/>
      <c r="MYP21" s="64"/>
      <c r="MYQ21" s="64"/>
      <c r="MYR21" s="64"/>
      <c r="MYS21" s="64"/>
      <c r="MYT21" s="64"/>
      <c r="MYU21" s="64"/>
      <c r="MYV21" s="64"/>
      <c r="MYW21" s="64"/>
      <c r="MYX21" s="64"/>
      <c r="MYY21" s="64"/>
      <c r="MYZ21" s="64"/>
      <c r="MZA21" s="64"/>
      <c r="MZB21" s="64"/>
      <c r="MZC21" s="64"/>
      <c r="MZD21" s="64"/>
      <c r="MZE21" s="64"/>
      <c r="MZF21" s="64"/>
      <c r="MZG21" s="64"/>
      <c r="MZH21" s="64"/>
      <c r="MZI21" s="64"/>
      <c r="MZJ21" s="64"/>
      <c r="MZK21" s="64"/>
      <c r="MZL21" s="64"/>
      <c r="MZM21" s="64"/>
      <c r="MZN21" s="64"/>
      <c r="MZO21" s="64"/>
      <c r="MZP21" s="64"/>
      <c r="MZQ21" s="64"/>
      <c r="MZR21" s="64"/>
      <c r="MZS21" s="64"/>
      <c r="MZT21" s="64"/>
      <c r="MZU21" s="64"/>
      <c r="MZV21" s="64"/>
      <c r="MZW21" s="64"/>
      <c r="MZX21" s="64"/>
      <c r="MZY21" s="64"/>
      <c r="MZZ21" s="64"/>
      <c r="NAA21" s="64"/>
      <c r="NAB21" s="64"/>
      <c r="NAC21" s="64"/>
      <c r="NAD21" s="64"/>
      <c r="NAE21" s="64"/>
      <c r="NAF21" s="64"/>
      <c r="NAG21" s="64"/>
      <c r="NAH21" s="64"/>
      <c r="NAI21" s="64"/>
      <c r="NAJ21" s="64"/>
      <c r="NAK21" s="64"/>
      <c r="NAL21" s="64"/>
      <c r="NAM21" s="64"/>
      <c r="NAN21" s="64"/>
      <c r="NAO21" s="64"/>
      <c r="NAP21" s="64"/>
      <c r="NAQ21" s="64"/>
      <c r="NAR21" s="64"/>
      <c r="NAS21" s="64"/>
      <c r="NAT21" s="64"/>
      <c r="NAU21" s="64"/>
      <c r="NAV21" s="64"/>
      <c r="NAW21" s="64"/>
      <c r="NAX21" s="64"/>
      <c r="NAY21" s="64"/>
      <c r="NAZ21" s="64"/>
      <c r="NBA21" s="64"/>
      <c r="NBB21" s="64"/>
      <c r="NBC21" s="64"/>
      <c r="NBD21" s="64"/>
      <c r="NBE21" s="64"/>
      <c r="NBF21" s="64"/>
      <c r="NBG21" s="64"/>
      <c r="NBH21" s="64"/>
      <c r="NBI21" s="64"/>
      <c r="NBJ21" s="64"/>
      <c r="NBK21" s="64"/>
      <c r="NBL21" s="64"/>
      <c r="NBM21" s="64"/>
      <c r="NBN21" s="64"/>
      <c r="NBO21" s="64"/>
      <c r="NBP21" s="64"/>
      <c r="NBQ21" s="64"/>
      <c r="NBR21" s="64"/>
      <c r="NBS21" s="64"/>
      <c r="NBT21" s="64"/>
      <c r="NBU21" s="64"/>
      <c r="NBV21" s="64"/>
      <c r="NBW21" s="64"/>
      <c r="NBX21" s="64"/>
      <c r="NBY21" s="64"/>
      <c r="NBZ21" s="64"/>
      <c r="NCA21" s="64"/>
      <c r="NCB21" s="64"/>
      <c r="NCC21" s="64"/>
      <c r="NCD21" s="64"/>
      <c r="NCE21" s="64"/>
      <c r="NCF21" s="64"/>
      <c r="NCG21" s="64"/>
      <c r="NCH21" s="64"/>
      <c r="NCI21" s="64"/>
      <c r="NCJ21" s="64"/>
      <c r="NCK21" s="64"/>
      <c r="NCL21" s="64"/>
      <c r="NCM21" s="64"/>
      <c r="NCN21" s="64"/>
      <c r="NCO21" s="64"/>
      <c r="NCP21" s="64"/>
      <c r="NCQ21" s="64"/>
      <c r="NCR21" s="64"/>
      <c r="NCS21" s="64"/>
      <c r="NCT21" s="64"/>
      <c r="NCU21" s="64"/>
      <c r="NCV21" s="64"/>
      <c r="NCW21" s="64"/>
      <c r="NCX21" s="64"/>
      <c r="NCY21" s="64"/>
      <c r="NCZ21" s="64"/>
      <c r="NDA21" s="64"/>
      <c r="NDB21" s="64"/>
      <c r="NDC21" s="64"/>
      <c r="NDD21" s="64"/>
      <c r="NDE21" s="64"/>
      <c r="NDF21" s="64"/>
      <c r="NDG21" s="64"/>
      <c r="NDH21" s="64"/>
      <c r="NDI21" s="64"/>
      <c r="NDJ21" s="64"/>
      <c r="NDK21" s="64"/>
      <c r="NDL21" s="64"/>
      <c r="NDM21" s="64"/>
      <c r="NDN21" s="64"/>
      <c r="NDO21" s="64"/>
      <c r="NDP21" s="64"/>
      <c r="NDQ21" s="64"/>
      <c r="NDR21" s="64"/>
      <c r="NDS21" s="64"/>
      <c r="NDT21" s="64"/>
      <c r="NDU21" s="64"/>
      <c r="NDV21" s="64"/>
      <c r="NDW21" s="64"/>
      <c r="NDX21" s="64"/>
      <c r="NDY21" s="64"/>
      <c r="NDZ21" s="64"/>
      <c r="NEA21" s="64"/>
      <c r="NEB21" s="64"/>
      <c r="NEC21" s="64"/>
      <c r="NED21" s="64"/>
      <c r="NEE21" s="64"/>
      <c r="NEF21" s="64"/>
      <c r="NEG21" s="64"/>
      <c r="NEH21" s="64"/>
      <c r="NEI21" s="64"/>
      <c r="NEJ21" s="64"/>
      <c r="NEK21" s="64"/>
      <c r="NEL21" s="64"/>
      <c r="NEM21" s="64"/>
      <c r="NEN21" s="64"/>
      <c r="NEO21" s="64"/>
      <c r="NEP21" s="64"/>
      <c r="NEQ21" s="64"/>
      <c r="NER21" s="64"/>
      <c r="NES21" s="64"/>
      <c r="NET21" s="64"/>
      <c r="NEU21" s="64"/>
      <c r="NEV21" s="64"/>
      <c r="NEW21" s="64"/>
      <c r="NEX21" s="64"/>
      <c r="NEY21" s="64"/>
      <c r="NEZ21" s="64"/>
      <c r="NFA21" s="64"/>
      <c r="NFB21" s="64"/>
      <c r="NFC21" s="64"/>
      <c r="NFD21" s="64"/>
      <c r="NFE21" s="64"/>
      <c r="NFF21" s="64"/>
      <c r="NFG21" s="64"/>
      <c r="NFH21" s="64"/>
      <c r="NFI21" s="64"/>
      <c r="NFJ21" s="64"/>
      <c r="NFK21" s="64"/>
      <c r="NFL21" s="64"/>
      <c r="NFM21" s="64"/>
      <c r="NFN21" s="64"/>
      <c r="NFO21" s="64"/>
      <c r="NFP21" s="64"/>
      <c r="NFQ21" s="64"/>
      <c r="NFR21" s="64"/>
      <c r="NFS21" s="64"/>
      <c r="NFT21" s="64"/>
      <c r="NFU21" s="64"/>
      <c r="NFV21" s="64"/>
      <c r="NFW21" s="64"/>
      <c r="NFX21" s="64"/>
      <c r="NFY21" s="64"/>
      <c r="NFZ21" s="64"/>
      <c r="NGA21" s="64"/>
      <c r="NGB21" s="64"/>
      <c r="NGC21" s="64"/>
      <c r="NGD21" s="64"/>
      <c r="NGE21" s="64"/>
      <c r="NGF21" s="64"/>
      <c r="NGG21" s="64"/>
      <c r="NGH21" s="64"/>
      <c r="NGI21" s="64"/>
      <c r="NGJ21" s="64"/>
      <c r="NGK21" s="64"/>
      <c r="NGL21" s="64"/>
      <c r="NGM21" s="64"/>
      <c r="NGN21" s="64"/>
      <c r="NGO21" s="64"/>
      <c r="NGP21" s="64"/>
      <c r="NGQ21" s="64"/>
      <c r="NGR21" s="64"/>
      <c r="NGS21" s="64"/>
      <c r="NGT21" s="64"/>
      <c r="NGU21" s="64"/>
      <c r="NGV21" s="64"/>
      <c r="NGW21" s="64"/>
      <c r="NGX21" s="64"/>
      <c r="NGY21" s="64"/>
      <c r="NGZ21" s="64"/>
      <c r="NHA21" s="64"/>
      <c r="NHB21" s="64"/>
      <c r="NHC21" s="64"/>
      <c r="NHD21" s="64"/>
      <c r="NHE21" s="64"/>
      <c r="NHF21" s="64"/>
      <c r="NHG21" s="64"/>
      <c r="NHH21" s="64"/>
      <c r="NHI21" s="64"/>
      <c r="NHJ21" s="64"/>
      <c r="NHK21" s="64"/>
      <c r="NHL21" s="64"/>
      <c r="NHM21" s="64"/>
      <c r="NHN21" s="64"/>
      <c r="NHO21" s="64"/>
      <c r="NHP21" s="64"/>
      <c r="NHQ21" s="64"/>
      <c r="NHR21" s="64"/>
      <c r="NHS21" s="64"/>
      <c r="NHT21" s="64"/>
      <c r="NHU21" s="64"/>
      <c r="NHV21" s="64"/>
      <c r="NHW21" s="64"/>
      <c r="NHX21" s="64"/>
      <c r="NHY21" s="64"/>
      <c r="NHZ21" s="64"/>
      <c r="NIA21" s="64"/>
      <c r="NIB21" s="64"/>
      <c r="NIC21" s="64"/>
      <c r="NID21" s="64"/>
      <c r="NIE21" s="64"/>
      <c r="NIF21" s="64"/>
      <c r="NIG21" s="64"/>
      <c r="NIH21" s="64"/>
      <c r="NII21" s="64"/>
      <c r="NIJ21" s="64"/>
      <c r="NIK21" s="64"/>
      <c r="NIL21" s="64"/>
      <c r="NIM21" s="64"/>
      <c r="NIN21" s="64"/>
      <c r="NIO21" s="64"/>
      <c r="NIP21" s="64"/>
      <c r="NIQ21" s="64"/>
      <c r="NIR21" s="64"/>
      <c r="NIS21" s="64"/>
      <c r="NIT21" s="64"/>
      <c r="NIU21" s="64"/>
      <c r="NIV21" s="64"/>
      <c r="NIW21" s="64"/>
      <c r="NIX21" s="64"/>
      <c r="NIY21" s="64"/>
      <c r="NIZ21" s="64"/>
      <c r="NJA21" s="64"/>
      <c r="NJB21" s="64"/>
      <c r="NJC21" s="64"/>
      <c r="NJD21" s="64"/>
      <c r="NJE21" s="64"/>
      <c r="NJF21" s="64"/>
      <c r="NJG21" s="64"/>
      <c r="NJH21" s="64"/>
      <c r="NJI21" s="64"/>
      <c r="NJJ21" s="64"/>
      <c r="NJK21" s="64"/>
      <c r="NJL21" s="64"/>
      <c r="NJM21" s="64"/>
      <c r="NJN21" s="64"/>
      <c r="NJO21" s="64"/>
      <c r="NJP21" s="64"/>
      <c r="NJQ21" s="64"/>
      <c r="NJR21" s="64"/>
      <c r="NJS21" s="64"/>
      <c r="NJT21" s="64"/>
      <c r="NJU21" s="64"/>
      <c r="NJV21" s="64"/>
      <c r="NJW21" s="64"/>
      <c r="NJX21" s="64"/>
      <c r="NJY21" s="64"/>
      <c r="NJZ21" s="64"/>
      <c r="NKA21" s="64"/>
      <c r="NKB21" s="64"/>
      <c r="NKC21" s="64"/>
      <c r="NKD21" s="64"/>
      <c r="NKE21" s="64"/>
      <c r="NKF21" s="64"/>
      <c r="NKG21" s="64"/>
      <c r="NKH21" s="64"/>
      <c r="NKI21" s="64"/>
      <c r="NKJ21" s="64"/>
      <c r="NKK21" s="64"/>
      <c r="NKL21" s="64"/>
      <c r="NKM21" s="64"/>
      <c r="NKN21" s="64"/>
      <c r="NKO21" s="64"/>
      <c r="NKP21" s="64"/>
      <c r="NKQ21" s="64"/>
      <c r="NKR21" s="64"/>
      <c r="NKS21" s="64"/>
      <c r="NKT21" s="64"/>
      <c r="NKU21" s="64"/>
      <c r="NKV21" s="64"/>
      <c r="NKW21" s="64"/>
      <c r="NKX21" s="64"/>
      <c r="NKY21" s="64"/>
      <c r="NKZ21" s="64"/>
      <c r="NLA21" s="64"/>
      <c r="NLB21" s="64"/>
      <c r="NLC21" s="64"/>
      <c r="NLD21" s="64"/>
      <c r="NLE21" s="64"/>
      <c r="NLF21" s="64"/>
      <c r="NLG21" s="64"/>
      <c r="NLH21" s="64"/>
      <c r="NLI21" s="64"/>
      <c r="NLJ21" s="64"/>
      <c r="NLK21" s="64"/>
      <c r="NLL21" s="64"/>
      <c r="NLM21" s="64"/>
      <c r="NLN21" s="64"/>
      <c r="NLO21" s="64"/>
      <c r="NLP21" s="64"/>
      <c r="NLQ21" s="64"/>
      <c r="NLR21" s="64"/>
      <c r="NLS21" s="64"/>
      <c r="NLT21" s="64"/>
      <c r="NLU21" s="64"/>
      <c r="NLV21" s="64"/>
      <c r="NLW21" s="64"/>
      <c r="NLX21" s="64"/>
      <c r="NLY21" s="64"/>
      <c r="NLZ21" s="64"/>
      <c r="NMA21" s="64"/>
      <c r="NMB21" s="64"/>
      <c r="NMC21" s="64"/>
      <c r="NMD21" s="64"/>
      <c r="NME21" s="64"/>
      <c r="NMF21" s="64"/>
      <c r="NMG21" s="64"/>
      <c r="NMH21" s="64"/>
      <c r="NMI21" s="64"/>
      <c r="NMJ21" s="64"/>
      <c r="NMK21" s="64"/>
      <c r="NML21" s="64"/>
      <c r="NMM21" s="64"/>
      <c r="NMN21" s="64"/>
      <c r="NMO21" s="64"/>
      <c r="NMP21" s="64"/>
      <c r="NMQ21" s="64"/>
      <c r="NMR21" s="64"/>
      <c r="NMS21" s="64"/>
      <c r="NMT21" s="64"/>
      <c r="NMU21" s="64"/>
      <c r="NMV21" s="64"/>
      <c r="NMW21" s="64"/>
      <c r="NMX21" s="64"/>
      <c r="NMY21" s="64"/>
      <c r="NMZ21" s="64"/>
      <c r="NNA21" s="64"/>
      <c r="NNB21" s="64"/>
      <c r="NNC21" s="64"/>
      <c r="NND21" s="64"/>
      <c r="NNE21" s="64"/>
      <c r="NNF21" s="64"/>
      <c r="NNG21" s="64"/>
      <c r="NNH21" s="64"/>
      <c r="NNI21" s="64"/>
      <c r="NNJ21" s="64"/>
      <c r="NNK21" s="64"/>
      <c r="NNL21" s="64"/>
      <c r="NNM21" s="64"/>
      <c r="NNN21" s="64"/>
      <c r="NNO21" s="64"/>
      <c r="NNP21" s="64"/>
      <c r="NNQ21" s="64"/>
      <c r="NNR21" s="64"/>
      <c r="NNS21" s="64"/>
      <c r="NNT21" s="64"/>
      <c r="NNU21" s="64"/>
      <c r="NNV21" s="64"/>
      <c r="NNW21" s="64"/>
      <c r="NNX21" s="64"/>
      <c r="NNY21" s="64"/>
      <c r="NNZ21" s="64"/>
      <c r="NOA21" s="64"/>
      <c r="NOB21" s="64"/>
      <c r="NOC21" s="64"/>
      <c r="NOD21" s="64"/>
      <c r="NOE21" s="64"/>
      <c r="NOF21" s="64"/>
      <c r="NOG21" s="64"/>
      <c r="NOH21" s="64"/>
      <c r="NOI21" s="64"/>
      <c r="NOJ21" s="64"/>
      <c r="NOK21" s="64"/>
      <c r="NOL21" s="64"/>
      <c r="NOM21" s="64"/>
      <c r="NON21" s="64"/>
      <c r="NOO21" s="64"/>
      <c r="NOP21" s="64"/>
      <c r="NOQ21" s="64"/>
      <c r="NOR21" s="64"/>
      <c r="NOS21" s="64"/>
      <c r="NOT21" s="64"/>
      <c r="NOU21" s="64"/>
      <c r="NOV21" s="64"/>
      <c r="NOW21" s="64"/>
      <c r="NOX21" s="64"/>
      <c r="NOY21" s="64"/>
      <c r="NOZ21" s="64"/>
      <c r="NPA21" s="64"/>
      <c r="NPB21" s="64"/>
      <c r="NPC21" s="64"/>
      <c r="NPD21" s="64"/>
      <c r="NPE21" s="64"/>
      <c r="NPF21" s="64"/>
      <c r="NPG21" s="64"/>
      <c r="NPH21" s="64"/>
      <c r="NPI21" s="64"/>
      <c r="NPJ21" s="64"/>
      <c r="NPK21" s="64"/>
      <c r="NPL21" s="64"/>
      <c r="NPM21" s="64"/>
      <c r="NPN21" s="64"/>
      <c r="NPO21" s="64"/>
      <c r="NPP21" s="64"/>
      <c r="NPQ21" s="64"/>
      <c r="NPR21" s="64"/>
      <c r="NPS21" s="64"/>
      <c r="NPT21" s="64"/>
      <c r="NPU21" s="64"/>
      <c r="NPV21" s="64"/>
      <c r="NPW21" s="64"/>
      <c r="NPX21" s="64"/>
      <c r="NPY21" s="64"/>
      <c r="NPZ21" s="64"/>
      <c r="NQA21" s="64"/>
      <c r="NQB21" s="64"/>
      <c r="NQC21" s="64"/>
      <c r="NQD21" s="64"/>
      <c r="NQE21" s="64"/>
      <c r="NQF21" s="64"/>
      <c r="NQG21" s="64"/>
      <c r="NQH21" s="64"/>
      <c r="NQI21" s="64"/>
      <c r="NQJ21" s="64"/>
      <c r="NQK21" s="64"/>
      <c r="NQL21" s="64"/>
      <c r="NQM21" s="64"/>
      <c r="NQN21" s="64"/>
      <c r="NQO21" s="64"/>
      <c r="NQP21" s="64"/>
      <c r="NQQ21" s="64"/>
      <c r="NQR21" s="64"/>
      <c r="NQS21" s="64"/>
      <c r="NQT21" s="64"/>
      <c r="NQU21" s="64"/>
      <c r="NQV21" s="64"/>
      <c r="NQW21" s="64"/>
      <c r="NQX21" s="64"/>
      <c r="NQY21" s="64"/>
      <c r="NQZ21" s="64"/>
      <c r="NRA21" s="64"/>
      <c r="NRB21" s="64"/>
      <c r="NRC21" s="64"/>
      <c r="NRD21" s="64"/>
      <c r="NRE21" s="64"/>
      <c r="NRF21" s="64"/>
      <c r="NRG21" s="64"/>
      <c r="NRH21" s="64"/>
      <c r="NRI21" s="64"/>
      <c r="NRJ21" s="64"/>
      <c r="NRK21" s="64"/>
      <c r="NRL21" s="64"/>
      <c r="NRM21" s="64"/>
      <c r="NRN21" s="64"/>
      <c r="NRO21" s="64"/>
      <c r="NRP21" s="64"/>
      <c r="NRQ21" s="64"/>
      <c r="NRR21" s="64"/>
      <c r="NRS21" s="64"/>
      <c r="NRT21" s="64"/>
      <c r="NRU21" s="64"/>
      <c r="NRV21" s="64"/>
      <c r="NRW21" s="64"/>
      <c r="NRX21" s="64"/>
      <c r="NRY21" s="64"/>
      <c r="NRZ21" s="64"/>
      <c r="NSA21" s="64"/>
      <c r="NSB21" s="64"/>
      <c r="NSC21" s="64"/>
      <c r="NSD21" s="64"/>
      <c r="NSE21" s="64"/>
      <c r="NSF21" s="64"/>
      <c r="NSG21" s="64"/>
      <c r="NSH21" s="64"/>
      <c r="NSI21" s="64"/>
      <c r="NSJ21" s="64"/>
      <c r="NSK21" s="64"/>
      <c r="NSL21" s="64"/>
      <c r="NSM21" s="64"/>
      <c r="NSN21" s="64"/>
      <c r="NSO21" s="64"/>
      <c r="NSP21" s="64"/>
      <c r="NSQ21" s="64"/>
      <c r="NSR21" s="64"/>
      <c r="NSS21" s="64"/>
      <c r="NST21" s="64"/>
      <c r="NSU21" s="64"/>
      <c r="NSV21" s="64"/>
      <c r="NSW21" s="64"/>
      <c r="NSX21" s="64"/>
      <c r="NSY21" s="64"/>
      <c r="NSZ21" s="64"/>
      <c r="NTA21" s="64"/>
      <c r="NTB21" s="64"/>
      <c r="NTC21" s="64"/>
      <c r="NTD21" s="64"/>
      <c r="NTE21" s="64"/>
      <c r="NTF21" s="64"/>
      <c r="NTG21" s="64"/>
      <c r="NTH21" s="64"/>
      <c r="NTI21" s="64"/>
      <c r="NTJ21" s="64"/>
      <c r="NTK21" s="64"/>
      <c r="NTL21" s="64"/>
      <c r="NTM21" s="64"/>
      <c r="NTN21" s="64"/>
      <c r="NTO21" s="64"/>
      <c r="NTP21" s="64"/>
      <c r="NTQ21" s="64"/>
      <c r="NTR21" s="64"/>
      <c r="NTS21" s="64"/>
      <c r="NTT21" s="64"/>
      <c r="NTU21" s="64"/>
      <c r="NTV21" s="64"/>
      <c r="NTW21" s="64"/>
      <c r="NTX21" s="64"/>
      <c r="NTY21" s="64"/>
      <c r="NTZ21" s="64"/>
      <c r="NUA21" s="64"/>
      <c r="NUB21" s="64"/>
      <c r="NUC21" s="64"/>
      <c r="NUD21" s="64"/>
      <c r="NUE21" s="64"/>
      <c r="NUF21" s="64"/>
      <c r="NUG21" s="64"/>
      <c r="NUH21" s="64"/>
      <c r="NUI21" s="64"/>
      <c r="NUJ21" s="64"/>
      <c r="NUK21" s="64"/>
      <c r="NUL21" s="64"/>
      <c r="NUM21" s="64"/>
      <c r="NUN21" s="64"/>
      <c r="NUO21" s="64"/>
      <c r="NUP21" s="64"/>
      <c r="NUQ21" s="64"/>
      <c r="NUR21" s="64"/>
      <c r="NUS21" s="64"/>
      <c r="NUT21" s="64"/>
      <c r="NUU21" s="64"/>
      <c r="NUV21" s="64"/>
      <c r="NUW21" s="64"/>
      <c r="NUX21" s="64"/>
      <c r="NUY21" s="64"/>
      <c r="NUZ21" s="64"/>
      <c r="NVA21" s="64"/>
      <c r="NVB21" s="64"/>
      <c r="NVC21" s="64"/>
      <c r="NVD21" s="64"/>
      <c r="NVE21" s="64"/>
      <c r="NVF21" s="64"/>
      <c r="NVG21" s="64"/>
      <c r="NVH21" s="64"/>
      <c r="NVI21" s="64"/>
      <c r="NVJ21" s="64"/>
      <c r="NVK21" s="64"/>
      <c r="NVL21" s="64"/>
      <c r="NVM21" s="64"/>
      <c r="NVN21" s="64"/>
      <c r="NVO21" s="64"/>
      <c r="NVP21" s="64"/>
      <c r="NVQ21" s="64"/>
      <c r="NVR21" s="64"/>
      <c r="NVS21" s="64"/>
      <c r="NVT21" s="64"/>
      <c r="NVU21" s="64"/>
      <c r="NVV21" s="64"/>
      <c r="NVW21" s="64"/>
      <c r="NVX21" s="64"/>
      <c r="NVY21" s="64"/>
      <c r="NVZ21" s="64"/>
      <c r="NWA21" s="64"/>
      <c r="NWB21" s="64"/>
      <c r="NWC21" s="64"/>
      <c r="NWD21" s="64"/>
      <c r="NWE21" s="64"/>
      <c r="NWF21" s="64"/>
      <c r="NWG21" s="64"/>
      <c r="NWH21" s="64"/>
      <c r="NWI21" s="64"/>
      <c r="NWJ21" s="64"/>
      <c r="NWK21" s="64"/>
      <c r="NWL21" s="64"/>
      <c r="NWM21" s="64"/>
      <c r="NWN21" s="64"/>
      <c r="NWO21" s="64"/>
      <c r="NWP21" s="64"/>
      <c r="NWQ21" s="64"/>
      <c r="NWR21" s="64"/>
      <c r="NWS21" s="64"/>
      <c r="NWT21" s="64"/>
      <c r="NWU21" s="64"/>
      <c r="NWV21" s="64"/>
      <c r="NWW21" s="64"/>
      <c r="NWX21" s="64"/>
      <c r="NWY21" s="64"/>
      <c r="NWZ21" s="64"/>
      <c r="NXA21" s="64"/>
      <c r="NXB21" s="64"/>
      <c r="NXC21" s="64"/>
      <c r="NXD21" s="64"/>
      <c r="NXE21" s="64"/>
      <c r="NXF21" s="64"/>
      <c r="NXG21" s="64"/>
      <c r="NXH21" s="64"/>
      <c r="NXI21" s="64"/>
      <c r="NXJ21" s="64"/>
      <c r="NXK21" s="64"/>
      <c r="NXL21" s="64"/>
      <c r="NXM21" s="64"/>
      <c r="NXN21" s="64"/>
      <c r="NXO21" s="64"/>
      <c r="NXP21" s="64"/>
      <c r="NXQ21" s="64"/>
      <c r="NXR21" s="64"/>
      <c r="NXS21" s="64"/>
      <c r="NXT21" s="64"/>
      <c r="NXU21" s="64"/>
      <c r="NXV21" s="64"/>
      <c r="NXW21" s="64"/>
      <c r="NXX21" s="64"/>
      <c r="NXY21" s="64"/>
      <c r="NXZ21" s="64"/>
      <c r="NYA21" s="64"/>
      <c r="NYB21" s="64"/>
      <c r="NYC21" s="64"/>
      <c r="NYD21" s="64"/>
      <c r="NYE21" s="64"/>
      <c r="NYF21" s="64"/>
      <c r="NYG21" s="64"/>
      <c r="NYH21" s="64"/>
      <c r="NYI21" s="64"/>
      <c r="NYJ21" s="64"/>
      <c r="NYK21" s="64"/>
      <c r="NYL21" s="64"/>
      <c r="NYM21" s="64"/>
      <c r="NYN21" s="64"/>
      <c r="NYO21" s="64"/>
      <c r="NYP21" s="64"/>
      <c r="NYQ21" s="64"/>
      <c r="NYR21" s="64"/>
      <c r="NYS21" s="64"/>
      <c r="NYT21" s="64"/>
      <c r="NYU21" s="64"/>
      <c r="NYV21" s="64"/>
      <c r="NYW21" s="64"/>
      <c r="NYX21" s="64"/>
      <c r="NYY21" s="64"/>
      <c r="NYZ21" s="64"/>
      <c r="NZA21" s="64"/>
      <c r="NZB21" s="64"/>
      <c r="NZC21" s="64"/>
      <c r="NZD21" s="64"/>
      <c r="NZE21" s="64"/>
      <c r="NZF21" s="64"/>
      <c r="NZG21" s="64"/>
      <c r="NZH21" s="64"/>
      <c r="NZI21" s="64"/>
      <c r="NZJ21" s="64"/>
      <c r="NZK21" s="64"/>
      <c r="NZL21" s="64"/>
      <c r="NZM21" s="64"/>
      <c r="NZN21" s="64"/>
      <c r="NZO21" s="64"/>
      <c r="NZP21" s="64"/>
      <c r="NZQ21" s="64"/>
      <c r="NZR21" s="64"/>
      <c r="NZS21" s="64"/>
      <c r="NZT21" s="64"/>
      <c r="NZU21" s="64"/>
      <c r="NZV21" s="64"/>
      <c r="NZW21" s="64"/>
      <c r="NZX21" s="64"/>
      <c r="NZY21" s="64"/>
      <c r="NZZ21" s="64"/>
      <c r="OAA21" s="64"/>
      <c r="OAB21" s="64"/>
      <c r="OAC21" s="64"/>
      <c r="OAD21" s="64"/>
      <c r="OAE21" s="64"/>
      <c r="OAF21" s="64"/>
      <c r="OAG21" s="64"/>
      <c r="OAH21" s="64"/>
      <c r="OAI21" s="64"/>
      <c r="OAJ21" s="64"/>
      <c r="OAK21" s="64"/>
      <c r="OAL21" s="64"/>
      <c r="OAM21" s="64"/>
      <c r="OAN21" s="64"/>
      <c r="OAO21" s="64"/>
      <c r="OAP21" s="64"/>
      <c r="OAQ21" s="64"/>
      <c r="OAR21" s="64"/>
      <c r="OAS21" s="64"/>
      <c r="OAT21" s="64"/>
      <c r="OAU21" s="64"/>
      <c r="OAV21" s="64"/>
      <c r="OAW21" s="64"/>
      <c r="OAX21" s="64"/>
      <c r="OAY21" s="64"/>
      <c r="OAZ21" s="64"/>
      <c r="OBA21" s="64"/>
      <c r="OBB21" s="64"/>
      <c r="OBC21" s="64"/>
      <c r="OBD21" s="64"/>
      <c r="OBE21" s="64"/>
      <c r="OBF21" s="64"/>
      <c r="OBG21" s="64"/>
      <c r="OBH21" s="64"/>
      <c r="OBI21" s="64"/>
      <c r="OBJ21" s="64"/>
      <c r="OBK21" s="64"/>
      <c r="OBL21" s="64"/>
      <c r="OBM21" s="64"/>
      <c r="OBN21" s="64"/>
      <c r="OBO21" s="64"/>
      <c r="OBP21" s="64"/>
      <c r="OBQ21" s="64"/>
      <c r="OBR21" s="64"/>
      <c r="OBS21" s="64"/>
      <c r="OBT21" s="64"/>
      <c r="OBU21" s="64"/>
      <c r="OBV21" s="64"/>
      <c r="OBW21" s="64"/>
      <c r="OBX21" s="64"/>
      <c r="OBY21" s="64"/>
      <c r="OBZ21" s="64"/>
      <c r="OCA21" s="64"/>
      <c r="OCB21" s="64"/>
      <c r="OCC21" s="64"/>
      <c r="OCD21" s="64"/>
      <c r="OCE21" s="64"/>
      <c r="OCF21" s="64"/>
      <c r="OCG21" s="64"/>
      <c r="OCH21" s="64"/>
      <c r="OCI21" s="64"/>
      <c r="OCJ21" s="64"/>
      <c r="OCK21" s="64"/>
      <c r="OCL21" s="64"/>
      <c r="OCM21" s="64"/>
      <c r="OCN21" s="64"/>
      <c r="OCO21" s="64"/>
      <c r="OCP21" s="64"/>
      <c r="OCQ21" s="64"/>
      <c r="OCR21" s="64"/>
      <c r="OCS21" s="64"/>
      <c r="OCT21" s="64"/>
      <c r="OCU21" s="64"/>
      <c r="OCV21" s="64"/>
      <c r="OCW21" s="64"/>
      <c r="OCX21" s="64"/>
      <c r="OCY21" s="64"/>
      <c r="OCZ21" s="64"/>
      <c r="ODA21" s="64"/>
      <c r="ODB21" s="64"/>
      <c r="ODC21" s="64"/>
      <c r="ODD21" s="64"/>
      <c r="ODE21" s="64"/>
      <c r="ODF21" s="64"/>
      <c r="ODG21" s="64"/>
      <c r="ODH21" s="64"/>
      <c r="ODI21" s="64"/>
      <c r="ODJ21" s="64"/>
      <c r="ODK21" s="64"/>
      <c r="ODL21" s="64"/>
      <c r="ODM21" s="64"/>
      <c r="ODN21" s="64"/>
      <c r="ODO21" s="64"/>
      <c r="ODP21" s="64"/>
      <c r="ODQ21" s="64"/>
      <c r="ODR21" s="64"/>
      <c r="ODS21" s="64"/>
      <c r="ODT21" s="64"/>
      <c r="ODU21" s="64"/>
      <c r="ODV21" s="64"/>
      <c r="ODW21" s="64"/>
      <c r="ODX21" s="64"/>
      <c r="ODY21" s="64"/>
      <c r="ODZ21" s="64"/>
      <c r="OEA21" s="64"/>
      <c r="OEB21" s="64"/>
      <c r="OEC21" s="64"/>
      <c r="OED21" s="64"/>
      <c r="OEE21" s="64"/>
      <c r="OEF21" s="64"/>
      <c r="OEG21" s="64"/>
      <c r="OEH21" s="64"/>
      <c r="OEI21" s="64"/>
      <c r="OEJ21" s="64"/>
      <c r="OEK21" s="64"/>
      <c r="OEL21" s="64"/>
      <c r="OEM21" s="64"/>
      <c r="OEN21" s="64"/>
      <c r="OEO21" s="64"/>
      <c r="OEP21" s="64"/>
      <c r="OEQ21" s="64"/>
      <c r="OER21" s="64"/>
      <c r="OES21" s="64"/>
      <c r="OET21" s="64"/>
      <c r="OEU21" s="64"/>
      <c r="OEV21" s="64"/>
      <c r="OEW21" s="64"/>
      <c r="OEX21" s="64"/>
      <c r="OEY21" s="64"/>
      <c r="OEZ21" s="64"/>
      <c r="OFA21" s="64"/>
      <c r="OFB21" s="64"/>
      <c r="OFC21" s="64"/>
      <c r="OFD21" s="64"/>
      <c r="OFE21" s="64"/>
      <c r="OFF21" s="64"/>
      <c r="OFG21" s="64"/>
      <c r="OFH21" s="64"/>
      <c r="OFI21" s="64"/>
      <c r="OFJ21" s="64"/>
      <c r="OFK21" s="64"/>
      <c r="OFL21" s="64"/>
      <c r="OFM21" s="64"/>
      <c r="OFN21" s="64"/>
      <c r="OFO21" s="64"/>
      <c r="OFP21" s="64"/>
      <c r="OFQ21" s="64"/>
      <c r="OFR21" s="64"/>
      <c r="OFS21" s="64"/>
      <c r="OFT21" s="64"/>
      <c r="OFU21" s="64"/>
      <c r="OFV21" s="64"/>
      <c r="OFW21" s="64"/>
      <c r="OFX21" s="64"/>
      <c r="OFY21" s="64"/>
      <c r="OFZ21" s="64"/>
      <c r="OGA21" s="64"/>
      <c r="OGB21" s="64"/>
      <c r="OGC21" s="64"/>
      <c r="OGD21" s="64"/>
      <c r="OGE21" s="64"/>
      <c r="OGF21" s="64"/>
      <c r="OGG21" s="64"/>
      <c r="OGH21" s="64"/>
      <c r="OGI21" s="64"/>
      <c r="OGJ21" s="64"/>
      <c r="OGK21" s="64"/>
      <c r="OGL21" s="64"/>
      <c r="OGM21" s="64"/>
      <c r="OGN21" s="64"/>
      <c r="OGO21" s="64"/>
      <c r="OGP21" s="64"/>
      <c r="OGQ21" s="64"/>
      <c r="OGR21" s="64"/>
      <c r="OGS21" s="64"/>
      <c r="OGT21" s="64"/>
      <c r="OGU21" s="64"/>
      <c r="OGV21" s="64"/>
      <c r="OGW21" s="64"/>
      <c r="OGX21" s="64"/>
      <c r="OGY21" s="64"/>
      <c r="OGZ21" s="64"/>
      <c r="OHA21" s="64"/>
      <c r="OHB21" s="64"/>
      <c r="OHC21" s="64"/>
      <c r="OHD21" s="64"/>
      <c r="OHE21" s="64"/>
      <c r="OHF21" s="64"/>
      <c r="OHG21" s="64"/>
      <c r="OHH21" s="64"/>
      <c r="OHI21" s="64"/>
      <c r="OHJ21" s="64"/>
      <c r="OHK21" s="64"/>
      <c r="OHL21" s="64"/>
      <c r="OHM21" s="64"/>
      <c r="OHN21" s="64"/>
      <c r="OHO21" s="64"/>
      <c r="OHP21" s="64"/>
      <c r="OHQ21" s="64"/>
      <c r="OHR21" s="64"/>
      <c r="OHS21" s="64"/>
      <c r="OHT21" s="64"/>
      <c r="OHU21" s="64"/>
      <c r="OHV21" s="64"/>
      <c r="OHW21" s="64"/>
      <c r="OHX21" s="64"/>
      <c r="OHY21" s="64"/>
      <c r="OHZ21" s="64"/>
      <c r="OIA21" s="64"/>
      <c r="OIB21" s="64"/>
      <c r="OIC21" s="64"/>
      <c r="OID21" s="64"/>
      <c r="OIE21" s="64"/>
      <c r="OIF21" s="64"/>
      <c r="OIG21" s="64"/>
      <c r="OIH21" s="64"/>
      <c r="OII21" s="64"/>
      <c r="OIJ21" s="64"/>
      <c r="OIK21" s="64"/>
      <c r="OIL21" s="64"/>
      <c r="OIM21" s="64"/>
      <c r="OIN21" s="64"/>
      <c r="OIO21" s="64"/>
      <c r="OIP21" s="64"/>
      <c r="OIQ21" s="64"/>
      <c r="OIR21" s="64"/>
      <c r="OIS21" s="64"/>
      <c r="OIT21" s="64"/>
      <c r="OIU21" s="64"/>
      <c r="OIV21" s="64"/>
      <c r="OIW21" s="64"/>
      <c r="OIX21" s="64"/>
      <c r="OIY21" s="64"/>
      <c r="OIZ21" s="64"/>
      <c r="OJA21" s="64"/>
      <c r="OJB21" s="64"/>
      <c r="OJC21" s="64"/>
      <c r="OJD21" s="64"/>
      <c r="OJE21" s="64"/>
      <c r="OJF21" s="64"/>
      <c r="OJG21" s="64"/>
      <c r="OJH21" s="64"/>
      <c r="OJI21" s="64"/>
      <c r="OJJ21" s="64"/>
      <c r="OJK21" s="64"/>
      <c r="OJL21" s="64"/>
      <c r="OJM21" s="64"/>
      <c r="OJN21" s="64"/>
      <c r="OJO21" s="64"/>
      <c r="OJP21" s="64"/>
      <c r="OJQ21" s="64"/>
      <c r="OJR21" s="64"/>
      <c r="OJS21" s="64"/>
      <c r="OJT21" s="64"/>
      <c r="OJU21" s="64"/>
      <c r="OJV21" s="64"/>
      <c r="OJW21" s="64"/>
      <c r="OJX21" s="64"/>
      <c r="OJY21" s="64"/>
      <c r="OJZ21" s="64"/>
      <c r="OKA21" s="64"/>
      <c r="OKB21" s="64"/>
      <c r="OKC21" s="64"/>
      <c r="OKD21" s="64"/>
      <c r="OKE21" s="64"/>
      <c r="OKF21" s="64"/>
      <c r="OKG21" s="64"/>
      <c r="OKH21" s="64"/>
      <c r="OKI21" s="64"/>
      <c r="OKJ21" s="64"/>
      <c r="OKK21" s="64"/>
      <c r="OKL21" s="64"/>
      <c r="OKM21" s="64"/>
      <c r="OKN21" s="64"/>
      <c r="OKO21" s="64"/>
      <c r="OKP21" s="64"/>
      <c r="OKQ21" s="64"/>
      <c r="OKR21" s="64"/>
      <c r="OKS21" s="64"/>
      <c r="OKT21" s="64"/>
      <c r="OKU21" s="64"/>
      <c r="OKV21" s="64"/>
      <c r="OKW21" s="64"/>
      <c r="OKX21" s="64"/>
      <c r="OKY21" s="64"/>
      <c r="OKZ21" s="64"/>
      <c r="OLA21" s="64"/>
      <c r="OLB21" s="64"/>
      <c r="OLC21" s="64"/>
      <c r="OLD21" s="64"/>
      <c r="OLE21" s="64"/>
      <c r="OLF21" s="64"/>
      <c r="OLG21" s="64"/>
      <c r="OLH21" s="64"/>
      <c r="OLI21" s="64"/>
      <c r="OLJ21" s="64"/>
      <c r="OLK21" s="64"/>
      <c r="OLL21" s="64"/>
      <c r="OLM21" s="64"/>
      <c r="OLN21" s="64"/>
      <c r="OLO21" s="64"/>
      <c r="OLP21" s="64"/>
      <c r="OLQ21" s="64"/>
      <c r="OLR21" s="64"/>
      <c r="OLS21" s="64"/>
      <c r="OLT21" s="64"/>
      <c r="OLU21" s="64"/>
      <c r="OLV21" s="64"/>
      <c r="OLW21" s="64"/>
      <c r="OLX21" s="64"/>
      <c r="OLY21" s="64"/>
      <c r="OLZ21" s="64"/>
      <c r="OMA21" s="64"/>
      <c r="OMB21" s="64"/>
      <c r="OMC21" s="64"/>
      <c r="OMD21" s="64"/>
      <c r="OME21" s="64"/>
      <c r="OMF21" s="64"/>
      <c r="OMG21" s="64"/>
      <c r="OMH21" s="64"/>
      <c r="OMI21" s="64"/>
      <c r="OMJ21" s="64"/>
      <c r="OMK21" s="64"/>
      <c r="OML21" s="64"/>
      <c r="OMM21" s="64"/>
      <c r="OMN21" s="64"/>
      <c r="OMO21" s="64"/>
      <c r="OMP21" s="64"/>
      <c r="OMQ21" s="64"/>
      <c r="OMR21" s="64"/>
      <c r="OMS21" s="64"/>
      <c r="OMT21" s="64"/>
      <c r="OMU21" s="64"/>
      <c r="OMV21" s="64"/>
      <c r="OMW21" s="64"/>
      <c r="OMX21" s="64"/>
      <c r="OMY21" s="64"/>
      <c r="OMZ21" s="64"/>
      <c r="ONA21" s="64"/>
      <c r="ONB21" s="64"/>
      <c r="ONC21" s="64"/>
      <c r="OND21" s="64"/>
      <c r="ONE21" s="64"/>
      <c r="ONF21" s="64"/>
      <c r="ONG21" s="64"/>
      <c r="ONH21" s="64"/>
      <c r="ONI21" s="64"/>
      <c r="ONJ21" s="64"/>
      <c r="ONK21" s="64"/>
      <c r="ONL21" s="64"/>
      <c r="ONM21" s="64"/>
      <c r="ONN21" s="64"/>
      <c r="ONO21" s="64"/>
      <c r="ONP21" s="64"/>
      <c r="ONQ21" s="64"/>
      <c r="ONR21" s="64"/>
      <c r="ONS21" s="64"/>
      <c r="ONT21" s="64"/>
      <c r="ONU21" s="64"/>
      <c r="ONV21" s="64"/>
      <c r="ONW21" s="64"/>
      <c r="ONX21" s="64"/>
      <c r="ONY21" s="64"/>
      <c r="ONZ21" s="64"/>
      <c r="OOA21" s="64"/>
      <c r="OOB21" s="64"/>
      <c r="OOC21" s="64"/>
      <c r="OOD21" s="64"/>
      <c r="OOE21" s="64"/>
      <c r="OOF21" s="64"/>
      <c r="OOG21" s="64"/>
      <c r="OOH21" s="64"/>
      <c r="OOI21" s="64"/>
      <c r="OOJ21" s="64"/>
      <c r="OOK21" s="64"/>
      <c r="OOL21" s="64"/>
      <c r="OOM21" s="64"/>
      <c r="OON21" s="64"/>
      <c r="OOO21" s="64"/>
      <c r="OOP21" s="64"/>
      <c r="OOQ21" s="64"/>
      <c r="OOR21" s="64"/>
      <c r="OOS21" s="64"/>
      <c r="OOT21" s="64"/>
      <c r="OOU21" s="64"/>
      <c r="OOV21" s="64"/>
      <c r="OOW21" s="64"/>
      <c r="OOX21" s="64"/>
      <c r="OOY21" s="64"/>
      <c r="OOZ21" s="64"/>
      <c r="OPA21" s="64"/>
      <c r="OPB21" s="64"/>
      <c r="OPC21" s="64"/>
      <c r="OPD21" s="64"/>
      <c r="OPE21" s="64"/>
      <c r="OPF21" s="64"/>
      <c r="OPG21" s="64"/>
      <c r="OPH21" s="64"/>
      <c r="OPI21" s="64"/>
      <c r="OPJ21" s="64"/>
      <c r="OPK21" s="64"/>
      <c r="OPL21" s="64"/>
      <c r="OPM21" s="64"/>
      <c r="OPN21" s="64"/>
      <c r="OPO21" s="64"/>
      <c r="OPP21" s="64"/>
      <c r="OPQ21" s="64"/>
      <c r="OPR21" s="64"/>
      <c r="OPS21" s="64"/>
      <c r="OPT21" s="64"/>
      <c r="OPU21" s="64"/>
      <c r="OPV21" s="64"/>
      <c r="OPW21" s="64"/>
      <c r="OPX21" s="64"/>
      <c r="OPY21" s="64"/>
      <c r="OPZ21" s="64"/>
      <c r="OQA21" s="64"/>
      <c r="OQB21" s="64"/>
      <c r="OQC21" s="64"/>
      <c r="OQD21" s="64"/>
      <c r="OQE21" s="64"/>
      <c r="OQF21" s="64"/>
      <c r="OQG21" s="64"/>
      <c r="OQH21" s="64"/>
      <c r="OQI21" s="64"/>
      <c r="OQJ21" s="64"/>
      <c r="OQK21" s="64"/>
      <c r="OQL21" s="64"/>
      <c r="OQM21" s="64"/>
      <c r="OQN21" s="64"/>
      <c r="OQO21" s="64"/>
      <c r="OQP21" s="64"/>
      <c r="OQQ21" s="64"/>
      <c r="OQR21" s="64"/>
      <c r="OQS21" s="64"/>
      <c r="OQT21" s="64"/>
      <c r="OQU21" s="64"/>
      <c r="OQV21" s="64"/>
      <c r="OQW21" s="64"/>
      <c r="OQX21" s="64"/>
      <c r="OQY21" s="64"/>
      <c r="OQZ21" s="64"/>
      <c r="ORA21" s="64"/>
      <c r="ORB21" s="64"/>
      <c r="ORC21" s="64"/>
      <c r="ORD21" s="64"/>
      <c r="ORE21" s="64"/>
      <c r="ORF21" s="64"/>
      <c r="ORG21" s="64"/>
      <c r="ORH21" s="64"/>
      <c r="ORI21" s="64"/>
      <c r="ORJ21" s="64"/>
      <c r="ORK21" s="64"/>
      <c r="ORL21" s="64"/>
      <c r="ORM21" s="64"/>
      <c r="ORN21" s="64"/>
      <c r="ORO21" s="64"/>
      <c r="ORP21" s="64"/>
      <c r="ORQ21" s="64"/>
      <c r="ORR21" s="64"/>
      <c r="ORS21" s="64"/>
      <c r="ORT21" s="64"/>
      <c r="ORU21" s="64"/>
      <c r="ORV21" s="64"/>
      <c r="ORW21" s="64"/>
      <c r="ORX21" s="64"/>
      <c r="ORY21" s="64"/>
      <c r="ORZ21" s="64"/>
      <c r="OSA21" s="64"/>
      <c r="OSB21" s="64"/>
      <c r="OSC21" s="64"/>
      <c r="OSD21" s="64"/>
      <c r="OSE21" s="64"/>
      <c r="OSF21" s="64"/>
      <c r="OSG21" s="64"/>
      <c r="OSH21" s="64"/>
      <c r="OSI21" s="64"/>
      <c r="OSJ21" s="64"/>
      <c r="OSK21" s="64"/>
      <c r="OSL21" s="64"/>
      <c r="OSM21" s="64"/>
      <c r="OSN21" s="64"/>
      <c r="OSO21" s="64"/>
      <c r="OSP21" s="64"/>
      <c r="OSQ21" s="64"/>
      <c r="OSR21" s="64"/>
      <c r="OSS21" s="64"/>
      <c r="OST21" s="64"/>
      <c r="OSU21" s="64"/>
      <c r="OSV21" s="64"/>
      <c r="OSW21" s="64"/>
      <c r="OSX21" s="64"/>
      <c r="OSY21" s="64"/>
      <c r="OSZ21" s="64"/>
      <c r="OTA21" s="64"/>
      <c r="OTB21" s="64"/>
      <c r="OTC21" s="64"/>
      <c r="OTD21" s="64"/>
      <c r="OTE21" s="64"/>
      <c r="OTF21" s="64"/>
      <c r="OTG21" s="64"/>
      <c r="OTH21" s="64"/>
      <c r="OTI21" s="64"/>
      <c r="OTJ21" s="64"/>
      <c r="OTK21" s="64"/>
      <c r="OTL21" s="64"/>
      <c r="OTM21" s="64"/>
      <c r="OTN21" s="64"/>
      <c r="OTO21" s="64"/>
      <c r="OTP21" s="64"/>
      <c r="OTQ21" s="64"/>
      <c r="OTR21" s="64"/>
      <c r="OTS21" s="64"/>
      <c r="OTT21" s="64"/>
      <c r="OTU21" s="64"/>
      <c r="OTV21" s="64"/>
      <c r="OTW21" s="64"/>
      <c r="OTX21" s="64"/>
      <c r="OTY21" s="64"/>
      <c r="OTZ21" s="64"/>
      <c r="OUA21" s="64"/>
      <c r="OUB21" s="64"/>
      <c r="OUC21" s="64"/>
      <c r="OUD21" s="64"/>
      <c r="OUE21" s="64"/>
      <c r="OUF21" s="64"/>
      <c r="OUG21" s="64"/>
      <c r="OUH21" s="64"/>
      <c r="OUI21" s="64"/>
      <c r="OUJ21" s="64"/>
      <c r="OUK21" s="64"/>
      <c r="OUL21" s="64"/>
      <c r="OUM21" s="64"/>
      <c r="OUN21" s="64"/>
      <c r="OUO21" s="64"/>
      <c r="OUP21" s="64"/>
      <c r="OUQ21" s="64"/>
      <c r="OUR21" s="64"/>
      <c r="OUS21" s="64"/>
      <c r="OUT21" s="64"/>
      <c r="OUU21" s="64"/>
      <c r="OUV21" s="64"/>
      <c r="OUW21" s="64"/>
      <c r="OUX21" s="64"/>
      <c r="OUY21" s="64"/>
      <c r="OUZ21" s="64"/>
      <c r="OVA21" s="64"/>
      <c r="OVB21" s="64"/>
      <c r="OVC21" s="64"/>
      <c r="OVD21" s="64"/>
      <c r="OVE21" s="64"/>
      <c r="OVF21" s="64"/>
      <c r="OVG21" s="64"/>
      <c r="OVH21" s="64"/>
      <c r="OVI21" s="64"/>
      <c r="OVJ21" s="64"/>
      <c r="OVK21" s="64"/>
      <c r="OVL21" s="64"/>
      <c r="OVM21" s="64"/>
      <c r="OVN21" s="64"/>
      <c r="OVO21" s="64"/>
      <c r="OVP21" s="64"/>
      <c r="OVQ21" s="64"/>
      <c r="OVR21" s="64"/>
      <c r="OVS21" s="64"/>
      <c r="OVT21" s="64"/>
      <c r="OVU21" s="64"/>
      <c r="OVV21" s="64"/>
      <c r="OVW21" s="64"/>
      <c r="OVX21" s="64"/>
      <c r="OVY21" s="64"/>
      <c r="OVZ21" s="64"/>
      <c r="OWA21" s="64"/>
      <c r="OWB21" s="64"/>
      <c r="OWC21" s="64"/>
      <c r="OWD21" s="64"/>
      <c r="OWE21" s="64"/>
      <c r="OWF21" s="64"/>
      <c r="OWG21" s="64"/>
      <c r="OWH21" s="64"/>
      <c r="OWI21" s="64"/>
      <c r="OWJ21" s="64"/>
      <c r="OWK21" s="64"/>
      <c r="OWL21" s="64"/>
      <c r="OWM21" s="64"/>
      <c r="OWN21" s="64"/>
      <c r="OWO21" s="64"/>
      <c r="OWP21" s="64"/>
      <c r="OWQ21" s="64"/>
      <c r="OWR21" s="64"/>
      <c r="OWS21" s="64"/>
      <c r="OWT21" s="64"/>
      <c r="OWU21" s="64"/>
      <c r="OWV21" s="64"/>
      <c r="OWW21" s="64"/>
      <c r="OWX21" s="64"/>
      <c r="OWY21" s="64"/>
      <c r="OWZ21" s="64"/>
      <c r="OXA21" s="64"/>
      <c r="OXB21" s="64"/>
      <c r="OXC21" s="64"/>
      <c r="OXD21" s="64"/>
      <c r="OXE21" s="64"/>
      <c r="OXF21" s="64"/>
      <c r="OXG21" s="64"/>
      <c r="OXH21" s="64"/>
      <c r="OXI21" s="64"/>
      <c r="OXJ21" s="64"/>
      <c r="OXK21" s="64"/>
      <c r="OXL21" s="64"/>
      <c r="OXM21" s="64"/>
      <c r="OXN21" s="64"/>
      <c r="OXO21" s="64"/>
      <c r="OXP21" s="64"/>
      <c r="OXQ21" s="64"/>
      <c r="OXR21" s="64"/>
      <c r="OXS21" s="64"/>
      <c r="OXT21" s="64"/>
      <c r="OXU21" s="64"/>
      <c r="OXV21" s="64"/>
      <c r="OXW21" s="64"/>
      <c r="OXX21" s="64"/>
      <c r="OXY21" s="64"/>
      <c r="OXZ21" s="64"/>
      <c r="OYA21" s="64"/>
      <c r="OYB21" s="64"/>
      <c r="OYC21" s="64"/>
      <c r="OYD21" s="64"/>
      <c r="OYE21" s="64"/>
      <c r="OYF21" s="64"/>
      <c r="OYG21" s="64"/>
      <c r="OYH21" s="64"/>
      <c r="OYI21" s="64"/>
      <c r="OYJ21" s="64"/>
      <c r="OYK21" s="64"/>
      <c r="OYL21" s="64"/>
      <c r="OYM21" s="64"/>
      <c r="OYN21" s="64"/>
      <c r="OYO21" s="64"/>
      <c r="OYP21" s="64"/>
      <c r="OYQ21" s="64"/>
      <c r="OYR21" s="64"/>
      <c r="OYS21" s="64"/>
      <c r="OYT21" s="64"/>
      <c r="OYU21" s="64"/>
      <c r="OYV21" s="64"/>
      <c r="OYW21" s="64"/>
      <c r="OYX21" s="64"/>
      <c r="OYY21" s="64"/>
      <c r="OYZ21" s="64"/>
      <c r="OZA21" s="64"/>
      <c r="OZB21" s="64"/>
      <c r="OZC21" s="64"/>
      <c r="OZD21" s="64"/>
      <c r="OZE21" s="64"/>
      <c r="OZF21" s="64"/>
      <c r="OZG21" s="64"/>
      <c r="OZH21" s="64"/>
      <c r="OZI21" s="64"/>
      <c r="OZJ21" s="64"/>
      <c r="OZK21" s="64"/>
      <c r="OZL21" s="64"/>
      <c r="OZM21" s="64"/>
      <c r="OZN21" s="64"/>
      <c r="OZO21" s="64"/>
      <c r="OZP21" s="64"/>
      <c r="OZQ21" s="64"/>
      <c r="OZR21" s="64"/>
      <c r="OZS21" s="64"/>
      <c r="OZT21" s="64"/>
      <c r="OZU21" s="64"/>
      <c r="OZV21" s="64"/>
      <c r="OZW21" s="64"/>
      <c r="OZX21" s="64"/>
      <c r="OZY21" s="64"/>
      <c r="OZZ21" s="64"/>
      <c r="PAA21" s="64"/>
      <c r="PAB21" s="64"/>
      <c r="PAC21" s="64"/>
      <c r="PAD21" s="64"/>
      <c r="PAE21" s="64"/>
      <c r="PAF21" s="64"/>
      <c r="PAG21" s="64"/>
      <c r="PAH21" s="64"/>
      <c r="PAI21" s="64"/>
      <c r="PAJ21" s="64"/>
      <c r="PAK21" s="64"/>
      <c r="PAL21" s="64"/>
      <c r="PAM21" s="64"/>
      <c r="PAN21" s="64"/>
      <c r="PAO21" s="64"/>
      <c r="PAP21" s="64"/>
      <c r="PAQ21" s="64"/>
      <c r="PAR21" s="64"/>
      <c r="PAS21" s="64"/>
      <c r="PAT21" s="64"/>
      <c r="PAU21" s="64"/>
      <c r="PAV21" s="64"/>
      <c r="PAW21" s="64"/>
      <c r="PAX21" s="64"/>
      <c r="PAY21" s="64"/>
      <c r="PAZ21" s="64"/>
      <c r="PBA21" s="64"/>
      <c r="PBB21" s="64"/>
      <c r="PBC21" s="64"/>
      <c r="PBD21" s="64"/>
      <c r="PBE21" s="64"/>
      <c r="PBF21" s="64"/>
      <c r="PBG21" s="64"/>
      <c r="PBH21" s="64"/>
      <c r="PBI21" s="64"/>
      <c r="PBJ21" s="64"/>
      <c r="PBK21" s="64"/>
      <c r="PBL21" s="64"/>
      <c r="PBM21" s="64"/>
      <c r="PBN21" s="64"/>
      <c r="PBO21" s="64"/>
      <c r="PBP21" s="64"/>
      <c r="PBQ21" s="64"/>
      <c r="PBR21" s="64"/>
      <c r="PBS21" s="64"/>
      <c r="PBT21" s="64"/>
      <c r="PBU21" s="64"/>
      <c r="PBV21" s="64"/>
      <c r="PBW21" s="64"/>
      <c r="PBX21" s="64"/>
      <c r="PBY21" s="64"/>
      <c r="PBZ21" s="64"/>
      <c r="PCA21" s="64"/>
      <c r="PCB21" s="64"/>
      <c r="PCC21" s="64"/>
      <c r="PCD21" s="64"/>
      <c r="PCE21" s="64"/>
      <c r="PCF21" s="64"/>
      <c r="PCG21" s="64"/>
      <c r="PCH21" s="64"/>
      <c r="PCI21" s="64"/>
      <c r="PCJ21" s="64"/>
      <c r="PCK21" s="64"/>
      <c r="PCL21" s="64"/>
      <c r="PCM21" s="64"/>
      <c r="PCN21" s="64"/>
      <c r="PCO21" s="64"/>
      <c r="PCP21" s="64"/>
      <c r="PCQ21" s="64"/>
      <c r="PCR21" s="64"/>
      <c r="PCS21" s="64"/>
      <c r="PCT21" s="64"/>
      <c r="PCU21" s="64"/>
      <c r="PCV21" s="64"/>
      <c r="PCW21" s="64"/>
      <c r="PCX21" s="64"/>
      <c r="PCY21" s="64"/>
      <c r="PCZ21" s="64"/>
      <c r="PDA21" s="64"/>
      <c r="PDB21" s="64"/>
      <c r="PDC21" s="64"/>
      <c r="PDD21" s="64"/>
      <c r="PDE21" s="64"/>
      <c r="PDF21" s="64"/>
      <c r="PDG21" s="64"/>
      <c r="PDH21" s="64"/>
      <c r="PDI21" s="64"/>
      <c r="PDJ21" s="64"/>
      <c r="PDK21" s="64"/>
      <c r="PDL21" s="64"/>
      <c r="PDM21" s="64"/>
      <c r="PDN21" s="64"/>
      <c r="PDO21" s="64"/>
      <c r="PDP21" s="64"/>
      <c r="PDQ21" s="64"/>
      <c r="PDR21" s="64"/>
      <c r="PDS21" s="64"/>
      <c r="PDT21" s="64"/>
      <c r="PDU21" s="64"/>
      <c r="PDV21" s="64"/>
      <c r="PDW21" s="64"/>
      <c r="PDX21" s="64"/>
      <c r="PDY21" s="64"/>
      <c r="PDZ21" s="64"/>
      <c r="PEA21" s="64"/>
      <c r="PEB21" s="64"/>
      <c r="PEC21" s="64"/>
      <c r="PED21" s="64"/>
      <c r="PEE21" s="64"/>
      <c r="PEF21" s="64"/>
      <c r="PEG21" s="64"/>
      <c r="PEH21" s="64"/>
      <c r="PEI21" s="64"/>
      <c r="PEJ21" s="64"/>
      <c r="PEK21" s="64"/>
      <c r="PEL21" s="64"/>
      <c r="PEM21" s="64"/>
      <c r="PEN21" s="64"/>
      <c r="PEO21" s="64"/>
      <c r="PEP21" s="64"/>
      <c r="PEQ21" s="64"/>
      <c r="PER21" s="64"/>
      <c r="PES21" s="64"/>
      <c r="PET21" s="64"/>
      <c r="PEU21" s="64"/>
      <c r="PEV21" s="64"/>
      <c r="PEW21" s="64"/>
      <c r="PEX21" s="64"/>
      <c r="PEY21" s="64"/>
      <c r="PEZ21" s="64"/>
      <c r="PFA21" s="64"/>
      <c r="PFB21" s="64"/>
      <c r="PFC21" s="64"/>
      <c r="PFD21" s="64"/>
      <c r="PFE21" s="64"/>
      <c r="PFF21" s="64"/>
      <c r="PFG21" s="64"/>
      <c r="PFH21" s="64"/>
      <c r="PFI21" s="64"/>
      <c r="PFJ21" s="64"/>
      <c r="PFK21" s="64"/>
      <c r="PFL21" s="64"/>
      <c r="PFM21" s="64"/>
      <c r="PFN21" s="64"/>
      <c r="PFO21" s="64"/>
      <c r="PFP21" s="64"/>
      <c r="PFQ21" s="64"/>
      <c r="PFR21" s="64"/>
      <c r="PFS21" s="64"/>
      <c r="PFT21" s="64"/>
      <c r="PFU21" s="64"/>
      <c r="PFV21" s="64"/>
      <c r="PFW21" s="64"/>
      <c r="PFX21" s="64"/>
      <c r="PFY21" s="64"/>
      <c r="PFZ21" s="64"/>
      <c r="PGA21" s="64"/>
      <c r="PGB21" s="64"/>
      <c r="PGC21" s="64"/>
      <c r="PGD21" s="64"/>
      <c r="PGE21" s="64"/>
      <c r="PGF21" s="64"/>
      <c r="PGG21" s="64"/>
      <c r="PGH21" s="64"/>
      <c r="PGI21" s="64"/>
      <c r="PGJ21" s="64"/>
      <c r="PGK21" s="64"/>
      <c r="PGL21" s="64"/>
      <c r="PGM21" s="64"/>
      <c r="PGN21" s="64"/>
      <c r="PGO21" s="64"/>
      <c r="PGP21" s="64"/>
      <c r="PGQ21" s="64"/>
      <c r="PGR21" s="64"/>
      <c r="PGS21" s="64"/>
      <c r="PGT21" s="64"/>
      <c r="PGU21" s="64"/>
      <c r="PGV21" s="64"/>
      <c r="PGW21" s="64"/>
      <c r="PGX21" s="64"/>
      <c r="PGY21" s="64"/>
      <c r="PGZ21" s="64"/>
      <c r="PHA21" s="64"/>
      <c r="PHB21" s="64"/>
      <c r="PHC21" s="64"/>
      <c r="PHD21" s="64"/>
      <c r="PHE21" s="64"/>
      <c r="PHF21" s="64"/>
      <c r="PHG21" s="64"/>
      <c r="PHH21" s="64"/>
      <c r="PHI21" s="64"/>
      <c r="PHJ21" s="64"/>
      <c r="PHK21" s="64"/>
      <c r="PHL21" s="64"/>
      <c r="PHM21" s="64"/>
      <c r="PHN21" s="64"/>
      <c r="PHO21" s="64"/>
      <c r="PHP21" s="64"/>
      <c r="PHQ21" s="64"/>
      <c r="PHR21" s="64"/>
      <c r="PHS21" s="64"/>
      <c r="PHT21" s="64"/>
      <c r="PHU21" s="64"/>
      <c r="PHV21" s="64"/>
      <c r="PHW21" s="64"/>
      <c r="PHX21" s="64"/>
      <c r="PHY21" s="64"/>
      <c r="PHZ21" s="64"/>
      <c r="PIA21" s="64"/>
      <c r="PIB21" s="64"/>
      <c r="PIC21" s="64"/>
      <c r="PID21" s="64"/>
      <c r="PIE21" s="64"/>
      <c r="PIF21" s="64"/>
      <c r="PIG21" s="64"/>
      <c r="PIH21" s="64"/>
      <c r="PII21" s="64"/>
      <c r="PIJ21" s="64"/>
      <c r="PIK21" s="64"/>
      <c r="PIL21" s="64"/>
      <c r="PIM21" s="64"/>
      <c r="PIN21" s="64"/>
      <c r="PIO21" s="64"/>
      <c r="PIP21" s="64"/>
      <c r="PIQ21" s="64"/>
      <c r="PIR21" s="64"/>
      <c r="PIS21" s="64"/>
      <c r="PIT21" s="64"/>
      <c r="PIU21" s="64"/>
      <c r="PIV21" s="64"/>
      <c r="PIW21" s="64"/>
      <c r="PIX21" s="64"/>
      <c r="PIY21" s="64"/>
      <c r="PIZ21" s="64"/>
      <c r="PJA21" s="64"/>
      <c r="PJB21" s="64"/>
      <c r="PJC21" s="64"/>
      <c r="PJD21" s="64"/>
      <c r="PJE21" s="64"/>
      <c r="PJF21" s="64"/>
      <c r="PJG21" s="64"/>
      <c r="PJH21" s="64"/>
      <c r="PJI21" s="64"/>
      <c r="PJJ21" s="64"/>
      <c r="PJK21" s="64"/>
      <c r="PJL21" s="64"/>
      <c r="PJM21" s="64"/>
      <c r="PJN21" s="64"/>
      <c r="PJO21" s="64"/>
      <c r="PJP21" s="64"/>
      <c r="PJQ21" s="64"/>
      <c r="PJR21" s="64"/>
      <c r="PJS21" s="64"/>
      <c r="PJT21" s="64"/>
      <c r="PJU21" s="64"/>
      <c r="PJV21" s="64"/>
      <c r="PJW21" s="64"/>
      <c r="PJX21" s="64"/>
      <c r="PJY21" s="64"/>
      <c r="PJZ21" s="64"/>
      <c r="PKA21" s="64"/>
      <c r="PKB21" s="64"/>
      <c r="PKC21" s="64"/>
      <c r="PKD21" s="64"/>
      <c r="PKE21" s="64"/>
      <c r="PKF21" s="64"/>
      <c r="PKG21" s="64"/>
      <c r="PKH21" s="64"/>
      <c r="PKI21" s="64"/>
      <c r="PKJ21" s="64"/>
      <c r="PKK21" s="64"/>
      <c r="PKL21" s="64"/>
      <c r="PKM21" s="64"/>
      <c r="PKN21" s="64"/>
      <c r="PKO21" s="64"/>
      <c r="PKP21" s="64"/>
      <c r="PKQ21" s="64"/>
      <c r="PKR21" s="64"/>
      <c r="PKS21" s="64"/>
      <c r="PKT21" s="64"/>
      <c r="PKU21" s="64"/>
      <c r="PKV21" s="64"/>
      <c r="PKW21" s="64"/>
      <c r="PKX21" s="64"/>
      <c r="PKY21" s="64"/>
      <c r="PKZ21" s="64"/>
      <c r="PLA21" s="64"/>
      <c r="PLB21" s="64"/>
      <c r="PLC21" s="64"/>
      <c r="PLD21" s="64"/>
      <c r="PLE21" s="64"/>
      <c r="PLF21" s="64"/>
      <c r="PLG21" s="64"/>
      <c r="PLH21" s="64"/>
      <c r="PLI21" s="64"/>
      <c r="PLJ21" s="64"/>
      <c r="PLK21" s="64"/>
      <c r="PLL21" s="64"/>
      <c r="PLM21" s="64"/>
      <c r="PLN21" s="64"/>
      <c r="PLO21" s="64"/>
      <c r="PLP21" s="64"/>
      <c r="PLQ21" s="64"/>
      <c r="PLR21" s="64"/>
      <c r="PLS21" s="64"/>
      <c r="PLT21" s="64"/>
      <c r="PLU21" s="64"/>
      <c r="PLV21" s="64"/>
      <c r="PLW21" s="64"/>
      <c r="PLX21" s="64"/>
      <c r="PLY21" s="64"/>
      <c r="PLZ21" s="64"/>
      <c r="PMA21" s="64"/>
      <c r="PMB21" s="64"/>
      <c r="PMC21" s="64"/>
      <c r="PMD21" s="64"/>
      <c r="PME21" s="64"/>
      <c r="PMF21" s="64"/>
      <c r="PMG21" s="64"/>
      <c r="PMH21" s="64"/>
      <c r="PMI21" s="64"/>
      <c r="PMJ21" s="64"/>
      <c r="PMK21" s="64"/>
      <c r="PML21" s="64"/>
      <c r="PMM21" s="64"/>
      <c r="PMN21" s="64"/>
      <c r="PMO21" s="64"/>
      <c r="PMP21" s="64"/>
      <c r="PMQ21" s="64"/>
      <c r="PMR21" s="64"/>
      <c r="PMS21" s="64"/>
      <c r="PMT21" s="64"/>
      <c r="PMU21" s="64"/>
      <c r="PMV21" s="64"/>
      <c r="PMW21" s="64"/>
      <c r="PMX21" s="64"/>
      <c r="PMY21" s="64"/>
      <c r="PMZ21" s="64"/>
      <c r="PNA21" s="64"/>
      <c r="PNB21" s="64"/>
      <c r="PNC21" s="64"/>
      <c r="PND21" s="64"/>
      <c r="PNE21" s="64"/>
      <c r="PNF21" s="64"/>
      <c r="PNG21" s="64"/>
      <c r="PNH21" s="64"/>
      <c r="PNI21" s="64"/>
      <c r="PNJ21" s="64"/>
      <c r="PNK21" s="64"/>
      <c r="PNL21" s="64"/>
      <c r="PNM21" s="64"/>
      <c r="PNN21" s="64"/>
      <c r="PNO21" s="64"/>
      <c r="PNP21" s="64"/>
      <c r="PNQ21" s="64"/>
      <c r="PNR21" s="64"/>
      <c r="PNS21" s="64"/>
      <c r="PNT21" s="64"/>
      <c r="PNU21" s="64"/>
      <c r="PNV21" s="64"/>
      <c r="PNW21" s="64"/>
      <c r="PNX21" s="64"/>
      <c r="PNY21" s="64"/>
      <c r="PNZ21" s="64"/>
      <c r="POA21" s="64"/>
      <c r="POB21" s="64"/>
      <c r="POC21" s="64"/>
      <c r="POD21" s="64"/>
      <c r="POE21" s="64"/>
      <c r="POF21" s="64"/>
      <c r="POG21" s="64"/>
      <c r="POH21" s="64"/>
      <c r="POI21" s="64"/>
      <c r="POJ21" s="64"/>
      <c r="POK21" s="64"/>
      <c r="POL21" s="64"/>
      <c r="POM21" s="64"/>
      <c r="PON21" s="64"/>
      <c r="POO21" s="64"/>
      <c r="POP21" s="64"/>
      <c r="POQ21" s="64"/>
      <c r="POR21" s="64"/>
      <c r="POS21" s="64"/>
      <c r="POT21" s="64"/>
      <c r="POU21" s="64"/>
      <c r="POV21" s="64"/>
      <c r="POW21" s="64"/>
      <c r="POX21" s="64"/>
      <c r="POY21" s="64"/>
      <c r="POZ21" s="64"/>
      <c r="PPA21" s="64"/>
      <c r="PPB21" s="64"/>
      <c r="PPC21" s="64"/>
      <c r="PPD21" s="64"/>
      <c r="PPE21" s="64"/>
      <c r="PPF21" s="64"/>
      <c r="PPG21" s="64"/>
      <c r="PPH21" s="64"/>
      <c r="PPI21" s="64"/>
      <c r="PPJ21" s="64"/>
      <c r="PPK21" s="64"/>
      <c r="PPL21" s="64"/>
      <c r="PPM21" s="64"/>
      <c r="PPN21" s="64"/>
      <c r="PPO21" s="64"/>
      <c r="PPP21" s="64"/>
      <c r="PPQ21" s="64"/>
      <c r="PPR21" s="64"/>
      <c r="PPS21" s="64"/>
      <c r="PPT21" s="64"/>
      <c r="PPU21" s="64"/>
      <c r="PPV21" s="64"/>
      <c r="PPW21" s="64"/>
      <c r="PPX21" s="64"/>
      <c r="PPY21" s="64"/>
      <c r="PPZ21" s="64"/>
      <c r="PQA21" s="64"/>
      <c r="PQB21" s="64"/>
      <c r="PQC21" s="64"/>
      <c r="PQD21" s="64"/>
      <c r="PQE21" s="64"/>
      <c r="PQF21" s="64"/>
      <c r="PQG21" s="64"/>
      <c r="PQH21" s="64"/>
      <c r="PQI21" s="64"/>
      <c r="PQJ21" s="64"/>
      <c r="PQK21" s="64"/>
      <c r="PQL21" s="64"/>
      <c r="PQM21" s="64"/>
      <c r="PQN21" s="64"/>
      <c r="PQO21" s="64"/>
      <c r="PQP21" s="64"/>
      <c r="PQQ21" s="64"/>
      <c r="PQR21" s="64"/>
      <c r="PQS21" s="64"/>
      <c r="PQT21" s="64"/>
      <c r="PQU21" s="64"/>
      <c r="PQV21" s="64"/>
      <c r="PQW21" s="64"/>
      <c r="PQX21" s="64"/>
      <c r="PQY21" s="64"/>
      <c r="PQZ21" s="64"/>
      <c r="PRA21" s="64"/>
      <c r="PRB21" s="64"/>
      <c r="PRC21" s="64"/>
      <c r="PRD21" s="64"/>
      <c r="PRE21" s="64"/>
      <c r="PRF21" s="64"/>
      <c r="PRG21" s="64"/>
      <c r="PRH21" s="64"/>
      <c r="PRI21" s="64"/>
      <c r="PRJ21" s="64"/>
      <c r="PRK21" s="64"/>
      <c r="PRL21" s="64"/>
      <c r="PRM21" s="64"/>
      <c r="PRN21" s="64"/>
      <c r="PRO21" s="64"/>
      <c r="PRP21" s="64"/>
      <c r="PRQ21" s="64"/>
      <c r="PRR21" s="64"/>
      <c r="PRS21" s="64"/>
      <c r="PRT21" s="64"/>
      <c r="PRU21" s="64"/>
      <c r="PRV21" s="64"/>
      <c r="PRW21" s="64"/>
      <c r="PRX21" s="64"/>
      <c r="PRY21" s="64"/>
      <c r="PRZ21" s="64"/>
      <c r="PSA21" s="64"/>
      <c r="PSB21" s="64"/>
      <c r="PSC21" s="64"/>
      <c r="PSD21" s="64"/>
      <c r="PSE21" s="64"/>
      <c r="PSF21" s="64"/>
      <c r="PSG21" s="64"/>
      <c r="PSH21" s="64"/>
      <c r="PSI21" s="64"/>
      <c r="PSJ21" s="64"/>
      <c r="PSK21" s="64"/>
      <c r="PSL21" s="64"/>
      <c r="PSM21" s="64"/>
      <c r="PSN21" s="64"/>
      <c r="PSO21" s="64"/>
      <c r="PSP21" s="64"/>
      <c r="PSQ21" s="64"/>
      <c r="PSR21" s="64"/>
      <c r="PSS21" s="64"/>
      <c r="PST21" s="64"/>
      <c r="PSU21" s="64"/>
      <c r="PSV21" s="64"/>
      <c r="PSW21" s="64"/>
      <c r="PSX21" s="64"/>
      <c r="PSY21" s="64"/>
      <c r="PSZ21" s="64"/>
      <c r="PTA21" s="64"/>
      <c r="PTB21" s="64"/>
      <c r="PTC21" s="64"/>
      <c r="PTD21" s="64"/>
      <c r="PTE21" s="64"/>
      <c r="PTF21" s="64"/>
      <c r="PTG21" s="64"/>
      <c r="PTH21" s="64"/>
      <c r="PTI21" s="64"/>
      <c r="PTJ21" s="64"/>
      <c r="PTK21" s="64"/>
      <c r="PTL21" s="64"/>
      <c r="PTM21" s="64"/>
      <c r="PTN21" s="64"/>
      <c r="PTO21" s="64"/>
      <c r="PTP21" s="64"/>
      <c r="PTQ21" s="64"/>
      <c r="PTR21" s="64"/>
      <c r="PTS21" s="64"/>
      <c r="PTT21" s="64"/>
      <c r="PTU21" s="64"/>
      <c r="PTV21" s="64"/>
      <c r="PTW21" s="64"/>
      <c r="PTX21" s="64"/>
      <c r="PTY21" s="64"/>
      <c r="PTZ21" s="64"/>
      <c r="PUA21" s="64"/>
      <c r="PUB21" s="64"/>
      <c r="PUC21" s="64"/>
      <c r="PUD21" s="64"/>
      <c r="PUE21" s="64"/>
      <c r="PUF21" s="64"/>
      <c r="PUG21" s="64"/>
      <c r="PUH21" s="64"/>
      <c r="PUI21" s="64"/>
      <c r="PUJ21" s="64"/>
      <c r="PUK21" s="64"/>
      <c r="PUL21" s="64"/>
      <c r="PUM21" s="64"/>
      <c r="PUN21" s="64"/>
      <c r="PUO21" s="64"/>
      <c r="PUP21" s="64"/>
      <c r="PUQ21" s="64"/>
      <c r="PUR21" s="64"/>
      <c r="PUS21" s="64"/>
      <c r="PUT21" s="64"/>
      <c r="PUU21" s="64"/>
      <c r="PUV21" s="64"/>
      <c r="PUW21" s="64"/>
      <c r="PUX21" s="64"/>
      <c r="PUY21" s="64"/>
      <c r="PUZ21" s="64"/>
      <c r="PVA21" s="64"/>
      <c r="PVB21" s="64"/>
      <c r="PVC21" s="64"/>
      <c r="PVD21" s="64"/>
      <c r="PVE21" s="64"/>
      <c r="PVF21" s="64"/>
      <c r="PVG21" s="64"/>
      <c r="PVH21" s="64"/>
      <c r="PVI21" s="64"/>
      <c r="PVJ21" s="64"/>
      <c r="PVK21" s="64"/>
      <c r="PVL21" s="64"/>
      <c r="PVM21" s="64"/>
      <c r="PVN21" s="64"/>
      <c r="PVO21" s="64"/>
      <c r="PVP21" s="64"/>
      <c r="PVQ21" s="64"/>
      <c r="PVR21" s="64"/>
      <c r="PVS21" s="64"/>
      <c r="PVT21" s="64"/>
      <c r="PVU21" s="64"/>
      <c r="PVV21" s="64"/>
      <c r="PVW21" s="64"/>
      <c r="PVX21" s="64"/>
      <c r="PVY21" s="64"/>
      <c r="PVZ21" s="64"/>
      <c r="PWA21" s="64"/>
      <c r="PWB21" s="64"/>
      <c r="PWC21" s="64"/>
      <c r="PWD21" s="64"/>
      <c r="PWE21" s="64"/>
      <c r="PWF21" s="64"/>
      <c r="PWG21" s="64"/>
      <c r="PWH21" s="64"/>
      <c r="PWI21" s="64"/>
      <c r="PWJ21" s="64"/>
      <c r="PWK21" s="64"/>
      <c r="PWL21" s="64"/>
      <c r="PWM21" s="64"/>
      <c r="PWN21" s="64"/>
      <c r="PWO21" s="64"/>
      <c r="PWP21" s="64"/>
      <c r="PWQ21" s="64"/>
      <c r="PWR21" s="64"/>
      <c r="PWS21" s="64"/>
      <c r="PWT21" s="64"/>
      <c r="PWU21" s="64"/>
      <c r="PWV21" s="64"/>
      <c r="PWW21" s="64"/>
      <c r="PWX21" s="64"/>
      <c r="PWY21" s="64"/>
      <c r="PWZ21" s="64"/>
      <c r="PXA21" s="64"/>
      <c r="PXB21" s="64"/>
      <c r="PXC21" s="64"/>
      <c r="PXD21" s="64"/>
      <c r="PXE21" s="64"/>
      <c r="PXF21" s="64"/>
      <c r="PXG21" s="64"/>
      <c r="PXH21" s="64"/>
      <c r="PXI21" s="64"/>
      <c r="PXJ21" s="64"/>
      <c r="PXK21" s="64"/>
      <c r="PXL21" s="64"/>
      <c r="PXM21" s="64"/>
      <c r="PXN21" s="64"/>
      <c r="PXO21" s="64"/>
      <c r="PXP21" s="64"/>
      <c r="PXQ21" s="64"/>
      <c r="PXR21" s="64"/>
      <c r="PXS21" s="64"/>
      <c r="PXT21" s="64"/>
      <c r="PXU21" s="64"/>
      <c r="PXV21" s="64"/>
      <c r="PXW21" s="64"/>
      <c r="PXX21" s="64"/>
      <c r="PXY21" s="64"/>
      <c r="PXZ21" s="64"/>
      <c r="PYA21" s="64"/>
      <c r="PYB21" s="64"/>
      <c r="PYC21" s="64"/>
      <c r="PYD21" s="64"/>
      <c r="PYE21" s="64"/>
      <c r="PYF21" s="64"/>
      <c r="PYG21" s="64"/>
      <c r="PYH21" s="64"/>
      <c r="PYI21" s="64"/>
      <c r="PYJ21" s="64"/>
      <c r="PYK21" s="64"/>
      <c r="PYL21" s="64"/>
      <c r="PYM21" s="64"/>
      <c r="PYN21" s="64"/>
      <c r="PYO21" s="64"/>
      <c r="PYP21" s="64"/>
      <c r="PYQ21" s="64"/>
      <c r="PYR21" s="64"/>
      <c r="PYS21" s="64"/>
      <c r="PYT21" s="64"/>
      <c r="PYU21" s="64"/>
      <c r="PYV21" s="64"/>
      <c r="PYW21" s="64"/>
      <c r="PYX21" s="64"/>
      <c r="PYY21" s="64"/>
      <c r="PYZ21" s="64"/>
      <c r="PZA21" s="64"/>
      <c r="PZB21" s="64"/>
      <c r="PZC21" s="64"/>
      <c r="PZD21" s="64"/>
      <c r="PZE21" s="64"/>
      <c r="PZF21" s="64"/>
      <c r="PZG21" s="64"/>
      <c r="PZH21" s="64"/>
      <c r="PZI21" s="64"/>
      <c r="PZJ21" s="64"/>
      <c r="PZK21" s="64"/>
      <c r="PZL21" s="64"/>
      <c r="PZM21" s="64"/>
      <c r="PZN21" s="64"/>
      <c r="PZO21" s="64"/>
      <c r="PZP21" s="64"/>
      <c r="PZQ21" s="64"/>
      <c r="PZR21" s="64"/>
      <c r="PZS21" s="64"/>
      <c r="PZT21" s="64"/>
      <c r="PZU21" s="64"/>
      <c r="PZV21" s="64"/>
      <c r="PZW21" s="64"/>
      <c r="PZX21" s="64"/>
      <c r="PZY21" s="64"/>
      <c r="PZZ21" s="64"/>
      <c r="QAA21" s="64"/>
      <c r="QAB21" s="64"/>
      <c r="QAC21" s="64"/>
      <c r="QAD21" s="64"/>
      <c r="QAE21" s="64"/>
      <c r="QAF21" s="64"/>
      <c r="QAG21" s="64"/>
      <c r="QAH21" s="64"/>
      <c r="QAI21" s="64"/>
      <c r="QAJ21" s="64"/>
      <c r="QAK21" s="64"/>
      <c r="QAL21" s="64"/>
      <c r="QAM21" s="64"/>
      <c r="QAN21" s="64"/>
      <c r="QAO21" s="64"/>
      <c r="QAP21" s="64"/>
      <c r="QAQ21" s="64"/>
      <c r="QAR21" s="64"/>
      <c r="QAS21" s="64"/>
      <c r="QAT21" s="64"/>
      <c r="QAU21" s="64"/>
      <c r="QAV21" s="64"/>
      <c r="QAW21" s="64"/>
      <c r="QAX21" s="64"/>
      <c r="QAY21" s="64"/>
      <c r="QAZ21" s="64"/>
      <c r="QBA21" s="64"/>
      <c r="QBB21" s="64"/>
      <c r="QBC21" s="64"/>
      <c r="QBD21" s="64"/>
      <c r="QBE21" s="64"/>
      <c r="QBF21" s="64"/>
      <c r="QBG21" s="64"/>
      <c r="QBH21" s="64"/>
      <c r="QBI21" s="64"/>
      <c r="QBJ21" s="64"/>
      <c r="QBK21" s="64"/>
      <c r="QBL21" s="64"/>
      <c r="QBM21" s="64"/>
      <c r="QBN21" s="64"/>
      <c r="QBO21" s="64"/>
      <c r="QBP21" s="64"/>
      <c r="QBQ21" s="64"/>
      <c r="QBR21" s="64"/>
      <c r="QBS21" s="64"/>
      <c r="QBT21" s="64"/>
      <c r="QBU21" s="64"/>
      <c r="QBV21" s="64"/>
      <c r="QBW21" s="64"/>
      <c r="QBX21" s="64"/>
      <c r="QBY21" s="64"/>
      <c r="QBZ21" s="64"/>
      <c r="QCA21" s="64"/>
      <c r="QCB21" s="64"/>
      <c r="QCC21" s="64"/>
      <c r="QCD21" s="64"/>
      <c r="QCE21" s="64"/>
      <c r="QCF21" s="64"/>
      <c r="QCG21" s="64"/>
      <c r="QCH21" s="64"/>
      <c r="QCI21" s="64"/>
      <c r="QCJ21" s="64"/>
      <c r="QCK21" s="64"/>
      <c r="QCL21" s="64"/>
      <c r="QCM21" s="64"/>
      <c r="QCN21" s="64"/>
      <c r="QCO21" s="64"/>
      <c r="QCP21" s="64"/>
      <c r="QCQ21" s="64"/>
      <c r="QCR21" s="64"/>
      <c r="QCS21" s="64"/>
      <c r="QCT21" s="64"/>
      <c r="QCU21" s="64"/>
      <c r="QCV21" s="64"/>
      <c r="QCW21" s="64"/>
      <c r="QCX21" s="64"/>
      <c r="QCY21" s="64"/>
      <c r="QCZ21" s="64"/>
      <c r="QDA21" s="64"/>
      <c r="QDB21" s="64"/>
      <c r="QDC21" s="64"/>
      <c r="QDD21" s="64"/>
      <c r="QDE21" s="64"/>
      <c r="QDF21" s="64"/>
      <c r="QDG21" s="64"/>
      <c r="QDH21" s="64"/>
      <c r="QDI21" s="64"/>
      <c r="QDJ21" s="64"/>
      <c r="QDK21" s="64"/>
      <c r="QDL21" s="64"/>
      <c r="QDM21" s="64"/>
      <c r="QDN21" s="64"/>
      <c r="QDO21" s="64"/>
      <c r="QDP21" s="64"/>
      <c r="QDQ21" s="64"/>
      <c r="QDR21" s="64"/>
      <c r="QDS21" s="64"/>
      <c r="QDT21" s="64"/>
      <c r="QDU21" s="64"/>
      <c r="QDV21" s="64"/>
      <c r="QDW21" s="64"/>
      <c r="QDX21" s="64"/>
      <c r="QDY21" s="64"/>
      <c r="QDZ21" s="64"/>
      <c r="QEA21" s="64"/>
      <c r="QEB21" s="64"/>
      <c r="QEC21" s="64"/>
      <c r="QED21" s="64"/>
      <c r="QEE21" s="64"/>
      <c r="QEF21" s="64"/>
      <c r="QEG21" s="64"/>
      <c r="QEH21" s="64"/>
      <c r="QEI21" s="64"/>
      <c r="QEJ21" s="64"/>
      <c r="QEK21" s="64"/>
      <c r="QEL21" s="64"/>
      <c r="QEM21" s="64"/>
      <c r="QEN21" s="64"/>
      <c r="QEO21" s="64"/>
      <c r="QEP21" s="64"/>
      <c r="QEQ21" s="64"/>
      <c r="QER21" s="64"/>
      <c r="QES21" s="64"/>
      <c r="QET21" s="64"/>
      <c r="QEU21" s="64"/>
      <c r="QEV21" s="64"/>
      <c r="QEW21" s="64"/>
      <c r="QEX21" s="64"/>
      <c r="QEY21" s="64"/>
      <c r="QEZ21" s="64"/>
      <c r="QFA21" s="64"/>
      <c r="QFB21" s="64"/>
      <c r="QFC21" s="64"/>
      <c r="QFD21" s="64"/>
      <c r="QFE21" s="64"/>
      <c r="QFF21" s="64"/>
      <c r="QFG21" s="64"/>
      <c r="QFH21" s="64"/>
      <c r="QFI21" s="64"/>
      <c r="QFJ21" s="64"/>
      <c r="QFK21" s="64"/>
      <c r="QFL21" s="64"/>
      <c r="QFM21" s="64"/>
      <c r="QFN21" s="64"/>
      <c r="QFO21" s="64"/>
      <c r="QFP21" s="64"/>
      <c r="QFQ21" s="64"/>
      <c r="QFR21" s="64"/>
      <c r="QFS21" s="64"/>
      <c r="QFT21" s="64"/>
      <c r="QFU21" s="64"/>
      <c r="QFV21" s="64"/>
      <c r="QFW21" s="64"/>
      <c r="QFX21" s="64"/>
      <c r="QFY21" s="64"/>
      <c r="QFZ21" s="64"/>
      <c r="QGA21" s="64"/>
      <c r="QGB21" s="64"/>
      <c r="QGC21" s="64"/>
      <c r="QGD21" s="64"/>
      <c r="QGE21" s="64"/>
      <c r="QGF21" s="64"/>
      <c r="QGG21" s="64"/>
      <c r="QGH21" s="64"/>
      <c r="QGI21" s="64"/>
      <c r="QGJ21" s="64"/>
      <c r="QGK21" s="64"/>
      <c r="QGL21" s="64"/>
      <c r="QGM21" s="64"/>
      <c r="QGN21" s="64"/>
      <c r="QGO21" s="64"/>
      <c r="QGP21" s="64"/>
      <c r="QGQ21" s="64"/>
      <c r="QGR21" s="64"/>
      <c r="QGS21" s="64"/>
      <c r="QGT21" s="64"/>
      <c r="QGU21" s="64"/>
      <c r="QGV21" s="64"/>
      <c r="QGW21" s="64"/>
      <c r="QGX21" s="64"/>
      <c r="QGY21" s="64"/>
      <c r="QGZ21" s="64"/>
      <c r="QHA21" s="64"/>
      <c r="QHB21" s="64"/>
      <c r="QHC21" s="64"/>
      <c r="QHD21" s="64"/>
      <c r="QHE21" s="64"/>
      <c r="QHF21" s="64"/>
      <c r="QHG21" s="64"/>
      <c r="QHH21" s="64"/>
      <c r="QHI21" s="64"/>
      <c r="QHJ21" s="64"/>
      <c r="QHK21" s="64"/>
      <c r="QHL21" s="64"/>
      <c r="QHM21" s="64"/>
      <c r="QHN21" s="64"/>
      <c r="QHO21" s="64"/>
      <c r="QHP21" s="64"/>
      <c r="QHQ21" s="64"/>
      <c r="QHR21" s="64"/>
      <c r="QHS21" s="64"/>
      <c r="QHT21" s="64"/>
      <c r="QHU21" s="64"/>
      <c r="QHV21" s="64"/>
      <c r="QHW21" s="64"/>
      <c r="QHX21" s="64"/>
      <c r="QHY21" s="64"/>
      <c r="QHZ21" s="64"/>
      <c r="QIA21" s="64"/>
      <c r="QIB21" s="64"/>
      <c r="QIC21" s="64"/>
      <c r="QID21" s="64"/>
      <c r="QIE21" s="64"/>
      <c r="QIF21" s="64"/>
      <c r="QIG21" s="64"/>
      <c r="QIH21" s="64"/>
      <c r="QII21" s="64"/>
      <c r="QIJ21" s="64"/>
      <c r="QIK21" s="64"/>
      <c r="QIL21" s="64"/>
      <c r="QIM21" s="64"/>
      <c r="QIN21" s="64"/>
      <c r="QIO21" s="64"/>
      <c r="QIP21" s="64"/>
      <c r="QIQ21" s="64"/>
      <c r="QIR21" s="64"/>
      <c r="QIS21" s="64"/>
      <c r="QIT21" s="64"/>
      <c r="QIU21" s="64"/>
      <c r="QIV21" s="64"/>
      <c r="QIW21" s="64"/>
      <c r="QIX21" s="64"/>
      <c r="QIY21" s="64"/>
      <c r="QIZ21" s="64"/>
      <c r="QJA21" s="64"/>
      <c r="QJB21" s="64"/>
      <c r="QJC21" s="64"/>
      <c r="QJD21" s="64"/>
      <c r="QJE21" s="64"/>
      <c r="QJF21" s="64"/>
      <c r="QJG21" s="64"/>
      <c r="QJH21" s="64"/>
      <c r="QJI21" s="64"/>
      <c r="QJJ21" s="64"/>
      <c r="QJK21" s="64"/>
      <c r="QJL21" s="64"/>
      <c r="QJM21" s="64"/>
      <c r="QJN21" s="64"/>
      <c r="QJO21" s="64"/>
      <c r="QJP21" s="64"/>
      <c r="QJQ21" s="64"/>
      <c r="QJR21" s="64"/>
      <c r="QJS21" s="64"/>
      <c r="QJT21" s="64"/>
      <c r="QJU21" s="64"/>
      <c r="QJV21" s="64"/>
      <c r="QJW21" s="64"/>
      <c r="QJX21" s="64"/>
      <c r="QJY21" s="64"/>
      <c r="QJZ21" s="64"/>
      <c r="QKA21" s="64"/>
      <c r="QKB21" s="64"/>
      <c r="QKC21" s="64"/>
      <c r="QKD21" s="64"/>
      <c r="QKE21" s="64"/>
      <c r="QKF21" s="64"/>
      <c r="QKG21" s="64"/>
      <c r="QKH21" s="64"/>
      <c r="QKI21" s="64"/>
      <c r="QKJ21" s="64"/>
      <c r="QKK21" s="64"/>
      <c r="QKL21" s="64"/>
      <c r="QKM21" s="64"/>
      <c r="QKN21" s="64"/>
      <c r="QKO21" s="64"/>
      <c r="QKP21" s="64"/>
      <c r="QKQ21" s="64"/>
      <c r="QKR21" s="64"/>
      <c r="QKS21" s="64"/>
      <c r="QKT21" s="64"/>
      <c r="QKU21" s="64"/>
      <c r="QKV21" s="64"/>
      <c r="QKW21" s="64"/>
      <c r="QKX21" s="64"/>
      <c r="QKY21" s="64"/>
      <c r="QKZ21" s="64"/>
      <c r="QLA21" s="64"/>
      <c r="QLB21" s="64"/>
      <c r="QLC21" s="64"/>
      <c r="QLD21" s="64"/>
      <c r="QLE21" s="64"/>
      <c r="QLF21" s="64"/>
      <c r="QLG21" s="64"/>
      <c r="QLH21" s="64"/>
      <c r="QLI21" s="64"/>
      <c r="QLJ21" s="64"/>
      <c r="QLK21" s="64"/>
      <c r="QLL21" s="64"/>
      <c r="QLM21" s="64"/>
      <c r="QLN21" s="64"/>
      <c r="QLO21" s="64"/>
      <c r="QLP21" s="64"/>
      <c r="QLQ21" s="64"/>
      <c r="QLR21" s="64"/>
      <c r="QLS21" s="64"/>
      <c r="QLT21" s="64"/>
      <c r="QLU21" s="64"/>
      <c r="QLV21" s="64"/>
      <c r="QLW21" s="64"/>
      <c r="QLX21" s="64"/>
      <c r="QLY21" s="64"/>
      <c r="QLZ21" s="64"/>
      <c r="QMA21" s="64"/>
      <c r="QMB21" s="64"/>
      <c r="QMC21" s="64"/>
      <c r="QMD21" s="64"/>
      <c r="QME21" s="64"/>
      <c r="QMF21" s="64"/>
      <c r="QMG21" s="64"/>
      <c r="QMH21" s="64"/>
      <c r="QMI21" s="64"/>
      <c r="QMJ21" s="64"/>
      <c r="QMK21" s="64"/>
      <c r="QML21" s="64"/>
      <c r="QMM21" s="64"/>
      <c r="QMN21" s="64"/>
      <c r="QMO21" s="64"/>
      <c r="QMP21" s="64"/>
      <c r="QMQ21" s="64"/>
      <c r="QMR21" s="64"/>
      <c r="QMS21" s="64"/>
      <c r="QMT21" s="64"/>
      <c r="QMU21" s="64"/>
      <c r="QMV21" s="64"/>
      <c r="QMW21" s="64"/>
      <c r="QMX21" s="64"/>
      <c r="QMY21" s="64"/>
      <c r="QMZ21" s="64"/>
      <c r="QNA21" s="64"/>
      <c r="QNB21" s="64"/>
      <c r="QNC21" s="64"/>
      <c r="QND21" s="64"/>
      <c r="QNE21" s="64"/>
      <c r="QNF21" s="64"/>
      <c r="QNG21" s="64"/>
      <c r="QNH21" s="64"/>
      <c r="QNI21" s="64"/>
      <c r="QNJ21" s="64"/>
      <c r="QNK21" s="64"/>
      <c r="QNL21" s="64"/>
      <c r="QNM21" s="64"/>
      <c r="QNN21" s="64"/>
      <c r="QNO21" s="64"/>
      <c r="QNP21" s="64"/>
      <c r="QNQ21" s="64"/>
      <c r="QNR21" s="64"/>
      <c r="QNS21" s="64"/>
      <c r="QNT21" s="64"/>
      <c r="QNU21" s="64"/>
      <c r="QNV21" s="64"/>
      <c r="QNW21" s="64"/>
      <c r="QNX21" s="64"/>
      <c r="QNY21" s="64"/>
      <c r="QNZ21" s="64"/>
      <c r="QOA21" s="64"/>
      <c r="QOB21" s="64"/>
      <c r="QOC21" s="64"/>
      <c r="QOD21" s="64"/>
      <c r="QOE21" s="64"/>
      <c r="QOF21" s="64"/>
      <c r="QOG21" s="64"/>
      <c r="QOH21" s="64"/>
      <c r="QOI21" s="64"/>
      <c r="QOJ21" s="64"/>
      <c r="QOK21" s="64"/>
      <c r="QOL21" s="64"/>
      <c r="QOM21" s="64"/>
      <c r="QON21" s="64"/>
      <c r="QOO21" s="64"/>
      <c r="QOP21" s="64"/>
      <c r="QOQ21" s="64"/>
      <c r="QOR21" s="64"/>
      <c r="QOS21" s="64"/>
      <c r="QOT21" s="64"/>
      <c r="QOU21" s="64"/>
      <c r="QOV21" s="64"/>
      <c r="QOW21" s="64"/>
      <c r="QOX21" s="64"/>
      <c r="QOY21" s="64"/>
      <c r="QOZ21" s="64"/>
      <c r="QPA21" s="64"/>
      <c r="QPB21" s="64"/>
      <c r="QPC21" s="64"/>
      <c r="QPD21" s="64"/>
      <c r="QPE21" s="64"/>
      <c r="QPF21" s="64"/>
      <c r="QPG21" s="64"/>
      <c r="QPH21" s="64"/>
      <c r="QPI21" s="64"/>
      <c r="QPJ21" s="64"/>
      <c r="QPK21" s="64"/>
      <c r="QPL21" s="64"/>
      <c r="QPM21" s="64"/>
      <c r="QPN21" s="64"/>
      <c r="QPO21" s="64"/>
      <c r="QPP21" s="64"/>
      <c r="QPQ21" s="64"/>
      <c r="QPR21" s="64"/>
      <c r="QPS21" s="64"/>
      <c r="QPT21" s="64"/>
      <c r="QPU21" s="64"/>
      <c r="QPV21" s="64"/>
      <c r="QPW21" s="64"/>
      <c r="QPX21" s="64"/>
      <c r="QPY21" s="64"/>
      <c r="QPZ21" s="64"/>
      <c r="QQA21" s="64"/>
      <c r="QQB21" s="64"/>
      <c r="QQC21" s="64"/>
      <c r="QQD21" s="64"/>
      <c r="QQE21" s="64"/>
      <c r="QQF21" s="64"/>
      <c r="QQG21" s="64"/>
      <c r="QQH21" s="64"/>
      <c r="QQI21" s="64"/>
      <c r="QQJ21" s="64"/>
      <c r="QQK21" s="64"/>
      <c r="QQL21" s="64"/>
      <c r="QQM21" s="64"/>
      <c r="QQN21" s="64"/>
      <c r="QQO21" s="64"/>
      <c r="QQP21" s="64"/>
      <c r="QQQ21" s="64"/>
      <c r="QQR21" s="64"/>
      <c r="QQS21" s="64"/>
      <c r="QQT21" s="64"/>
      <c r="QQU21" s="64"/>
      <c r="QQV21" s="64"/>
      <c r="QQW21" s="64"/>
      <c r="QQX21" s="64"/>
      <c r="QQY21" s="64"/>
      <c r="QQZ21" s="64"/>
      <c r="QRA21" s="64"/>
      <c r="QRB21" s="64"/>
      <c r="QRC21" s="64"/>
      <c r="QRD21" s="64"/>
      <c r="QRE21" s="64"/>
      <c r="QRF21" s="64"/>
      <c r="QRG21" s="64"/>
      <c r="QRH21" s="64"/>
      <c r="QRI21" s="64"/>
      <c r="QRJ21" s="64"/>
      <c r="QRK21" s="64"/>
      <c r="QRL21" s="64"/>
      <c r="QRM21" s="64"/>
      <c r="QRN21" s="64"/>
      <c r="QRO21" s="64"/>
      <c r="QRP21" s="64"/>
      <c r="QRQ21" s="64"/>
      <c r="QRR21" s="64"/>
      <c r="QRS21" s="64"/>
      <c r="QRT21" s="64"/>
      <c r="QRU21" s="64"/>
      <c r="QRV21" s="64"/>
      <c r="QRW21" s="64"/>
      <c r="QRX21" s="64"/>
      <c r="QRY21" s="64"/>
      <c r="QRZ21" s="64"/>
      <c r="QSA21" s="64"/>
      <c r="QSB21" s="64"/>
      <c r="QSC21" s="64"/>
      <c r="QSD21" s="64"/>
      <c r="QSE21" s="64"/>
      <c r="QSF21" s="64"/>
      <c r="QSG21" s="64"/>
      <c r="QSH21" s="64"/>
      <c r="QSI21" s="64"/>
      <c r="QSJ21" s="64"/>
      <c r="QSK21" s="64"/>
      <c r="QSL21" s="64"/>
      <c r="QSM21" s="64"/>
      <c r="QSN21" s="64"/>
      <c r="QSO21" s="64"/>
      <c r="QSP21" s="64"/>
      <c r="QSQ21" s="64"/>
      <c r="QSR21" s="64"/>
      <c r="QSS21" s="64"/>
      <c r="QST21" s="64"/>
      <c r="QSU21" s="64"/>
      <c r="QSV21" s="64"/>
      <c r="QSW21" s="64"/>
      <c r="QSX21" s="64"/>
      <c r="QSY21" s="64"/>
      <c r="QSZ21" s="64"/>
      <c r="QTA21" s="64"/>
      <c r="QTB21" s="64"/>
      <c r="QTC21" s="64"/>
      <c r="QTD21" s="64"/>
      <c r="QTE21" s="64"/>
      <c r="QTF21" s="64"/>
      <c r="QTG21" s="64"/>
      <c r="QTH21" s="64"/>
      <c r="QTI21" s="64"/>
      <c r="QTJ21" s="64"/>
      <c r="QTK21" s="64"/>
      <c r="QTL21" s="64"/>
      <c r="QTM21" s="64"/>
      <c r="QTN21" s="64"/>
      <c r="QTO21" s="64"/>
      <c r="QTP21" s="64"/>
      <c r="QTQ21" s="64"/>
      <c r="QTR21" s="64"/>
      <c r="QTS21" s="64"/>
      <c r="QTT21" s="64"/>
      <c r="QTU21" s="64"/>
      <c r="QTV21" s="64"/>
      <c r="QTW21" s="64"/>
      <c r="QTX21" s="64"/>
      <c r="QTY21" s="64"/>
      <c r="QTZ21" s="64"/>
      <c r="QUA21" s="64"/>
      <c r="QUB21" s="64"/>
      <c r="QUC21" s="64"/>
      <c r="QUD21" s="64"/>
      <c r="QUE21" s="64"/>
      <c r="QUF21" s="64"/>
      <c r="QUG21" s="64"/>
      <c r="QUH21" s="64"/>
      <c r="QUI21" s="64"/>
      <c r="QUJ21" s="64"/>
      <c r="QUK21" s="64"/>
      <c r="QUL21" s="64"/>
      <c r="QUM21" s="64"/>
      <c r="QUN21" s="64"/>
      <c r="QUO21" s="64"/>
      <c r="QUP21" s="64"/>
      <c r="QUQ21" s="64"/>
      <c r="QUR21" s="64"/>
      <c r="QUS21" s="64"/>
      <c r="QUT21" s="64"/>
      <c r="QUU21" s="64"/>
      <c r="QUV21" s="64"/>
      <c r="QUW21" s="64"/>
      <c r="QUX21" s="64"/>
      <c r="QUY21" s="64"/>
      <c r="QUZ21" s="64"/>
      <c r="QVA21" s="64"/>
      <c r="QVB21" s="64"/>
      <c r="QVC21" s="64"/>
      <c r="QVD21" s="64"/>
      <c r="QVE21" s="64"/>
      <c r="QVF21" s="64"/>
      <c r="QVG21" s="64"/>
      <c r="QVH21" s="64"/>
      <c r="QVI21" s="64"/>
      <c r="QVJ21" s="64"/>
      <c r="QVK21" s="64"/>
      <c r="QVL21" s="64"/>
      <c r="QVM21" s="64"/>
      <c r="QVN21" s="64"/>
      <c r="QVO21" s="64"/>
      <c r="QVP21" s="64"/>
      <c r="QVQ21" s="64"/>
      <c r="QVR21" s="64"/>
      <c r="QVS21" s="64"/>
      <c r="QVT21" s="64"/>
      <c r="QVU21" s="64"/>
      <c r="QVV21" s="64"/>
      <c r="QVW21" s="64"/>
      <c r="QVX21" s="64"/>
      <c r="QVY21" s="64"/>
      <c r="QVZ21" s="64"/>
      <c r="QWA21" s="64"/>
      <c r="QWB21" s="64"/>
      <c r="QWC21" s="64"/>
      <c r="QWD21" s="64"/>
      <c r="QWE21" s="64"/>
      <c r="QWF21" s="64"/>
      <c r="QWG21" s="64"/>
      <c r="QWH21" s="64"/>
      <c r="QWI21" s="64"/>
      <c r="QWJ21" s="64"/>
      <c r="QWK21" s="64"/>
      <c r="QWL21" s="64"/>
      <c r="QWM21" s="64"/>
      <c r="QWN21" s="64"/>
      <c r="QWO21" s="64"/>
      <c r="QWP21" s="64"/>
      <c r="QWQ21" s="64"/>
      <c r="QWR21" s="64"/>
      <c r="QWS21" s="64"/>
      <c r="QWT21" s="64"/>
      <c r="QWU21" s="64"/>
      <c r="QWV21" s="64"/>
      <c r="QWW21" s="64"/>
      <c r="QWX21" s="64"/>
      <c r="QWY21" s="64"/>
      <c r="QWZ21" s="64"/>
      <c r="QXA21" s="64"/>
      <c r="QXB21" s="64"/>
      <c r="QXC21" s="64"/>
      <c r="QXD21" s="64"/>
      <c r="QXE21" s="64"/>
      <c r="QXF21" s="64"/>
      <c r="QXG21" s="64"/>
      <c r="QXH21" s="64"/>
      <c r="QXI21" s="64"/>
      <c r="QXJ21" s="64"/>
      <c r="QXK21" s="64"/>
      <c r="QXL21" s="64"/>
      <c r="QXM21" s="64"/>
      <c r="QXN21" s="64"/>
      <c r="QXO21" s="64"/>
      <c r="QXP21" s="64"/>
      <c r="QXQ21" s="64"/>
      <c r="QXR21" s="64"/>
      <c r="QXS21" s="64"/>
      <c r="QXT21" s="64"/>
      <c r="QXU21" s="64"/>
      <c r="QXV21" s="64"/>
      <c r="QXW21" s="64"/>
      <c r="QXX21" s="64"/>
      <c r="QXY21" s="64"/>
      <c r="QXZ21" s="64"/>
      <c r="QYA21" s="64"/>
      <c r="QYB21" s="64"/>
      <c r="QYC21" s="64"/>
      <c r="QYD21" s="64"/>
      <c r="QYE21" s="64"/>
      <c r="QYF21" s="64"/>
      <c r="QYG21" s="64"/>
      <c r="QYH21" s="64"/>
      <c r="QYI21" s="64"/>
      <c r="QYJ21" s="64"/>
      <c r="QYK21" s="64"/>
      <c r="QYL21" s="64"/>
      <c r="QYM21" s="64"/>
      <c r="QYN21" s="64"/>
      <c r="QYO21" s="64"/>
      <c r="QYP21" s="64"/>
      <c r="QYQ21" s="64"/>
      <c r="QYR21" s="64"/>
      <c r="QYS21" s="64"/>
      <c r="QYT21" s="64"/>
      <c r="QYU21" s="64"/>
      <c r="QYV21" s="64"/>
      <c r="QYW21" s="64"/>
      <c r="QYX21" s="64"/>
      <c r="QYY21" s="64"/>
      <c r="QYZ21" s="64"/>
      <c r="QZA21" s="64"/>
      <c r="QZB21" s="64"/>
      <c r="QZC21" s="64"/>
      <c r="QZD21" s="64"/>
      <c r="QZE21" s="64"/>
      <c r="QZF21" s="64"/>
      <c r="QZG21" s="64"/>
      <c r="QZH21" s="64"/>
      <c r="QZI21" s="64"/>
      <c r="QZJ21" s="64"/>
      <c r="QZK21" s="64"/>
      <c r="QZL21" s="64"/>
      <c r="QZM21" s="64"/>
      <c r="QZN21" s="64"/>
      <c r="QZO21" s="64"/>
      <c r="QZP21" s="64"/>
      <c r="QZQ21" s="64"/>
      <c r="QZR21" s="64"/>
      <c r="QZS21" s="64"/>
      <c r="QZT21" s="64"/>
      <c r="QZU21" s="64"/>
      <c r="QZV21" s="64"/>
      <c r="QZW21" s="64"/>
      <c r="QZX21" s="64"/>
      <c r="QZY21" s="64"/>
      <c r="QZZ21" s="64"/>
      <c r="RAA21" s="64"/>
      <c r="RAB21" s="64"/>
      <c r="RAC21" s="64"/>
      <c r="RAD21" s="64"/>
      <c r="RAE21" s="64"/>
      <c r="RAF21" s="64"/>
      <c r="RAG21" s="64"/>
      <c r="RAH21" s="64"/>
      <c r="RAI21" s="64"/>
      <c r="RAJ21" s="64"/>
      <c r="RAK21" s="64"/>
      <c r="RAL21" s="64"/>
      <c r="RAM21" s="64"/>
      <c r="RAN21" s="64"/>
      <c r="RAO21" s="64"/>
      <c r="RAP21" s="64"/>
      <c r="RAQ21" s="64"/>
      <c r="RAR21" s="64"/>
      <c r="RAS21" s="64"/>
      <c r="RAT21" s="64"/>
      <c r="RAU21" s="64"/>
      <c r="RAV21" s="64"/>
      <c r="RAW21" s="64"/>
      <c r="RAX21" s="64"/>
      <c r="RAY21" s="64"/>
      <c r="RAZ21" s="64"/>
      <c r="RBA21" s="64"/>
      <c r="RBB21" s="64"/>
      <c r="RBC21" s="64"/>
      <c r="RBD21" s="64"/>
      <c r="RBE21" s="64"/>
      <c r="RBF21" s="64"/>
      <c r="RBG21" s="64"/>
      <c r="RBH21" s="64"/>
      <c r="RBI21" s="64"/>
      <c r="RBJ21" s="64"/>
      <c r="RBK21" s="64"/>
      <c r="RBL21" s="64"/>
      <c r="RBM21" s="64"/>
      <c r="RBN21" s="64"/>
      <c r="RBO21" s="64"/>
      <c r="RBP21" s="64"/>
      <c r="RBQ21" s="64"/>
      <c r="RBR21" s="64"/>
      <c r="RBS21" s="64"/>
      <c r="RBT21" s="64"/>
      <c r="RBU21" s="64"/>
      <c r="RBV21" s="64"/>
      <c r="RBW21" s="64"/>
      <c r="RBX21" s="64"/>
      <c r="RBY21" s="64"/>
      <c r="RBZ21" s="64"/>
      <c r="RCA21" s="64"/>
      <c r="RCB21" s="64"/>
      <c r="RCC21" s="64"/>
      <c r="RCD21" s="64"/>
      <c r="RCE21" s="64"/>
      <c r="RCF21" s="64"/>
      <c r="RCG21" s="64"/>
      <c r="RCH21" s="64"/>
      <c r="RCI21" s="64"/>
      <c r="RCJ21" s="64"/>
      <c r="RCK21" s="64"/>
      <c r="RCL21" s="64"/>
      <c r="RCM21" s="64"/>
      <c r="RCN21" s="64"/>
      <c r="RCO21" s="64"/>
      <c r="RCP21" s="64"/>
      <c r="RCQ21" s="64"/>
      <c r="RCR21" s="64"/>
      <c r="RCS21" s="64"/>
      <c r="RCT21" s="64"/>
      <c r="RCU21" s="64"/>
      <c r="RCV21" s="64"/>
      <c r="RCW21" s="64"/>
      <c r="RCX21" s="64"/>
      <c r="RCY21" s="64"/>
      <c r="RCZ21" s="64"/>
      <c r="RDA21" s="64"/>
      <c r="RDB21" s="64"/>
      <c r="RDC21" s="64"/>
      <c r="RDD21" s="64"/>
      <c r="RDE21" s="64"/>
      <c r="RDF21" s="64"/>
      <c r="RDG21" s="64"/>
      <c r="RDH21" s="64"/>
      <c r="RDI21" s="64"/>
      <c r="RDJ21" s="64"/>
      <c r="RDK21" s="64"/>
      <c r="RDL21" s="64"/>
      <c r="RDM21" s="64"/>
      <c r="RDN21" s="64"/>
      <c r="RDO21" s="64"/>
      <c r="RDP21" s="64"/>
      <c r="RDQ21" s="64"/>
      <c r="RDR21" s="64"/>
      <c r="RDS21" s="64"/>
      <c r="RDT21" s="64"/>
      <c r="RDU21" s="64"/>
      <c r="RDV21" s="64"/>
      <c r="RDW21" s="64"/>
      <c r="RDX21" s="64"/>
      <c r="RDY21" s="64"/>
      <c r="RDZ21" s="64"/>
      <c r="REA21" s="64"/>
      <c r="REB21" s="64"/>
      <c r="REC21" s="64"/>
      <c r="RED21" s="64"/>
      <c r="REE21" s="64"/>
      <c r="REF21" s="64"/>
      <c r="REG21" s="64"/>
      <c r="REH21" s="64"/>
      <c r="REI21" s="64"/>
      <c r="REJ21" s="64"/>
      <c r="REK21" s="64"/>
      <c r="REL21" s="64"/>
      <c r="REM21" s="64"/>
      <c r="REN21" s="64"/>
      <c r="REO21" s="64"/>
      <c r="REP21" s="64"/>
      <c r="REQ21" s="64"/>
      <c r="RER21" s="64"/>
      <c r="RES21" s="64"/>
      <c r="RET21" s="64"/>
      <c r="REU21" s="64"/>
      <c r="REV21" s="64"/>
      <c r="REW21" s="64"/>
      <c r="REX21" s="64"/>
      <c r="REY21" s="64"/>
      <c r="REZ21" s="64"/>
      <c r="RFA21" s="64"/>
      <c r="RFB21" s="64"/>
      <c r="RFC21" s="64"/>
      <c r="RFD21" s="64"/>
      <c r="RFE21" s="64"/>
      <c r="RFF21" s="64"/>
      <c r="RFG21" s="64"/>
      <c r="RFH21" s="64"/>
      <c r="RFI21" s="64"/>
      <c r="RFJ21" s="64"/>
      <c r="RFK21" s="64"/>
      <c r="RFL21" s="64"/>
      <c r="RFM21" s="64"/>
      <c r="RFN21" s="64"/>
      <c r="RFO21" s="64"/>
      <c r="RFP21" s="64"/>
      <c r="RFQ21" s="64"/>
      <c r="RFR21" s="64"/>
      <c r="RFS21" s="64"/>
      <c r="RFT21" s="64"/>
      <c r="RFU21" s="64"/>
      <c r="RFV21" s="64"/>
      <c r="RFW21" s="64"/>
      <c r="RFX21" s="64"/>
      <c r="RFY21" s="64"/>
      <c r="RFZ21" s="64"/>
      <c r="RGA21" s="64"/>
      <c r="RGB21" s="64"/>
      <c r="RGC21" s="64"/>
      <c r="RGD21" s="64"/>
      <c r="RGE21" s="64"/>
      <c r="RGF21" s="64"/>
      <c r="RGG21" s="64"/>
      <c r="RGH21" s="64"/>
      <c r="RGI21" s="64"/>
      <c r="RGJ21" s="64"/>
      <c r="RGK21" s="64"/>
      <c r="RGL21" s="64"/>
      <c r="RGM21" s="64"/>
      <c r="RGN21" s="64"/>
      <c r="RGO21" s="64"/>
      <c r="RGP21" s="64"/>
      <c r="RGQ21" s="64"/>
      <c r="RGR21" s="64"/>
      <c r="RGS21" s="64"/>
      <c r="RGT21" s="64"/>
      <c r="RGU21" s="64"/>
      <c r="RGV21" s="64"/>
      <c r="RGW21" s="64"/>
      <c r="RGX21" s="64"/>
      <c r="RGY21" s="64"/>
      <c r="RGZ21" s="64"/>
      <c r="RHA21" s="64"/>
      <c r="RHB21" s="64"/>
      <c r="RHC21" s="64"/>
      <c r="RHD21" s="64"/>
      <c r="RHE21" s="64"/>
      <c r="RHF21" s="64"/>
      <c r="RHG21" s="64"/>
      <c r="RHH21" s="64"/>
      <c r="RHI21" s="64"/>
      <c r="RHJ21" s="64"/>
      <c r="RHK21" s="64"/>
      <c r="RHL21" s="64"/>
      <c r="RHM21" s="64"/>
      <c r="RHN21" s="64"/>
      <c r="RHO21" s="64"/>
      <c r="RHP21" s="64"/>
      <c r="RHQ21" s="64"/>
      <c r="RHR21" s="64"/>
      <c r="RHS21" s="64"/>
      <c r="RHT21" s="64"/>
      <c r="RHU21" s="64"/>
      <c r="RHV21" s="64"/>
      <c r="RHW21" s="64"/>
      <c r="RHX21" s="64"/>
      <c r="RHY21" s="64"/>
      <c r="RHZ21" s="64"/>
      <c r="RIA21" s="64"/>
      <c r="RIB21" s="64"/>
      <c r="RIC21" s="64"/>
      <c r="RID21" s="64"/>
      <c r="RIE21" s="64"/>
      <c r="RIF21" s="64"/>
      <c r="RIG21" s="64"/>
      <c r="RIH21" s="64"/>
      <c r="RII21" s="64"/>
      <c r="RIJ21" s="64"/>
      <c r="RIK21" s="64"/>
      <c r="RIL21" s="64"/>
      <c r="RIM21" s="64"/>
      <c r="RIN21" s="64"/>
      <c r="RIO21" s="64"/>
      <c r="RIP21" s="64"/>
      <c r="RIQ21" s="64"/>
      <c r="RIR21" s="64"/>
      <c r="RIS21" s="64"/>
      <c r="RIT21" s="64"/>
      <c r="RIU21" s="64"/>
      <c r="RIV21" s="64"/>
      <c r="RIW21" s="64"/>
      <c r="RIX21" s="64"/>
      <c r="RIY21" s="64"/>
      <c r="RIZ21" s="64"/>
      <c r="RJA21" s="64"/>
      <c r="RJB21" s="64"/>
      <c r="RJC21" s="64"/>
      <c r="RJD21" s="64"/>
      <c r="RJE21" s="64"/>
      <c r="RJF21" s="64"/>
      <c r="RJG21" s="64"/>
      <c r="RJH21" s="64"/>
      <c r="RJI21" s="64"/>
      <c r="RJJ21" s="64"/>
      <c r="RJK21" s="64"/>
      <c r="RJL21" s="64"/>
      <c r="RJM21" s="64"/>
      <c r="RJN21" s="64"/>
      <c r="RJO21" s="64"/>
      <c r="RJP21" s="64"/>
      <c r="RJQ21" s="64"/>
      <c r="RJR21" s="64"/>
      <c r="RJS21" s="64"/>
      <c r="RJT21" s="64"/>
      <c r="RJU21" s="64"/>
      <c r="RJV21" s="64"/>
      <c r="RJW21" s="64"/>
      <c r="RJX21" s="64"/>
      <c r="RJY21" s="64"/>
      <c r="RJZ21" s="64"/>
      <c r="RKA21" s="64"/>
      <c r="RKB21" s="64"/>
      <c r="RKC21" s="64"/>
      <c r="RKD21" s="64"/>
      <c r="RKE21" s="64"/>
      <c r="RKF21" s="64"/>
      <c r="RKG21" s="64"/>
      <c r="RKH21" s="64"/>
      <c r="RKI21" s="64"/>
      <c r="RKJ21" s="64"/>
      <c r="RKK21" s="64"/>
      <c r="RKL21" s="64"/>
      <c r="RKM21" s="64"/>
      <c r="RKN21" s="64"/>
      <c r="RKO21" s="64"/>
      <c r="RKP21" s="64"/>
      <c r="RKQ21" s="64"/>
      <c r="RKR21" s="64"/>
      <c r="RKS21" s="64"/>
      <c r="RKT21" s="64"/>
      <c r="RKU21" s="64"/>
      <c r="RKV21" s="64"/>
      <c r="RKW21" s="64"/>
      <c r="RKX21" s="64"/>
      <c r="RKY21" s="64"/>
      <c r="RKZ21" s="64"/>
      <c r="RLA21" s="64"/>
      <c r="RLB21" s="64"/>
      <c r="RLC21" s="64"/>
      <c r="RLD21" s="64"/>
      <c r="RLE21" s="64"/>
      <c r="RLF21" s="64"/>
      <c r="RLG21" s="64"/>
      <c r="RLH21" s="64"/>
      <c r="RLI21" s="64"/>
      <c r="RLJ21" s="64"/>
      <c r="RLK21" s="64"/>
      <c r="RLL21" s="64"/>
      <c r="RLM21" s="64"/>
      <c r="RLN21" s="64"/>
      <c r="RLO21" s="64"/>
      <c r="RLP21" s="64"/>
      <c r="RLQ21" s="64"/>
      <c r="RLR21" s="64"/>
      <c r="RLS21" s="64"/>
      <c r="RLT21" s="64"/>
      <c r="RLU21" s="64"/>
      <c r="RLV21" s="64"/>
      <c r="RLW21" s="64"/>
      <c r="RLX21" s="64"/>
      <c r="RLY21" s="64"/>
      <c r="RLZ21" s="64"/>
      <c r="RMA21" s="64"/>
      <c r="RMB21" s="64"/>
      <c r="RMC21" s="64"/>
      <c r="RMD21" s="64"/>
      <c r="RME21" s="64"/>
      <c r="RMF21" s="64"/>
      <c r="RMG21" s="64"/>
      <c r="RMH21" s="64"/>
      <c r="RMI21" s="64"/>
      <c r="RMJ21" s="64"/>
      <c r="RMK21" s="64"/>
      <c r="RML21" s="64"/>
      <c r="RMM21" s="64"/>
      <c r="RMN21" s="64"/>
      <c r="RMO21" s="64"/>
      <c r="RMP21" s="64"/>
      <c r="RMQ21" s="64"/>
      <c r="RMR21" s="64"/>
      <c r="RMS21" s="64"/>
      <c r="RMT21" s="64"/>
      <c r="RMU21" s="64"/>
      <c r="RMV21" s="64"/>
      <c r="RMW21" s="64"/>
      <c r="RMX21" s="64"/>
      <c r="RMY21" s="64"/>
      <c r="RMZ21" s="64"/>
      <c r="RNA21" s="64"/>
      <c r="RNB21" s="64"/>
      <c r="RNC21" s="64"/>
      <c r="RND21" s="64"/>
      <c r="RNE21" s="64"/>
      <c r="RNF21" s="64"/>
      <c r="RNG21" s="64"/>
      <c r="RNH21" s="64"/>
      <c r="RNI21" s="64"/>
      <c r="RNJ21" s="64"/>
      <c r="RNK21" s="64"/>
      <c r="RNL21" s="64"/>
      <c r="RNM21" s="64"/>
      <c r="RNN21" s="64"/>
      <c r="RNO21" s="64"/>
      <c r="RNP21" s="64"/>
      <c r="RNQ21" s="64"/>
      <c r="RNR21" s="64"/>
      <c r="RNS21" s="64"/>
      <c r="RNT21" s="64"/>
      <c r="RNU21" s="64"/>
      <c r="RNV21" s="64"/>
      <c r="RNW21" s="64"/>
      <c r="RNX21" s="64"/>
      <c r="RNY21" s="64"/>
      <c r="RNZ21" s="64"/>
      <c r="ROA21" s="64"/>
      <c r="ROB21" s="64"/>
      <c r="ROC21" s="64"/>
      <c r="ROD21" s="64"/>
      <c r="ROE21" s="64"/>
      <c r="ROF21" s="64"/>
      <c r="ROG21" s="64"/>
      <c r="ROH21" s="64"/>
      <c r="ROI21" s="64"/>
      <c r="ROJ21" s="64"/>
      <c r="ROK21" s="64"/>
      <c r="ROL21" s="64"/>
      <c r="ROM21" s="64"/>
      <c r="RON21" s="64"/>
      <c r="ROO21" s="64"/>
      <c r="ROP21" s="64"/>
      <c r="ROQ21" s="64"/>
      <c r="ROR21" s="64"/>
      <c r="ROS21" s="64"/>
      <c r="ROT21" s="64"/>
      <c r="ROU21" s="64"/>
      <c r="ROV21" s="64"/>
      <c r="ROW21" s="64"/>
      <c r="ROX21" s="64"/>
      <c r="ROY21" s="64"/>
      <c r="ROZ21" s="64"/>
      <c r="RPA21" s="64"/>
      <c r="RPB21" s="64"/>
      <c r="RPC21" s="64"/>
      <c r="RPD21" s="64"/>
      <c r="RPE21" s="64"/>
      <c r="RPF21" s="64"/>
      <c r="RPG21" s="64"/>
      <c r="RPH21" s="64"/>
      <c r="RPI21" s="64"/>
      <c r="RPJ21" s="64"/>
      <c r="RPK21" s="64"/>
      <c r="RPL21" s="64"/>
      <c r="RPM21" s="64"/>
      <c r="RPN21" s="64"/>
      <c r="RPO21" s="64"/>
      <c r="RPP21" s="64"/>
      <c r="RPQ21" s="64"/>
      <c r="RPR21" s="64"/>
      <c r="RPS21" s="64"/>
      <c r="RPT21" s="64"/>
      <c r="RPU21" s="64"/>
      <c r="RPV21" s="64"/>
      <c r="RPW21" s="64"/>
      <c r="RPX21" s="64"/>
      <c r="RPY21" s="64"/>
      <c r="RPZ21" s="64"/>
      <c r="RQA21" s="64"/>
      <c r="RQB21" s="64"/>
      <c r="RQC21" s="64"/>
      <c r="RQD21" s="64"/>
      <c r="RQE21" s="64"/>
      <c r="RQF21" s="64"/>
      <c r="RQG21" s="64"/>
      <c r="RQH21" s="64"/>
      <c r="RQI21" s="64"/>
      <c r="RQJ21" s="64"/>
      <c r="RQK21" s="64"/>
      <c r="RQL21" s="64"/>
      <c r="RQM21" s="64"/>
      <c r="RQN21" s="64"/>
      <c r="RQO21" s="64"/>
      <c r="RQP21" s="64"/>
      <c r="RQQ21" s="64"/>
      <c r="RQR21" s="64"/>
      <c r="RQS21" s="64"/>
      <c r="RQT21" s="64"/>
      <c r="RQU21" s="64"/>
      <c r="RQV21" s="64"/>
      <c r="RQW21" s="64"/>
      <c r="RQX21" s="64"/>
      <c r="RQY21" s="64"/>
      <c r="RQZ21" s="64"/>
      <c r="RRA21" s="64"/>
      <c r="RRB21" s="64"/>
      <c r="RRC21" s="64"/>
      <c r="RRD21" s="64"/>
      <c r="RRE21" s="64"/>
      <c r="RRF21" s="64"/>
      <c r="RRG21" s="64"/>
      <c r="RRH21" s="64"/>
      <c r="RRI21" s="64"/>
      <c r="RRJ21" s="64"/>
      <c r="RRK21" s="64"/>
      <c r="RRL21" s="64"/>
      <c r="RRM21" s="64"/>
      <c r="RRN21" s="64"/>
      <c r="RRO21" s="64"/>
      <c r="RRP21" s="64"/>
      <c r="RRQ21" s="64"/>
      <c r="RRR21" s="64"/>
      <c r="RRS21" s="64"/>
      <c r="RRT21" s="64"/>
      <c r="RRU21" s="64"/>
      <c r="RRV21" s="64"/>
      <c r="RRW21" s="64"/>
      <c r="RRX21" s="64"/>
      <c r="RRY21" s="64"/>
      <c r="RRZ21" s="64"/>
      <c r="RSA21" s="64"/>
      <c r="RSB21" s="64"/>
      <c r="RSC21" s="64"/>
      <c r="RSD21" s="64"/>
      <c r="RSE21" s="64"/>
      <c r="RSF21" s="64"/>
      <c r="RSG21" s="64"/>
      <c r="RSH21" s="64"/>
      <c r="RSI21" s="64"/>
      <c r="RSJ21" s="64"/>
      <c r="RSK21" s="64"/>
      <c r="RSL21" s="64"/>
      <c r="RSM21" s="64"/>
      <c r="RSN21" s="64"/>
      <c r="RSO21" s="64"/>
      <c r="RSP21" s="64"/>
      <c r="RSQ21" s="64"/>
      <c r="RSR21" s="64"/>
      <c r="RSS21" s="64"/>
      <c r="RST21" s="64"/>
      <c r="RSU21" s="64"/>
      <c r="RSV21" s="64"/>
      <c r="RSW21" s="64"/>
      <c r="RSX21" s="64"/>
      <c r="RSY21" s="64"/>
      <c r="RSZ21" s="64"/>
      <c r="RTA21" s="64"/>
      <c r="RTB21" s="64"/>
      <c r="RTC21" s="64"/>
      <c r="RTD21" s="64"/>
      <c r="RTE21" s="64"/>
      <c r="RTF21" s="64"/>
      <c r="RTG21" s="64"/>
      <c r="RTH21" s="64"/>
      <c r="RTI21" s="64"/>
      <c r="RTJ21" s="64"/>
      <c r="RTK21" s="64"/>
      <c r="RTL21" s="64"/>
      <c r="RTM21" s="64"/>
      <c r="RTN21" s="64"/>
      <c r="RTO21" s="64"/>
      <c r="RTP21" s="64"/>
      <c r="RTQ21" s="64"/>
      <c r="RTR21" s="64"/>
      <c r="RTS21" s="64"/>
      <c r="RTT21" s="64"/>
      <c r="RTU21" s="64"/>
      <c r="RTV21" s="64"/>
      <c r="RTW21" s="64"/>
      <c r="RTX21" s="64"/>
      <c r="RTY21" s="64"/>
      <c r="RTZ21" s="64"/>
      <c r="RUA21" s="64"/>
      <c r="RUB21" s="64"/>
      <c r="RUC21" s="64"/>
      <c r="RUD21" s="64"/>
      <c r="RUE21" s="64"/>
      <c r="RUF21" s="64"/>
      <c r="RUG21" s="64"/>
      <c r="RUH21" s="64"/>
      <c r="RUI21" s="64"/>
      <c r="RUJ21" s="64"/>
      <c r="RUK21" s="64"/>
      <c r="RUL21" s="64"/>
      <c r="RUM21" s="64"/>
      <c r="RUN21" s="64"/>
      <c r="RUO21" s="64"/>
      <c r="RUP21" s="64"/>
      <c r="RUQ21" s="64"/>
      <c r="RUR21" s="64"/>
      <c r="RUS21" s="64"/>
      <c r="RUT21" s="64"/>
      <c r="RUU21" s="64"/>
      <c r="RUV21" s="64"/>
      <c r="RUW21" s="64"/>
      <c r="RUX21" s="64"/>
      <c r="RUY21" s="64"/>
      <c r="RUZ21" s="64"/>
      <c r="RVA21" s="64"/>
      <c r="RVB21" s="64"/>
      <c r="RVC21" s="64"/>
      <c r="RVD21" s="64"/>
      <c r="RVE21" s="64"/>
      <c r="RVF21" s="64"/>
      <c r="RVG21" s="64"/>
      <c r="RVH21" s="64"/>
      <c r="RVI21" s="64"/>
      <c r="RVJ21" s="64"/>
      <c r="RVK21" s="64"/>
      <c r="RVL21" s="64"/>
      <c r="RVM21" s="64"/>
      <c r="RVN21" s="64"/>
      <c r="RVO21" s="64"/>
      <c r="RVP21" s="64"/>
      <c r="RVQ21" s="64"/>
      <c r="RVR21" s="64"/>
      <c r="RVS21" s="64"/>
      <c r="RVT21" s="64"/>
      <c r="RVU21" s="64"/>
      <c r="RVV21" s="64"/>
      <c r="RVW21" s="64"/>
      <c r="RVX21" s="64"/>
      <c r="RVY21" s="64"/>
      <c r="RVZ21" s="64"/>
      <c r="RWA21" s="64"/>
      <c r="RWB21" s="64"/>
      <c r="RWC21" s="64"/>
      <c r="RWD21" s="64"/>
      <c r="RWE21" s="64"/>
      <c r="RWF21" s="64"/>
      <c r="RWG21" s="64"/>
      <c r="RWH21" s="64"/>
      <c r="RWI21" s="64"/>
      <c r="RWJ21" s="64"/>
      <c r="RWK21" s="64"/>
      <c r="RWL21" s="64"/>
      <c r="RWM21" s="64"/>
      <c r="RWN21" s="64"/>
      <c r="RWO21" s="64"/>
      <c r="RWP21" s="64"/>
      <c r="RWQ21" s="64"/>
      <c r="RWR21" s="64"/>
      <c r="RWS21" s="64"/>
      <c r="RWT21" s="64"/>
      <c r="RWU21" s="64"/>
      <c r="RWV21" s="64"/>
      <c r="RWW21" s="64"/>
      <c r="RWX21" s="64"/>
      <c r="RWY21" s="64"/>
      <c r="RWZ21" s="64"/>
      <c r="RXA21" s="64"/>
      <c r="RXB21" s="64"/>
      <c r="RXC21" s="64"/>
      <c r="RXD21" s="64"/>
      <c r="RXE21" s="64"/>
      <c r="RXF21" s="64"/>
      <c r="RXG21" s="64"/>
      <c r="RXH21" s="64"/>
      <c r="RXI21" s="64"/>
      <c r="RXJ21" s="64"/>
      <c r="RXK21" s="64"/>
      <c r="RXL21" s="64"/>
      <c r="RXM21" s="64"/>
      <c r="RXN21" s="64"/>
      <c r="RXO21" s="64"/>
      <c r="RXP21" s="64"/>
      <c r="RXQ21" s="64"/>
      <c r="RXR21" s="64"/>
      <c r="RXS21" s="64"/>
      <c r="RXT21" s="64"/>
      <c r="RXU21" s="64"/>
      <c r="RXV21" s="64"/>
      <c r="RXW21" s="64"/>
      <c r="RXX21" s="64"/>
      <c r="RXY21" s="64"/>
      <c r="RXZ21" s="64"/>
      <c r="RYA21" s="64"/>
      <c r="RYB21" s="64"/>
      <c r="RYC21" s="64"/>
      <c r="RYD21" s="64"/>
      <c r="RYE21" s="64"/>
      <c r="RYF21" s="64"/>
      <c r="RYG21" s="64"/>
      <c r="RYH21" s="64"/>
      <c r="RYI21" s="64"/>
      <c r="RYJ21" s="64"/>
      <c r="RYK21" s="64"/>
      <c r="RYL21" s="64"/>
      <c r="RYM21" s="64"/>
      <c r="RYN21" s="64"/>
      <c r="RYO21" s="64"/>
      <c r="RYP21" s="64"/>
      <c r="RYQ21" s="64"/>
      <c r="RYR21" s="64"/>
      <c r="RYS21" s="64"/>
      <c r="RYT21" s="64"/>
      <c r="RYU21" s="64"/>
      <c r="RYV21" s="64"/>
      <c r="RYW21" s="64"/>
      <c r="RYX21" s="64"/>
      <c r="RYY21" s="64"/>
      <c r="RYZ21" s="64"/>
      <c r="RZA21" s="64"/>
      <c r="RZB21" s="64"/>
      <c r="RZC21" s="64"/>
      <c r="RZD21" s="64"/>
      <c r="RZE21" s="64"/>
      <c r="RZF21" s="64"/>
      <c r="RZG21" s="64"/>
      <c r="RZH21" s="64"/>
      <c r="RZI21" s="64"/>
      <c r="RZJ21" s="64"/>
      <c r="RZK21" s="64"/>
      <c r="RZL21" s="64"/>
      <c r="RZM21" s="64"/>
      <c r="RZN21" s="64"/>
      <c r="RZO21" s="64"/>
      <c r="RZP21" s="64"/>
      <c r="RZQ21" s="64"/>
      <c r="RZR21" s="64"/>
      <c r="RZS21" s="64"/>
      <c r="RZT21" s="64"/>
      <c r="RZU21" s="64"/>
      <c r="RZV21" s="64"/>
      <c r="RZW21" s="64"/>
      <c r="RZX21" s="64"/>
      <c r="RZY21" s="64"/>
      <c r="RZZ21" s="64"/>
      <c r="SAA21" s="64"/>
      <c r="SAB21" s="64"/>
      <c r="SAC21" s="64"/>
      <c r="SAD21" s="64"/>
      <c r="SAE21" s="64"/>
      <c r="SAF21" s="64"/>
      <c r="SAG21" s="64"/>
      <c r="SAH21" s="64"/>
      <c r="SAI21" s="64"/>
      <c r="SAJ21" s="64"/>
      <c r="SAK21" s="64"/>
      <c r="SAL21" s="64"/>
      <c r="SAM21" s="64"/>
      <c r="SAN21" s="64"/>
      <c r="SAO21" s="64"/>
      <c r="SAP21" s="64"/>
      <c r="SAQ21" s="64"/>
      <c r="SAR21" s="64"/>
      <c r="SAS21" s="64"/>
      <c r="SAT21" s="64"/>
      <c r="SAU21" s="64"/>
      <c r="SAV21" s="64"/>
      <c r="SAW21" s="64"/>
      <c r="SAX21" s="64"/>
      <c r="SAY21" s="64"/>
      <c r="SAZ21" s="64"/>
      <c r="SBA21" s="64"/>
      <c r="SBB21" s="64"/>
      <c r="SBC21" s="64"/>
      <c r="SBD21" s="64"/>
      <c r="SBE21" s="64"/>
      <c r="SBF21" s="64"/>
      <c r="SBG21" s="64"/>
      <c r="SBH21" s="64"/>
      <c r="SBI21" s="64"/>
      <c r="SBJ21" s="64"/>
      <c r="SBK21" s="64"/>
      <c r="SBL21" s="64"/>
      <c r="SBM21" s="64"/>
      <c r="SBN21" s="64"/>
      <c r="SBO21" s="64"/>
      <c r="SBP21" s="64"/>
      <c r="SBQ21" s="64"/>
      <c r="SBR21" s="64"/>
      <c r="SBS21" s="64"/>
      <c r="SBT21" s="64"/>
      <c r="SBU21" s="64"/>
      <c r="SBV21" s="64"/>
      <c r="SBW21" s="64"/>
      <c r="SBX21" s="64"/>
      <c r="SBY21" s="64"/>
      <c r="SBZ21" s="64"/>
      <c r="SCA21" s="64"/>
      <c r="SCB21" s="64"/>
      <c r="SCC21" s="64"/>
      <c r="SCD21" s="64"/>
      <c r="SCE21" s="64"/>
      <c r="SCF21" s="64"/>
      <c r="SCG21" s="64"/>
      <c r="SCH21" s="64"/>
      <c r="SCI21" s="64"/>
      <c r="SCJ21" s="64"/>
      <c r="SCK21" s="64"/>
      <c r="SCL21" s="64"/>
      <c r="SCM21" s="64"/>
      <c r="SCN21" s="64"/>
      <c r="SCO21" s="64"/>
      <c r="SCP21" s="64"/>
      <c r="SCQ21" s="64"/>
      <c r="SCR21" s="64"/>
      <c r="SCS21" s="64"/>
      <c r="SCT21" s="64"/>
      <c r="SCU21" s="64"/>
      <c r="SCV21" s="64"/>
      <c r="SCW21" s="64"/>
      <c r="SCX21" s="64"/>
      <c r="SCY21" s="64"/>
      <c r="SCZ21" s="64"/>
      <c r="SDA21" s="64"/>
      <c r="SDB21" s="64"/>
      <c r="SDC21" s="64"/>
      <c r="SDD21" s="64"/>
      <c r="SDE21" s="64"/>
      <c r="SDF21" s="64"/>
      <c r="SDG21" s="64"/>
      <c r="SDH21" s="64"/>
      <c r="SDI21" s="64"/>
      <c r="SDJ21" s="64"/>
      <c r="SDK21" s="64"/>
      <c r="SDL21" s="64"/>
      <c r="SDM21" s="64"/>
      <c r="SDN21" s="64"/>
      <c r="SDO21" s="64"/>
      <c r="SDP21" s="64"/>
      <c r="SDQ21" s="64"/>
      <c r="SDR21" s="64"/>
      <c r="SDS21" s="64"/>
      <c r="SDT21" s="64"/>
      <c r="SDU21" s="64"/>
      <c r="SDV21" s="64"/>
      <c r="SDW21" s="64"/>
      <c r="SDX21" s="64"/>
      <c r="SDY21" s="64"/>
      <c r="SDZ21" s="64"/>
      <c r="SEA21" s="64"/>
      <c r="SEB21" s="64"/>
      <c r="SEC21" s="64"/>
      <c r="SED21" s="64"/>
      <c r="SEE21" s="64"/>
      <c r="SEF21" s="64"/>
      <c r="SEG21" s="64"/>
      <c r="SEH21" s="64"/>
      <c r="SEI21" s="64"/>
      <c r="SEJ21" s="64"/>
      <c r="SEK21" s="64"/>
      <c r="SEL21" s="64"/>
      <c r="SEM21" s="64"/>
      <c r="SEN21" s="64"/>
      <c r="SEO21" s="64"/>
      <c r="SEP21" s="64"/>
      <c r="SEQ21" s="64"/>
      <c r="SER21" s="64"/>
      <c r="SES21" s="64"/>
      <c r="SET21" s="64"/>
      <c r="SEU21" s="64"/>
      <c r="SEV21" s="64"/>
      <c r="SEW21" s="64"/>
      <c r="SEX21" s="64"/>
      <c r="SEY21" s="64"/>
      <c r="SEZ21" s="64"/>
      <c r="SFA21" s="64"/>
      <c r="SFB21" s="64"/>
      <c r="SFC21" s="64"/>
      <c r="SFD21" s="64"/>
      <c r="SFE21" s="64"/>
      <c r="SFF21" s="64"/>
      <c r="SFG21" s="64"/>
      <c r="SFH21" s="64"/>
      <c r="SFI21" s="64"/>
      <c r="SFJ21" s="64"/>
      <c r="SFK21" s="64"/>
      <c r="SFL21" s="64"/>
      <c r="SFM21" s="64"/>
      <c r="SFN21" s="64"/>
      <c r="SFO21" s="64"/>
      <c r="SFP21" s="64"/>
      <c r="SFQ21" s="64"/>
      <c r="SFR21" s="64"/>
      <c r="SFS21" s="64"/>
      <c r="SFT21" s="64"/>
      <c r="SFU21" s="64"/>
      <c r="SFV21" s="64"/>
      <c r="SFW21" s="64"/>
      <c r="SFX21" s="64"/>
      <c r="SFY21" s="64"/>
      <c r="SFZ21" s="64"/>
      <c r="SGA21" s="64"/>
      <c r="SGB21" s="64"/>
      <c r="SGC21" s="64"/>
      <c r="SGD21" s="64"/>
      <c r="SGE21" s="64"/>
      <c r="SGF21" s="64"/>
      <c r="SGG21" s="64"/>
      <c r="SGH21" s="64"/>
      <c r="SGI21" s="64"/>
      <c r="SGJ21" s="64"/>
      <c r="SGK21" s="64"/>
      <c r="SGL21" s="64"/>
      <c r="SGM21" s="64"/>
      <c r="SGN21" s="64"/>
      <c r="SGO21" s="64"/>
      <c r="SGP21" s="64"/>
      <c r="SGQ21" s="64"/>
      <c r="SGR21" s="64"/>
      <c r="SGS21" s="64"/>
      <c r="SGT21" s="64"/>
      <c r="SGU21" s="64"/>
      <c r="SGV21" s="64"/>
      <c r="SGW21" s="64"/>
      <c r="SGX21" s="64"/>
      <c r="SGY21" s="64"/>
      <c r="SGZ21" s="64"/>
      <c r="SHA21" s="64"/>
      <c r="SHB21" s="64"/>
      <c r="SHC21" s="64"/>
      <c r="SHD21" s="64"/>
      <c r="SHE21" s="64"/>
      <c r="SHF21" s="64"/>
      <c r="SHG21" s="64"/>
      <c r="SHH21" s="64"/>
      <c r="SHI21" s="64"/>
      <c r="SHJ21" s="64"/>
      <c r="SHK21" s="64"/>
      <c r="SHL21" s="64"/>
      <c r="SHM21" s="64"/>
      <c r="SHN21" s="64"/>
      <c r="SHO21" s="64"/>
      <c r="SHP21" s="64"/>
      <c r="SHQ21" s="64"/>
      <c r="SHR21" s="64"/>
      <c r="SHS21" s="64"/>
      <c r="SHT21" s="64"/>
      <c r="SHU21" s="64"/>
      <c r="SHV21" s="64"/>
      <c r="SHW21" s="64"/>
      <c r="SHX21" s="64"/>
      <c r="SHY21" s="64"/>
      <c r="SHZ21" s="64"/>
      <c r="SIA21" s="64"/>
      <c r="SIB21" s="64"/>
      <c r="SIC21" s="64"/>
      <c r="SID21" s="64"/>
      <c r="SIE21" s="64"/>
      <c r="SIF21" s="64"/>
      <c r="SIG21" s="64"/>
      <c r="SIH21" s="64"/>
      <c r="SII21" s="64"/>
      <c r="SIJ21" s="64"/>
      <c r="SIK21" s="64"/>
      <c r="SIL21" s="64"/>
      <c r="SIM21" s="64"/>
      <c r="SIN21" s="64"/>
      <c r="SIO21" s="64"/>
      <c r="SIP21" s="64"/>
      <c r="SIQ21" s="64"/>
      <c r="SIR21" s="64"/>
      <c r="SIS21" s="64"/>
      <c r="SIT21" s="64"/>
      <c r="SIU21" s="64"/>
      <c r="SIV21" s="64"/>
      <c r="SIW21" s="64"/>
      <c r="SIX21" s="64"/>
      <c r="SIY21" s="64"/>
      <c r="SIZ21" s="64"/>
      <c r="SJA21" s="64"/>
      <c r="SJB21" s="64"/>
      <c r="SJC21" s="64"/>
      <c r="SJD21" s="64"/>
      <c r="SJE21" s="64"/>
      <c r="SJF21" s="64"/>
      <c r="SJG21" s="64"/>
      <c r="SJH21" s="64"/>
      <c r="SJI21" s="64"/>
      <c r="SJJ21" s="64"/>
      <c r="SJK21" s="64"/>
      <c r="SJL21" s="64"/>
      <c r="SJM21" s="64"/>
      <c r="SJN21" s="64"/>
      <c r="SJO21" s="64"/>
      <c r="SJP21" s="64"/>
      <c r="SJQ21" s="64"/>
      <c r="SJR21" s="64"/>
      <c r="SJS21" s="64"/>
      <c r="SJT21" s="64"/>
      <c r="SJU21" s="64"/>
      <c r="SJV21" s="64"/>
      <c r="SJW21" s="64"/>
      <c r="SJX21" s="64"/>
      <c r="SJY21" s="64"/>
      <c r="SJZ21" s="64"/>
      <c r="SKA21" s="64"/>
      <c r="SKB21" s="64"/>
      <c r="SKC21" s="64"/>
      <c r="SKD21" s="64"/>
      <c r="SKE21" s="64"/>
      <c r="SKF21" s="64"/>
      <c r="SKG21" s="64"/>
      <c r="SKH21" s="64"/>
      <c r="SKI21" s="64"/>
      <c r="SKJ21" s="64"/>
      <c r="SKK21" s="64"/>
      <c r="SKL21" s="64"/>
      <c r="SKM21" s="64"/>
      <c r="SKN21" s="64"/>
      <c r="SKO21" s="64"/>
      <c r="SKP21" s="64"/>
      <c r="SKQ21" s="64"/>
      <c r="SKR21" s="64"/>
      <c r="SKS21" s="64"/>
      <c r="SKT21" s="64"/>
      <c r="SKU21" s="64"/>
      <c r="SKV21" s="64"/>
      <c r="SKW21" s="64"/>
      <c r="SKX21" s="64"/>
      <c r="SKY21" s="64"/>
      <c r="SKZ21" s="64"/>
      <c r="SLA21" s="64"/>
      <c r="SLB21" s="64"/>
      <c r="SLC21" s="64"/>
      <c r="SLD21" s="64"/>
      <c r="SLE21" s="64"/>
      <c r="SLF21" s="64"/>
      <c r="SLG21" s="64"/>
      <c r="SLH21" s="64"/>
      <c r="SLI21" s="64"/>
      <c r="SLJ21" s="64"/>
      <c r="SLK21" s="64"/>
      <c r="SLL21" s="64"/>
      <c r="SLM21" s="64"/>
      <c r="SLN21" s="64"/>
      <c r="SLO21" s="64"/>
      <c r="SLP21" s="64"/>
      <c r="SLQ21" s="64"/>
      <c r="SLR21" s="64"/>
      <c r="SLS21" s="64"/>
      <c r="SLT21" s="64"/>
      <c r="SLU21" s="64"/>
      <c r="SLV21" s="64"/>
      <c r="SLW21" s="64"/>
      <c r="SLX21" s="64"/>
      <c r="SLY21" s="64"/>
      <c r="SLZ21" s="64"/>
      <c r="SMA21" s="64"/>
      <c r="SMB21" s="64"/>
      <c r="SMC21" s="64"/>
      <c r="SMD21" s="64"/>
      <c r="SME21" s="64"/>
      <c r="SMF21" s="64"/>
      <c r="SMG21" s="64"/>
      <c r="SMH21" s="64"/>
      <c r="SMI21" s="64"/>
      <c r="SMJ21" s="64"/>
      <c r="SMK21" s="64"/>
      <c r="SML21" s="64"/>
      <c r="SMM21" s="64"/>
      <c r="SMN21" s="64"/>
      <c r="SMO21" s="64"/>
      <c r="SMP21" s="64"/>
      <c r="SMQ21" s="64"/>
      <c r="SMR21" s="64"/>
      <c r="SMS21" s="64"/>
      <c r="SMT21" s="64"/>
      <c r="SMU21" s="64"/>
      <c r="SMV21" s="64"/>
      <c r="SMW21" s="64"/>
      <c r="SMX21" s="64"/>
      <c r="SMY21" s="64"/>
      <c r="SMZ21" s="64"/>
      <c r="SNA21" s="64"/>
      <c r="SNB21" s="64"/>
      <c r="SNC21" s="64"/>
      <c r="SND21" s="64"/>
      <c r="SNE21" s="64"/>
      <c r="SNF21" s="64"/>
      <c r="SNG21" s="64"/>
      <c r="SNH21" s="64"/>
      <c r="SNI21" s="64"/>
      <c r="SNJ21" s="64"/>
      <c r="SNK21" s="64"/>
      <c r="SNL21" s="64"/>
      <c r="SNM21" s="64"/>
      <c r="SNN21" s="64"/>
      <c r="SNO21" s="64"/>
      <c r="SNP21" s="64"/>
      <c r="SNQ21" s="64"/>
      <c r="SNR21" s="64"/>
      <c r="SNS21" s="64"/>
      <c r="SNT21" s="64"/>
      <c r="SNU21" s="64"/>
      <c r="SNV21" s="64"/>
      <c r="SNW21" s="64"/>
      <c r="SNX21" s="64"/>
      <c r="SNY21" s="64"/>
      <c r="SNZ21" s="64"/>
      <c r="SOA21" s="64"/>
      <c r="SOB21" s="64"/>
      <c r="SOC21" s="64"/>
      <c r="SOD21" s="64"/>
      <c r="SOE21" s="64"/>
      <c r="SOF21" s="64"/>
      <c r="SOG21" s="64"/>
      <c r="SOH21" s="64"/>
      <c r="SOI21" s="64"/>
      <c r="SOJ21" s="64"/>
      <c r="SOK21" s="64"/>
      <c r="SOL21" s="64"/>
      <c r="SOM21" s="64"/>
      <c r="SON21" s="64"/>
      <c r="SOO21" s="64"/>
      <c r="SOP21" s="64"/>
      <c r="SOQ21" s="64"/>
      <c r="SOR21" s="64"/>
      <c r="SOS21" s="64"/>
      <c r="SOT21" s="64"/>
      <c r="SOU21" s="64"/>
      <c r="SOV21" s="64"/>
      <c r="SOW21" s="64"/>
      <c r="SOX21" s="64"/>
      <c r="SOY21" s="64"/>
      <c r="SOZ21" s="64"/>
      <c r="SPA21" s="64"/>
      <c r="SPB21" s="64"/>
      <c r="SPC21" s="64"/>
      <c r="SPD21" s="64"/>
      <c r="SPE21" s="64"/>
      <c r="SPF21" s="64"/>
      <c r="SPG21" s="64"/>
      <c r="SPH21" s="64"/>
      <c r="SPI21" s="64"/>
      <c r="SPJ21" s="64"/>
      <c r="SPK21" s="64"/>
      <c r="SPL21" s="64"/>
      <c r="SPM21" s="64"/>
      <c r="SPN21" s="64"/>
      <c r="SPO21" s="64"/>
      <c r="SPP21" s="64"/>
      <c r="SPQ21" s="64"/>
      <c r="SPR21" s="64"/>
      <c r="SPS21" s="64"/>
      <c r="SPT21" s="64"/>
      <c r="SPU21" s="64"/>
      <c r="SPV21" s="64"/>
      <c r="SPW21" s="64"/>
      <c r="SPX21" s="64"/>
      <c r="SPY21" s="64"/>
      <c r="SPZ21" s="64"/>
      <c r="SQA21" s="64"/>
      <c r="SQB21" s="64"/>
      <c r="SQC21" s="64"/>
      <c r="SQD21" s="64"/>
      <c r="SQE21" s="64"/>
      <c r="SQF21" s="64"/>
      <c r="SQG21" s="64"/>
      <c r="SQH21" s="64"/>
      <c r="SQI21" s="64"/>
      <c r="SQJ21" s="64"/>
      <c r="SQK21" s="64"/>
      <c r="SQL21" s="64"/>
      <c r="SQM21" s="64"/>
      <c r="SQN21" s="64"/>
      <c r="SQO21" s="64"/>
      <c r="SQP21" s="64"/>
      <c r="SQQ21" s="64"/>
      <c r="SQR21" s="64"/>
      <c r="SQS21" s="64"/>
      <c r="SQT21" s="64"/>
      <c r="SQU21" s="64"/>
      <c r="SQV21" s="64"/>
      <c r="SQW21" s="64"/>
      <c r="SQX21" s="64"/>
      <c r="SQY21" s="64"/>
      <c r="SQZ21" s="64"/>
      <c r="SRA21" s="64"/>
      <c r="SRB21" s="64"/>
      <c r="SRC21" s="64"/>
      <c r="SRD21" s="64"/>
      <c r="SRE21" s="64"/>
      <c r="SRF21" s="64"/>
      <c r="SRG21" s="64"/>
      <c r="SRH21" s="64"/>
      <c r="SRI21" s="64"/>
      <c r="SRJ21" s="64"/>
      <c r="SRK21" s="64"/>
      <c r="SRL21" s="64"/>
      <c r="SRM21" s="64"/>
      <c r="SRN21" s="64"/>
      <c r="SRO21" s="64"/>
      <c r="SRP21" s="64"/>
      <c r="SRQ21" s="64"/>
      <c r="SRR21" s="64"/>
      <c r="SRS21" s="64"/>
      <c r="SRT21" s="64"/>
      <c r="SRU21" s="64"/>
      <c r="SRV21" s="64"/>
      <c r="SRW21" s="64"/>
      <c r="SRX21" s="64"/>
      <c r="SRY21" s="64"/>
      <c r="SRZ21" s="64"/>
      <c r="SSA21" s="64"/>
      <c r="SSB21" s="64"/>
      <c r="SSC21" s="64"/>
      <c r="SSD21" s="64"/>
      <c r="SSE21" s="64"/>
      <c r="SSF21" s="64"/>
      <c r="SSG21" s="64"/>
      <c r="SSH21" s="64"/>
      <c r="SSI21" s="64"/>
      <c r="SSJ21" s="64"/>
      <c r="SSK21" s="64"/>
      <c r="SSL21" s="64"/>
      <c r="SSM21" s="64"/>
      <c r="SSN21" s="64"/>
      <c r="SSO21" s="64"/>
      <c r="SSP21" s="64"/>
      <c r="SSQ21" s="64"/>
      <c r="SSR21" s="64"/>
      <c r="SSS21" s="64"/>
      <c r="SST21" s="64"/>
      <c r="SSU21" s="64"/>
      <c r="SSV21" s="64"/>
      <c r="SSW21" s="64"/>
      <c r="SSX21" s="64"/>
      <c r="SSY21" s="64"/>
      <c r="SSZ21" s="64"/>
      <c r="STA21" s="64"/>
      <c r="STB21" s="64"/>
      <c r="STC21" s="64"/>
      <c r="STD21" s="64"/>
      <c r="STE21" s="64"/>
      <c r="STF21" s="64"/>
      <c r="STG21" s="64"/>
      <c r="STH21" s="64"/>
      <c r="STI21" s="64"/>
      <c r="STJ21" s="64"/>
      <c r="STK21" s="64"/>
      <c r="STL21" s="64"/>
      <c r="STM21" s="64"/>
      <c r="STN21" s="64"/>
      <c r="STO21" s="64"/>
      <c r="STP21" s="64"/>
      <c r="STQ21" s="64"/>
      <c r="STR21" s="64"/>
      <c r="STS21" s="64"/>
      <c r="STT21" s="64"/>
      <c r="STU21" s="64"/>
      <c r="STV21" s="64"/>
      <c r="STW21" s="64"/>
      <c r="STX21" s="64"/>
      <c r="STY21" s="64"/>
      <c r="STZ21" s="64"/>
      <c r="SUA21" s="64"/>
      <c r="SUB21" s="64"/>
      <c r="SUC21" s="64"/>
      <c r="SUD21" s="64"/>
      <c r="SUE21" s="64"/>
      <c r="SUF21" s="64"/>
      <c r="SUG21" s="64"/>
      <c r="SUH21" s="64"/>
      <c r="SUI21" s="64"/>
      <c r="SUJ21" s="64"/>
      <c r="SUK21" s="64"/>
      <c r="SUL21" s="64"/>
      <c r="SUM21" s="64"/>
      <c r="SUN21" s="64"/>
      <c r="SUO21" s="64"/>
      <c r="SUP21" s="64"/>
      <c r="SUQ21" s="64"/>
      <c r="SUR21" s="64"/>
      <c r="SUS21" s="64"/>
      <c r="SUT21" s="64"/>
      <c r="SUU21" s="64"/>
      <c r="SUV21" s="64"/>
      <c r="SUW21" s="64"/>
      <c r="SUX21" s="64"/>
      <c r="SUY21" s="64"/>
      <c r="SUZ21" s="64"/>
      <c r="SVA21" s="64"/>
      <c r="SVB21" s="64"/>
      <c r="SVC21" s="64"/>
      <c r="SVD21" s="64"/>
      <c r="SVE21" s="64"/>
      <c r="SVF21" s="64"/>
      <c r="SVG21" s="64"/>
      <c r="SVH21" s="64"/>
      <c r="SVI21" s="64"/>
      <c r="SVJ21" s="64"/>
      <c r="SVK21" s="64"/>
      <c r="SVL21" s="64"/>
      <c r="SVM21" s="64"/>
      <c r="SVN21" s="64"/>
      <c r="SVO21" s="64"/>
      <c r="SVP21" s="64"/>
      <c r="SVQ21" s="64"/>
      <c r="SVR21" s="64"/>
      <c r="SVS21" s="64"/>
      <c r="SVT21" s="64"/>
      <c r="SVU21" s="64"/>
      <c r="SVV21" s="64"/>
      <c r="SVW21" s="64"/>
      <c r="SVX21" s="64"/>
      <c r="SVY21" s="64"/>
      <c r="SVZ21" s="64"/>
      <c r="SWA21" s="64"/>
      <c r="SWB21" s="64"/>
      <c r="SWC21" s="64"/>
      <c r="SWD21" s="64"/>
      <c r="SWE21" s="64"/>
      <c r="SWF21" s="64"/>
      <c r="SWG21" s="64"/>
      <c r="SWH21" s="64"/>
      <c r="SWI21" s="64"/>
      <c r="SWJ21" s="64"/>
      <c r="SWK21" s="64"/>
      <c r="SWL21" s="64"/>
      <c r="SWM21" s="64"/>
      <c r="SWN21" s="64"/>
      <c r="SWO21" s="64"/>
      <c r="SWP21" s="64"/>
      <c r="SWQ21" s="64"/>
      <c r="SWR21" s="64"/>
      <c r="SWS21" s="64"/>
      <c r="SWT21" s="64"/>
      <c r="SWU21" s="64"/>
      <c r="SWV21" s="64"/>
      <c r="SWW21" s="64"/>
      <c r="SWX21" s="64"/>
      <c r="SWY21" s="64"/>
      <c r="SWZ21" s="64"/>
      <c r="SXA21" s="64"/>
      <c r="SXB21" s="64"/>
      <c r="SXC21" s="64"/>
      <c r="SXD21" s="64"/>
      <c r="SXE21" s="64"/>
      <c r="SXF21" s="64"/>
      <c r="SXG21" s="64"/>
      <c r="SXH21" s="64"/>
      <c r="SXI21" s="64"/>
      <c r="SXJ21" s="64"/>
      <c r="SXK21" s="64"/>
      <c r="SXL21" s="64"/>
      <c r="SXM21" s="64"/>
      <c r="SXN21" s="64"/>
      <c r="SXO21" s="64"/>
      <c r="SXP21" s="64"/>
      <c r="SXQ21" s="64"/>
      <c r="SXR21" s="64"/>
      <c r="SXS21" s="64"/>
      <c r="SXT21" s="64"/>
      <c r="SXU21" s="64"/>
      <c r="SXV21" s="64"/>
      <c r="SXW21" s="64"/>
      <c r="SXX21" s="64"/>
      <c r="SXY21" s="64"/>
      <c r="SXZ21" s="64"/>
      <c r="SYA21" s="64"/>
      <c r="SYB21" s="64"/>
      <c r="SYC21" s="64"/>
      <c r="SYD21" s="64"/>
      <c r="SYE21" s="64"/>
      <c r="SYF21" s="64"/>
      <c r="SYG21" s="64"/>
      <c r="SYH21" s="64"/>
      <c r="SYI21" s="64"/>
      <c r="SYJ21" s="64"/>
      <c r="SYK21" s="64"/>
      <c r="SYL21" s="64"/>
      <c r="SYM21" s="64"/>
      <c r="SYN21" s="64"/>
      <c r="SYO21" s="64"/>
      <c r="SYP21" s="64"/>
      <c r="SYQ21" s="64"/>
      <c r="SYR21" s="64"/>
      <c r="SYS21" s="64"/>
      <c r="SYT21" s="64"/>
      <c r="SYU21" s="64"/>
      <c r="SYV21" s="64"/>
      <c r="SYW21" s="64"/>
      <c r="SYX21" s="64"/>
      <c r="SYY21" s="64"/>
      <c r="SYZ21" s="64"/>
      <c r="SZA21" s="64"/>
      <c r="SZB21" s="64"/>
      <c r="SZC21" s="64"/>
      <c r="SZD21" s="64"/>
      <c r="SZE21" s="64"/>
      <c r="SZF21" s="64"/>
      <c r="SZG21" s="64"/>
      <c r="SZH21" s="64"/>
      <c r="SZI21" s="64"/>
      <c r="SZJ21" s="64"/>
      <c r="SZK21" s="64"/>
      <c r="SZL21" s="64"/>
      <c r="SZM21" s="64"/>
      <c r="SZN21" s="64"/>
      <c r="SZO21" s="64"/>
      <c r="SZP21" s="64"/>
      <c r="SZQ21" s="64"/>
      <c r="SZR21" s="64"/>
      <c r="SZS21" s="64"/>
      <c r="SZT21" s="64"/>
      <c r="SZU21" s="64"/>
      <c r="SZV21" s="64"/>
      <c r="SZW21" s="64"/>
      <c r="SZX21" s="64"/>
      <c r="SZY21" s="64"/>
      <c r="SZZ21" s="64"/>
      <c r="TAA21" s="64"/>
      <c r="TAB21" s="64"/>
      <c r="TAC21" s="64"/>
      <c r="TAD21" s="64"/>
      <c r="TAE21" s="64"/>
      <c r="TAF21" s="64"/>
      <c r="TAG21" s="64"/>
      <c r="TAH21" s="64"/>
      <c r="TAI21" s="64"/>
      <c r="TAJ21" s="64"/>
      <c r="TAK21" s="64"/>
      <c r="TAL21" s="64"/>
      <c r="TAM21" s="64"/>
      <c r="TAN21" s="64"/>
      <c r="TAO21" s="64"/>
      <c r="TAP21" s="64"/>
      <c r="TAQ21" s="64"/>
      <c r="TAR21" s="64"/>
      <c r="TAS21" s="64"/>
      <c r="TAT21" s="64"/>
      <c r="TAU21" s="64"/>
      <c r="TAV21" s="64"/>
      <c r="TAW21" s="64"/>
      <c r="TAX21" s="64"/>
      <c r="TAY21" s="64"/>
      <c r="TAZ21" s="64"/>
      <c r="TBA21" s="64"/>
      <c r="TBB21" s="64"/>
      <c r="TBC21" s="64"/>
      <c r="TBD21" s="64"/>
      <c r="TBE21" s="64"/>
      <c r="TBF21" s="64"/>
      <c r="TBG21" s="64"/>
      <c r="TBH21" s="64"/>
      <c r="TBI21" s="64"/>
      <c r="TBJ21" s="64"/>
      <c r="TBK21" s="64"/>
      <c r="TBL21" s="64"/>
      <c r="TBM21" s="64"/>
      <c r="TBN21" s="64"/>
      <c r="TBO21" s="64"/>
      <c r="TBP21" s="64"/>
      <c r="TBQ21" s="64"/>
      <c r="TBR21" s="64"/>
      <c r="TBS21" s="64"/>
      <c r="TBT21" s="64"/>
      <c r="TBU21" s="64"/>
      <c r="TBV21" s="64"/>
      <c r="TBW21" s="64"/>
      <c r="TBX21" s="64"/>
      <c r="TBY21" s="64"/>
      <c r="TBZ21" s="64"/>
      <c r="TCA21" s="64"/>
      <c r="TCB21" s="64"/>
      <c r="TCC21" s="64"/>
      <c r="TCD21" s="64"/>
      <c r="TCE21" s="64"/>
      <c r="TCF21" s="64"/>
      <c r="TCG21" s="64"/>
      <c r="TCH21" s="64"/>
      <c r="TCI21" s="64"/>
      <c r="TCJ21" s="64"/>
      <c r="TCK21" s="64"/>
      <c r="TCL21" s="64"/>
      <c r="TCM21" s="64"/>
      <c r="TCN21" s="64"/>
      <c r="TCO21" s="64"/>
      <c r="TCP21" s="64"/>
      <c r="TCQ21" s="64"/>
      <c r="TCR21" s="64"/>
      <c r="TCS21" s="64"/>
      <c r="TCT21" s="64"/>
      <c r="TCU21" s="64"/>
      <c r="TCV21" s="64"/>
      <c r="TCW21" s="64"/>
      <c r="TCX21" s="64"/>
      <c r="TCY21" s="64"/>
      <c r="TCZ21" s="64"/>
      <c r="TDA21" s="64"/>
      <c r="TDB21" s="64"/>
      <c r="TDC21" s="64"/>
      <c r="TDD21" s="64"/>
      <c r="TDE21" s="64"/>
      <c r="TDF21" s="64"/>
      <c r="TDG21" s="64"/>
      <c r="TDH21" s="64"/>
      <c r="TDI21" s="64"/>
      <c r="TDJ21" s="64"/>
      <c r="TDK21" s="64"/>
      <c r="TDL21" s="64"/>
      <c r="TDM21" s="64"/>
      <c r="TDN21" s="64"/>
      <c r="TDO21" s="64"/>
      <c r="TDP21" s="64"/>
      <c r="TDQ21" s="64"/>
      <c r="TDR21" s="64"/>
      <c r="TDS21" s="64"/>
      <c r="TDT21" s="64"/>
      <c r="TDU21" s="64"/>
      <c r="TDV21" s="64"/>
      <c r="TDW21" s="64"/>
      <c r="TDX21" s="64"/>
      <c r="TDY21" s="64"/>
      <c r="TDZ21" s="64"/>
      <c r="TEA21" s="64"/>
      <c r="TEB21" s="64"/>
      <c r="TEC21" s="64"/>
      <c r="TED21" s="64"/>
      <c r="TEE21" s="64"/>
      <c r="TEF21" s="64"/>
      <c r="TEG21" s="64"/>
      <c r="TEH21" s="64"/>
      <c r="TEI21" s="64"/>
      <c r="TEJ21" s="64"/>
      <c r="TEK21" s="64"/>
      <c r="TEL21" s="64"/>
      <c r="TEM21" s="64"/>
      <c r="TEN21" s="64"/>
      <c r="TEO21" s="64"/>
      <c r="TEP21" s="64"/>
      <c r="TEQ21" s="64"/>
      <c r="TER21" s="64"/>
      <c r="TES21" s="64"/>
      <c r="TET21" s="64"/>
      <c r="TEU21" s="64"/>
      <c r="TEV21" s="64"/>
      <c r="TEW21" s="64"/>
      <c r="TEX21" s="64"/>
      <c r="TEY21" s="64"/>
      <c r="TEZ21" s="64"/>
      <c r="TFA21" s="64"/>
      <c r="TFB21" s="64"/>
      <c r="TFC21" s="64"/>
      <c r="TFD21" s="64"/>
      <c r="TFE21" s="64"/>
      <c r="TFF21" s="64"/>
      <c r="TFG21" s="64"/>
      <c r="TFH21" s="64"/>
      <c r="TFI21" s="64"/>
      <c r="TFJ21" s="64"/>
      <c r="TFK21" s="64"/>
      <c r="TFL21" s="64"/>
      <c r="TFM21" s="64"/>
      <c r="TFN21" s="64"/>
      <c r="TFO21" s="64"/>
      <c r="TFP21" s="64"/>
      <c r="TFQ21" s="64"/>
      <c r="TFR21" s="64"/>
      <c r="TFS21" s="64"/>
      <c r="TFT21" s="64"/>
      <c r="TFU21" s="64"/>
      <c r="TFV21" s="64"/>
      <c r="TFW21" s="64"/>
      <c r="TFX21" s="64"/>
      <c r="TFY21" s="64"/>
      <c r="TFZ21" s="64"/>
      <c r="TGA21" s="64"/>
      <c r="TGB21" s="64"/>
      <c r="TGC21" s="64"/>
      <c r="TGD21" s="64"/>
      <c r="TGE21" s="64"/>
      <c r="TGF21" s="64"/>
      <c r="TGG21" s="64"/>
      <c r="TGH21" s="64"/>
      <c r="TGI21" s="64"/>
      <c r="TGJ21" s="64"/>
      <c r="TGK21" s="64"/>
      <c r="TGL21" s="64"/>
      <c r="TGM21" s="64"/>
      <c r="TGN21" s="64"/>
      <c r="TGO21" s="64"/>
      <c r="TGP21" s="64"/>
      <c r="TGQ21" s="64"/>
      <c r="TGR21" s="64"/>
      <c r="TGS21" s="64"/>
      <c r="TGT21" s="64"/>
      <c r="TGU21" s="64"/>
      <c r="TGV21" s="64"/>
      <c r="TGW21" s="64"/>
      <c r="TGX21" s="64"/>
      <c r="TGY21" s="64"/>
      <c r="TGZ21" s="64"/>
      <c r="THA21" s="64"/>
      <c r="THB21" s="64"/>
      <c r="THC21" s="64"/>
      <c r="THD21" s="64"/>
      <c r="THE21" s="64"/>
      <c r="THF21" s="64"/>
      <c r="THG21" s="64"/>
      <c r="THH21" s="64"/>
      <c r="THI21" s="64"/>
      <c r="THJ21" s="64"/>
      <c r="THK21" s="64"/>
      <c r="THL21" s="64"/>
      <c r="THM21" s="64"/>
      <c r="THN21" s="64"/>
      <c r="THO21" s="64"/>
      <c r="THP21" s="64"/>
      <c r="THQ21" s="64"/>
      <c r="THR21" s="64"/>
      <c r="THS21" s="64"/>
      <c r="THT21" s="64"/>
      <c r="THU21" s="64"/>
      <c r="THV21" s="64"/>
      <c r="THW21" s="64"/>
      <c r="THX21" s="64"/>
      <c r="THY21" s="64"/>
      <c r="THZ21" s="64"/>
      <c r="TIA21" s="64"/>
      <c r="TIB21" s="64"/>
      <c r="TIC21" s="64"/>
      <c r="TID21" s="64"/>
      <c r="TIE21" s="64"/>
      <c r="TIF21" s="64"/>
      <c r="TIG21" s="64"/>
      <c r="TIH21" s="64"/>
      <c r="TII21" s="64"/>
      <c r="TIJ21" s="64"/>
      <c r="TIK21" s="64"/>
      <c r="TIL21" s="64"/>
      <c r="TIM21" s="64"/>
      <c r="TIN21" s="64"/>
      <c r="TIO21" s="64"/>
      <c r="TIP21" s="64"/>
      <c r="TIQ21" s="64"/>
      <c r="TIR21" s="64"/>
      <c r="TIS21" s="64"/>
      <c r="TIT21" s="64"/>
      <c r="TIU21" s="64"/>
      <c r="TIV21" s="64"/>
      <c r="TIW21" s="64"/>
      <c r="TIX21" s="64"/>
      <c r="TIY21" s="64"/>
      <c r="TIZ21" s="64"/>
      <c r="TJA21" s="64"/>
      <c r="TJB21" s="64"/>
      <c r="TJC21" s="64"/>
      <c r="TJD21" s="64"/>
      <c r="TJE21" s="64"/>
      <c r="TJF21" s="64"/>
      <c r="TJG21" s="64"/>
      <c r="TJH21" s="64"/>
      <c r="TJI21" s="64"/>
      <c r="TJJ21" s="64"/>
      <c r="TJK21" s="64"/>
      <c r="TJL21" s="64"/>
      <c r="TJM21" s="64"/>
      <c r="TJN21" s="64"/>
      <c r="TJO21" s="64"/>
      <c r="TJP21" s="64"/>
      <c r="TJQ21" s="64"/>
      <c r="TJR21" s="64"/>
      <c r="TJS21" s="64"/>
      <c r="TJT21" s="64"/>
      <c r="TJU21" s="64"/>
      <c r="TJV21" s="64"/>
      <c r="TJW21" s="64"/>
      <c r="TJX21" s="64"/>
      <c r="TJY21" s="64"/>
      <c r="TJZ21" s="64"/>
      <c r="TKA21" s="64"/>
      <c r="TKB21" s="64"/>
      <c r="TKC21" s="64"/>
      <c r="TKD21" s="64"/>
      <c r="TKE21" s="64"/>
      <c r="TKF21" s="64"/>
      <c r="TKG21" s="64"/>
      <c r="TKH21" s="64"/>
      <c r="TKI21" s="64"/>
      <c r="TKJ21" s="64"/>
      <c r="TKK21" s="64"/>
      <c r="TKL21" s="64"/>
      <c r="TKM21" s="64"/>
      <c r="TKN21" s="64"/>
      <c r="TKO21" s="64"/>
      <c r="TKP21" s="64"/>
      <c r="TKQ21" s="64"/>
      <c r="TKR21" s="64"/>
      <c r="TKS21" s="64"/>
      <c r="TKT21" s="64"/>
      <c r="TKU21" s="64"/>
      <c r="TKV21" s="64"/>
      <c r="TKW21" s="64"/>
      <c r="TKX21" s="64"/>
      <c r="TKY21" s="64"/>
      <c r="TKZ21" s="64"/>
      <c r="TLA21" s="64"/>
      <c r="TLB21" s="64"/>
      <c r="TLC21" s="64"/>
      <c r="TLD21" s="64"/>
      <c r="TLE21" s="64"/>
      <c r="TLF21" s="64"/>
      <c r="TLG21" s="64"/>
      <c r="TLH21" s="64"/>
      <c r="TLI21" s="64"/>
      <c r="TLJ21" s="64"/>
      <c r="TLK21" s="64"/>
      <c r="TLL21" s="64"/>
      <c r="TLM21" s="64"/>
      <c r="TLN21" s="64"/>
      <c r="TLO21" s="64"/>
      <c r="TLP21" s="64"/>
      <c r="TLQ21" s="64"/>
      <c r="TLR21" s="64"/>
      <c r="TLS21" s="64"/>
      <c r="TLT21" s="64"/>
      <c r="TLU21" s="64"/>
      <c r="TLV21" s="64"/>
      <c r="TLW21" s="64"/>
      <c r="TLX21" s="64"/>
      <c r="TLY21" s="64"/>
      <c r="TLZ21" s="64"/>
      <c r="TMA21" s="64"/>
      <c r="TMB21" s="64"/>
      <c r="TMC21" s="64"/>
      <c r="TMD21" s="64"/>
      <c r="TME21" s="64"/>
      <c r="TMF21" s="64"/>
      <c r="TMG21" s="64"/>
      <c r="TMH21" s="64"/>
      <c r="TMI21" s="64"/>
      <c r="TMJ21" s="64"/>
      <c r="TMK21" s="64"/>
      <c r="TML21" s="64"/>
      <c r="TMM21" s="64"/>
      <c r="TMN21" s="64"/>
      <c r="TMO21" s="64"/>
      <c r="TMP21" s="64"/>
      <c r="TMQ21" s="64"/>
      <c r="TMR21" s="64"/>
      <c r="TMS21" s="64"/>
      <c r="TMT21" s="64"/>
      <c r="TMU21" s="64"/>
      <c r="TMV21" s="64"/>
      <c r="TMW21" s="64"/>
      <c r="TMX21" s="64"/>
      <c r="TMY21" s="64"/>
      <c r="TMZ21" s="64"/>
      <c r="TNA21" s="64"/>
      <c r="TNB21" s="64"/>
      <c r="TNC21" s="64"/>
      <c r="TND21" s="64"/>
      <c r="TNE21" s="64"/>
      <c r="TNF21" s="64"/>
      <c r="TNG21" s="64"/>
      <c r="TNH21" s="64"/>
      <c r="TNI21" s="64"/>
      <c r="TNJ21" s="64"/>
      <c r="TNK21" s="64"/>
      <c r="TNL21" s="64"/>
      <c r="TNM21" s="64"/>
      <c r="TNN21" s="64"/>
      <c r="TNO21" s="64"/>
      <c r="TNP21" s="64"/>
      <c r="TNQ21" s="64"/>
      <c r="TNR21" s="64"/>
      <c r="TNS21" s="64"/>
      <c r="TNT21" s="64"/>
      <c r="TNU21" s="64"/>
      <c r="TNV21" s="64"/>
      <c r="TNW21" s="64"/>
      <c r="TNX21" s="64"/>
      <c r="TNY21" s="64"/>
      <c r="TNZ21" s="64"/>
      <c r="TOA21" s="64"/>
      <c r="TOB21" s="64"/>
      <c r="TOC21" s="64"/>
      <c r="TOD21" s="64"/>
      <c r="TOE21" s="64"/>
      <c r="TOF21" s="64"/>
      <c r="TOG21" s="64"/>
      <c r="TOH21" s="64"/>
      <c r="TOI21" s="64"/>
      <c r="TOJ21" s="64"/>
      <c r="TOK21" s="64"/>
      <c r="TOL21" s="64"/>
      <c r="TOM21" s="64"/>
      <c r="TON21" s="64"/>
      <c r="TOO21" s="64"/>
      <c r="TOP21" s="64"/>
      <c r="TOQ21" s="64"/>
      <c r="TOR21" s="64"/>
      <c r="TOS21" s="64"/>
      <c r="TOT21" s="64"/>
      <c r="TOU21" s="64"/>
      <c r="TOV21" s="64"/>
      <c r="TOW21" s="64"/>
      <c r="TOX21" s="64"/>
      <c r="TOY21" s="64"/>
      <c r="TOZ21" s="64"/>
      <c r="TPA21" s="64"/>
      <c r="TPB21" s="64"/>
      <c r="TPC21" s="64"/>
      <c r="TPD21" s="64"/>
      <c r="TPE21" s="64"/>
      <c r="TPF21" s="64"/>
      <c r="TPG21" s="64"/>
      <c r="TPH21" s="64"/>
      <c r="TPI21" s="64"/>
      <c r="TPJ21" s="64"/>
      <c r="TPK21" s="64"/>
      <c r="TPL21" s="64"/>
      <c r="TPM21" s="64"/>
      <c r="TPN21" s="64"/>
      <c r="TPO21" s="64"/>
      <c r="TPP21" s="64"/>
      <c r="TPQ21" s="64"/>
      <c r="TPR21" s="64"/>
      <c r="TPS21" s="64"/>
      <c r="TPT21" s="64"/>
      <c r="TPU21" s="64"/>
      <c r="TPV21" s="64"/>
      <c r="TPW21" s="64"/>
      <c r="TPX21" s="64"/>
      <c r="TPY21" s="64"/>
      <c r="TPZ21" s="64"/>
      <c r="TQA21" s="64"/>
      <c r="TQB21" s="64"/>
      <c r="TQC21" s="64"/>
      <c r="TQD21" s="64"/>
      <c r="TQE21" s="64"/>
      <c r="TQF21" s="64"/>
      <c r="TQG21" s="64"/>
      <c r="TQH21" s="64"/>
      <c r="TQI21" s="64"/>
      <c r="TQJ21" s="64"/>
      <c r="TQK21" s="64"/>
      <c r="TQL21" s="64"/>
      <c r="TQM21" s="64"/>
      <c r="TQN21" s="64"/>
      <c r="TQO21" s="64"/>
      <c r="TQP21" s="64"/>
      <c r="TQQ21" s="64"/>
      <c r="TQR21" s="64"/>
      <c r="TQS21" s="64"/>
      <c r="TQT21" s="64"/>
      <c r="TQU21" s="64"/>
      <c r="TQV21" s="64"/>
      <c r="TQW21" s="64"/>
      <c r="TQX21" s="64"/>
      <c r="TQY21" s="64"/>
      <c r="TQZ21" s="64"/>
      <c r="TRA21" s="64"/>
      <c r="TRB21" s="64"/>
      <c r="TRC21" s="64"/>
      <c r="TRD21" s="64"/>
      <c r="TRE21" s="64"/>
      <c r="TRF21" s="64"/>
      <c r="TRG21" s="64"/>
      <c r="TRH21" s="64"/>
      <c r="TRI21" s="64"/>
      <c r="TRJ21" s="64"/>
      <c r="TRK21" s="64"/>
      <c r="TRL21" s="64"/>
      <c r="TRM21" s="64"/>
      <c r="TRN21" s="64"/>
      <c r="TRO21" s="64"/>
      <c r="TRP21" s="64"/>
      <c r="TRQ21" s="64"/>
      <c r="TRR21" s="64"/>
      <c r="TRS21" s="64"/>
      <c r="TRT21" s="64"/>
      <c r="TRU21" s="64"/>
      <c r="TRV21" s="64"/>
      <c r="TRW21" s="64"/>
      <c r="TRX21" s="64"/>
      <c r="TRY21" s="64"/>
      <c r="TRZ21" s="64"/>
      <c r="TSA21" s="64"/>
      <c r="TSB21" s="64"/>
      <c r="TSC21" s="64"/>
      <c r="TSD21" s="64"/>
      <c r="TSE21" s="64"/>
      <c r="TSF21" s="64"/>
      <c r="TSG21" s="64"/>
      <c r="TSH21" s="64"/>
      <c r="TSI21" s="64"/>
      <c r="TSJ21" s="64"/>
      <c r="TSK21" s="64"/>
      <c r="TSL21" s="64"/>
      <c r="TSM21" s="64"/>
      <c r="TSN21" s="64"/>
      <c r="TSO21" s="64"/>
      <c r="TSP21" s="64"/>
      <c r="TSQ21" s="64"/>
      <c r="TSR21" s="64"/>
      <c r="TSS21" s="64"/>
      <c r="TST21" s="64"/>
      <c r="TSU21" s="64"/>
      <c r="TSV21" s="64"/>
      <c r="TSW21" s="64"/>
      <c r="TSX21" s="64"/>
      <c r="TSY21" s="64"/>
      <c r="TSZ21" s="64"/>
      <c r="TTA21" s="64"/>
      <c r="TTB21" s="64"/>
      <c r="TTC21" s="64"/>
      <c r="TTD21" s="64"/>
      <c r="TTE21" s="64"/>
      <c r="TTF21" s="64"/>
      <c r="TTG21" s="64"/>
      <c r="TTH21" s="64"/>
      <c r="TTI21" s="64"/>
      <c r="TTJ21" s="64"/>
      <c r="TTK21" s="64"/>
      <c r="TTL21" s="64"/>
      <c r="TTM21" s="64"/>
      <c r="TTN21" s="64"/>
      <c r="TTO21" s="64"/>
      <c r="TTP21" s="64"/>
      <c r="TTQ21" s="64"/>
      <c r="TTR21" s="64"/>
      <c r="TTS21" s="64"/>
      <c r="TTT21" s="64"/>
      <c r="TTU21" s="64"/>
      <c r="TTV21" s="64"/>
      <c r="TTW21" s="64"/>
      <c r="TTX21" s="64"/>
      <c r="TTY21" s="64"/>
      <c r="TTZ21" s="64"/>
      <c r="TUA21" s="64"/>
      <c r="TUB21" s="64"/>
      <c r="TUC21" s="64"/>
      <c r="TUD21" s="64"/>
      <c r="TUE21" s="64"/>
      <c r="TUF21" s="64"/>
      <c r="TUG21" s="64"/>
      <c r="TUH21" s="64"/>
      <c r="TUI21" s="64"/>
      <c r="TUJ21" s="64"/>
      <c r="TUK21" s="64"/>
      <c r="TUL21" s="64"/>
      <c r="TUM21" s="64"/>
      <c r="TUN21" s="64"/>
      <c r="TUO21" s="64"/>
      <c r="TUP21" s="64"/>
      <c r="TUQ21" s="64"/>
      <c r="TUR21" s="64"/>
      <c r="TUS21" s="64"/>
      <c r="TUT21" s="64"/>
      <c r="TUU21" s="64"/>
      <c r="TUV21" s="64"/>
      <c r="TUW21" s="64"/>
      <c r="TUX21" s="64"/>
      <c r="TUY21" s="64"/>
      <c r="TUZ21" s="64"/>
      <c r="TVA21" s="64"/>
      <c r="TVB21" s="64"/>
      <c r="TVC21" s="64"/>
      <c r="TVD21" s="64"/>
      <c r="TVE21" s="64"/>
      <c r="TVF21" s="64"/>
      <c r="TVG21" s="64"/>
      <c r="TVH21" s="64"/>
      <c r="TVI21" s="64"/>
      <c r="TVJ21" s="64"/>
      <c r="TVK21" s="64"/>
      <c r="TVL21" s="64"/>
      <c r="TVM21" s="64"/>
      <c r="TVN21" s="64"/>
      <c r="TVO21" s="64"/>
      <c r="TVP21" s="64"/>
      <c r="TVQ21" s="64"/>
      <c r="TVR21" s="64"/>
      <c r="TVS21" s="64"/>
      <c r="TVT21" s="64"/>
      <c r="TVU21" s="64"/>
      <c r="TVV21" s="64"/>
      <c r="TVW21" s="64"/>
      <c r="TVX21" s="64"/>
      <c r="TVY21" s="64"/>
      <c r="TVZ21" s="64"/>
      <c r="TWA21" s="64"/>
      <c r="TWB21" s="64"/>
      <c r="TWC21" s="64"/>
      <c r="TWD21" s="64"/>
      <c r="TWE21" s="64"/>
      <c r="TWF21" s="64"/>
      <c r="TWG21" s="64"/>
      <c r="TWH21" s="64"/>
      <c r="TWI21" s="64"/>
      <c r="TWJ21" s="64"/>
      <c r="TWK21" s="64"/>
      <c r="TWL21" s="64"/>
      <c r="TWM21" s="64"/>
      <c r="TWN21" s="64"/>
      <c r="TWO21" s="64"/>
      <c r="TWP21" s="64"/>
      <c r="TWQ21" s="64"/>
      <c r="TWR21" s="64"/>
      <c r="TWS21" s="64"/>
      <c r="TWT21" s="64"/>
      <c r="TWU21" s="64"/>
      <c r="TWV21" s="64"/>
      <c r="TWW21" s="64"/>
      <c r="TWX21" s="64"/>
      <c r="TWY21" s="64"/>
      <c r="TWZ21" s="64"/>
      <c r="TXA21" s="64"/>
      <c r="TXB21" s="64"/>
      <c r="TXC21" s="64"/>
      <c r="TXD21" s="64"/>
      <c r="TXE21" s="64"/>
      <c r="TXF21" s="64"/>
      <c r="TXG21" s="64"/>
      <c r="TXH21" s="64"/>
      <c r="TXI21" s="64"/>
      <c r="TXJ21" s="64"/>
      <c r="TXK21" s="64"/>
      <c r="TXL21" s="64"/>
      <c r="TXM21" s="64"/>
      <c r="TXN21" s="64"/>
      <c r="TXO21" s="64"/>
      <c r="TXP21" s="64"/>
      <c r="TXQ21" s="64"/>
      <c r="TXR21" s="64"/>
      <c r="TXS21" s="64"/>
      <c r="TXT21" s="64"/>
      <c r="TXU21" s="64"/>
      <c r="TXV21" s="64"/>
      <c r="TXW21" s="64"/>
      <c r="TXX21" s="64"/>
      <c r="TXY21" s="64"/>
      <c r="TXZ21" s="64"/>
      <c r="TYA21" s="64"/>
      <c r="TYB21" s="64"/>
      <c r="TYC21" s="64"/>
      <c r="TYD21" s="64"/>
      <c r="TYE21" s="64"/>
      <c r="TYF21" s="64"/>
      <c r="TYG21" s="64"/>
      <c r="TYH21" s="64"/>
      <c r="TYI21" s="64"/>
      <c r="TYJ21" s="64"/>
      <c r="TYK21" s="64"/>
      <c r="TYL21" s="64"/>
      <c r="TYM21" s="64"/>
      <c r="TYN21" s="64"/>
      <c r="TYO21" s="64"/>
      <c r="TYP21" s="64"/>
      <c r="TYQ21" s="64"/>
      <c r="TYR21" s="64"/>
      <c r="TYS21" s="64"/>
      <c r="TYT21" s="64"/>
      <c r="TYU21" s="64"/>
      <c r="TYV21" s="64"/>
      <c r="TYW21" s="64"/>
      <c r="TYX21" s="64"/>
      <c r="TYY21" s="64"/>
      <c r="TYZ21" s="64"/>
      <c r="TZA21" s="64"/>
      <c r="TZB21" s="64"/>
      <c r="TZC21" s="64"/>
      <c r="TZD21" s="64"/>
      <c r="TZE21" s="64"/>
      <c r="TZF21" s="64"/>
      <c r="TZG21" s="64"/>
      <c r="TZH21" s="64"/>
      <c r="TZI21" s="64"/>
      <c r="TZJ21" s="64"/>
      <c r="TZK21" s="64"/>
      <c r="TZL21" s="64"/>
      <c r="TZM21" s="64"/>
      <c r="TZN21" s="64"/>
      <c r="TZO21" s="64"/>
      <c r="TZP21" s="64"/>
      <c r="TZQ21" s="64"/>
      <c r="TZR21" s="64"/>
      <c r="TZS21" s="64"/>
      <c r="TZT21" s="64"/>
      <c r="TZU21" s="64"/>
      <c r="TZV21" s="64"/>
      <c r="TZW21" s="64"/>
      <c r="TZX21" s="64"/>
      <c r="TZY21" s="64"/>
      <c r="TZZ21" s="64"/>
      <c r="UAA21" s="64"/>
      <c r="UAB21" s="64"/>
      <c r="UAC21" s="64"/>
      <c r="UAD21" s="64"/>
      <c r="UAE21" s="64"/>
      <c r="UAF21" s="64"/>
      <c r="UAG21" s="64"/>
      <c r="UAH21" s="64"/>
      <c r="UAI21" s="64"/>
      <c r="UAJ21" s="64"/>
      <c r="UAK21" s="64"/>
      <c r="UAL21" s="64"/>
      <c r="UAM21" s="64"/>
      <c r="UAN21" s="64"/>
      <c r="UAO21" s="64"/>
      <c r="UAP21" s="64"/>
      <c r="UAQ21" s="64"/>
      <c r="UAR21" s="64"/>
      <c r="UAS21" s="64"/>
      <c r="UAT21" s="64"/>
      <c r="UAU21" s="64"/>
      <c r="UAV21" s="64"/>
      <c r="UAW21" s="64"/>
      <c r="UAX21" s="64"/>
      <c r="UAY21" s="64"/>
      <c r="UAZ21" s="64"/>
      <c r="UBA21" s="64"/>
      <c r="UBB21" s="64"/>
      <c r="UBC21" s="64"/>
      <c r="UBD21" s="64"/>
      <c r="UBE21" s="64"/>
      <c r="UBF21" s="64"/>
      <c r="UBG21" s="64"/>
      <c r="UBH21" s="64"/>
      <c r="UBI21" s="64"/>
      <c r="UBJ21" s="64"/>
      <c r="UBK21" s="64"/>
      <c r="UBL21" s="64"/>
      <c r="UBM21" s="64"/>
      <c r="UBN21" s="64"/>
      <c r="UBO21" s="64"/>
      <c r="UBP21" s="64"/>
      <c r="UBQ21" s="64"/>
      <c r="UBR21" s="64"/>
      <c r="UBS21" s="64"/>
      <c r="UBT21" s="64"/>
      <c r="UBU21" s="64"/>
      <c r="UBV21" s="64"/>
      <c r="UBW21" s="64"/>
      <c r="UBX21" s="64"/>
      <c r="UBY21" s="64"/>
      <c r="UBZ21" s="64"/>
      <c r="UCA21" s="64"/>
      <c r="UCB21" s="64"/>
      <c r="UCC21" s="64"/>
      <c r="UCD21" s="64"/>
      <c r="UCE21" s="64"/>
      <c r="UCF21" s="64"/>
      <c r="UCG21" s="64"/>
      <c r="UCH21" s="64"/>
      <c r="UCI21" s="64"/>
      <c r="UCJ21" s="64"/>
      <c r="UCK21" s="64"/>
      <c r="UCL21" s="64"/>
      <c r="UCM21" s="64"/>
      <c r="UCN21" s="64"/>
      <c r="UCO21" s="64"/>
      <c r="UCP21" s="64"/>
      <c r="UCQ21" s="64"/>
      <c r="UCR21" s="64"/>
      <c r="UCS21" s="64"/>
      <c r="UCT21" s="64"/>
      <c r="UCU21" s="64"/>
      <c r="UCV21" s="64"/>
      <c r="UCW21" s="64"/>
      <c r="UCX21" s="64"/>
      <c r="UCY21" s="64"/>
      <c r="UCZ21" s="64"/>
      <c r="UDA21" s="64"/>
      <c r="UDB21" s="64"/>
      <c r="UDC21" s="64"/>
      <c r="UDD21" s="64"/>
      <c r="UDE21" s="64"/>
      <c r="UDF21" s="64"/>
      <c r="UDG21" s="64"/>
      <c r="UDH21" s="64"/>
      <c r="UDI21" s="64"/>
      <c r="UDJ21" s="64"/>
      <c r="UDK21" s="64"/>
      <c r="UDL21" s="64"/>
      <c r="UDM21" s="64"/>
      <c r="UDN21" s="64"/>
      <c r="UDO21" s="64"/>
      <c r="UDP21" s="64"/>
      <c r="UDQ21" s="64"/>
      <c r="UDR21" s="64"/>
      <c r="UDS21" s="64"/>
      <c r="UDT21" s="64"/>
      <c r="UDU21" s="64"/>
      <c r="UDV21" s="64"/>
      <c r="UDW21" s="64"/>
      <c r="UDX21" s="64"/>
      <c r="UDY21" s="64"/>
      <c r="UDZ21" s="64"/>
      <c r="UEA21" s="64"/>
      <c r="UEB21" s="64"/>
      <c r="UEC21" s="64"/>
      <c r="UED21" s="64"/>
      <c r="UEE21" s="64"/>
      <c r="UEF21" s="64"/>
      <c r="UEG21" s="64"/>
      <c r="UEH21" s="64"/>
      <c r="UEI21" s="64"/>
      <c r="UEJ21" s="64"/>
      <c r="UEK21" s="64"/>
      <c r="UEL21" s="64"/>
      <c r="UEM21" s="64"/>
      <c r="UEN21" s="64"/>
      <c r="UEO21" s="64"/>
      <c r="UEP21" s="64"/>
      <c r="UEQ21" s="64"/>
      <c r="UER21" s="64"/>
      <c r="UES21" s="64"/>
      <c r="UET21" s="64"/>
      <c r="UEU21" s="64"/>
      <c r="UEV21" s="64"/>
      <c r="UEW21" s="64"/>
      <c r="UEX21" s="64"/>
      <c r="UEY21" s="64"/>
      <c r="UEZ21" s="64"/>
      <c r="UFA21" s="64"/>
      <c r="UFB21" s="64"/>
      <c r="UFC21" s="64"/>
      <c r="UFD21" s="64"/>
      <c r="UFE21" s="64"/>
      <c r="UFF21" s="64"/>
      <c r="UFG21" s="64"/>
      <c r="UFH21" s="64"/>
      <c r="UFI21" s="64"/>
      <c r="UFJ21" s="64"/>
      <c r="UFK21" s="64"/>
      <c r="UFL21" s="64"/>
      <c r="UFM21" s="64"/>
      <c r="UFN21" s="64"/>
      <c r="UFO21" s="64"/>
      <c r="UFP21" s="64"/>
      <c r="UFQ21" s="64"/>
      <c r="UFR21" s="64"/>
      <c r="UFS21" s="64"/>
      <c r="UFT21" s="64"/>
      <c r="UFU21" s="64"/>
      <c r="UFV21" s="64"/>
      <c r="UFW21" s="64"/>
      <c r="UFX21" s="64"/>
      <c r="UFY21" s="64"/>
      <c r="UFZ21" s="64"/>
      <c r="UGA21" s="64"/>
      <c r="UGB21" s="64"/>
      <c r="UGC21" s="64"/>
      <c r="UGD21" s="64"/>
      <c r="UGE21" s="64"/>
      <c r="UGF21" s="64"/>
      <c r="UGG21" s="64"/>
      <c r="UGH21" s="64"/>
      <c r="UGI21" s="64"/>
      <c r="UGJ21" s="64"/>
      <c r="UGK21" s="64"/>
      <c r="UGL21" s="64"/>
      <c r="UGM21" s="64"/>
      <c r="UGN21" s="64"/>
      <c r="UGO21" s="64"/>
      <c r="UGP21" s="64"/>
      <c r="UGQ21" s="64"/>
      <c r="UGR21" s="64"/>
      <c r="UGS21" s="64"/>
      <c r="UGT21" s="64"/>
      <c r="UGU21" s="64"/>
      <c r="UGV21" s="64"/>
      <c r="UGW21" s="64"/>
      <c r="UGX21" s="64"/>
      <c r="UGY21" s="64"/>
      <c r="UGZ21" s="64"/>
      <c r="UHA21" s="64"/>
      <c r="UHB21" s="64"/>
      <c r="UHC21" s="64"/>
      <c r="UHD21" s="64"/>
      <c r="UHE21" s="64"/>
      <c r="UHF21" s="64"/>
      <c r="UHG21" s="64"/>
      <c r="UHH21" s="64"/>
      <c r="UHI21" s="64"/>
      <c r="UHJ21" s="64"/>
      <c r="UHK21" s="64"/>
      <c r="UHL21" s="64"/>
      <c r="UHM21" s="64"/>
      <c r="UHN21" s="64"/>
      <c r="UHO21" s="64"/>
      <c r="UHP21" s="64"/>
      <c r="UHQ21" s="64"/>
      <c r="UHR21" s="64"/>
      <c r="UHS21" s="64"/>
      <c r="UHT21" s="64"/>
      <c r="UHU21" s="64"/>
      <c r="UHV21" s="64"/>
      <c r="UHW21" s="64"/>
      <c r="UHX21" s="64"/>
      <c r="UHY21" s="64"/>
      <c r="UHZ21" s="64"/>
      <c r="UIA21" s="64"/>
      <c r="UIB21" s="64"/>
      <c r="UIC21" s="64"/>
      <c r="UID21" s="64"/>
      <c r="UIE21" s="64"/>
      <c r="UIF21" s="64"/>
      <c r="UIG21" s="64"/>
      <c r="UIH21" s="64"/>
      <c r="UII21" s="64"/>
      <c r="UIJ21" s="64"/>
      <c r="UIK21" s="64"/>
      <c r="UIL21" s="64"/>
      <c r="UIM21" s="64"/>
      <c r="UIN21" s="64"/>
      <c r="UIO21" s="64"/>
      <c r="UIP21" s="64"/>
      <c r="UIQ21" s="64"/>
      <c r="UIR21" s="64"/>
      <c r="UIS21" s="64"/>
      <c r="UIT21" s="64"/>
      <c r="UIU21" s="64"/>
      <c r="UIV21" s="64"/>
      <c r="UIW21" s="64"/>
      <c r="UIX21" s="64"/>
      <c r="UIY21" s="64"/>
      <c r="UIZ21" s="64"/>
      <c r="UJA21" s="64"/>
      <c r="UJB21" s="64"/>
      <c r="UJC21" s="64"/>
      <c r="UJD21" s="64"/>
      <c r="UJE21" s="64"/>
      <c r="UJF21" s="64"/>
      <c r="UJG21" s="64"/>
      <c r="UJH21" s="64"/>
      <c r="UJI21" s="64"/>
      <c r="UJJ21" s="64"/>
      <c r="UJK21" s="64"/>
      <c r="UJL21" s="64"/>
      <c r="UJM21" s="64"/>
      <c r="UJN21" s="64"/>
      <c r="UJO21" s="64"/>
      <c r="UJP21" s="64"/>
      <c r="UJQ21" s="64"/>
      <c r="UJR21" s="64"/>
      <c r="UJS21" s="64"/>
      <c r="UJT21" s="64"/>
      <c r="UJU21" s="64"/>
      <c r="UJV21" s="64"/>
      <c r="UJW21" s="64"/>
      <c r="UJX21" s="64"/>
      <c r="UJY21" s="64"/>
      <c r="UJZ21" s="64"/>
      <c r="UKA21" s="64"/>
      <c r="UKB21" s="64"/>
      <c r="UKC21" s="64"/>
      <c r="UKD21" s="64"/>
      <c r="UKE21" s="64"/>
      <c r="UKF21" s="64"/>
      <c r="UKG21" s="64"/>
      <c r="UKH21" s="64"/>
      <c r="UKI21" s="64"/>
      <c r="UKJ21" s="64"/>
      <c r="UKK21" s="64"/>
      <c r="UKL21" s="64"/>
      <c r="UKM21" s="64"/>
      <c r="UKN21" s="64"/>
      <c r="UKO21" s="64"/>
      <c r="UKP21" s="64"/>
      <c r="UKQ21" s="64"/>
      <c r="UKR21" s="64"/>
      <c r="UKS21" s="64"/>
      <c r="UKT21" s="64"/>
      <c r="UKU21" s="64"/>
      <c r="UKV21" s="64"/>
      <c r="UKW21" s="64"/>
      <c r="UKX21" s="64"/>
      <c r="UKY21" s="64"/>
      <c r="UKZ21" s="64"/>
      <c r="ULA21" s="64"/>
      <c r="ULB21" s="64"/>
      <c r="ULC21" s="64"/>
      <c r="ULD21" s="64"/>
      <c r="ULE21" s="64"/>
      <c r="ULF21" s="64"/>
      <c r="ULG21" s="64"/>
      <c r="ULH21" s="64"/>
      <c r="ULI21" s="64"/>
      <c r="ULJ21" s="64"/>
      <c r="ULK21" s="64"/>
      <c r="ULL21" s="64"/>
      <c r="ULM21" s="64"/>
      <c r="ULN21" s="64"/>
      <c r="ULO21" s="64"/>
      <c r="ULP21" s="64"/>
      <c r="ULQ21" s="64"/>
      <c r="ULR21" s="64"/>
      <c r="ULS21" s="64"/>
      <c r="ULT21" s="64"/>
      <c r="ULU21" s="64"/>
      <c r="ULV21" s="64"/>
      <c r="ULW21" s="64"/>
      <c r="ULX21" s="64"/>
      <c r="ULY21" s="64"/>
      <c r="ULZ21" s="64"/>
      <c r="UMA21" s="64"/>
      <c r="UMB21" s="64"/>
      <c r="UMC21" s="64"/>
      <c r="UMD21" s="64"/>
      <c r="UME21" s="64"/>
      <c r="UMF21" s="64"/>
      <c r="UMG21" s="64"/>
      <c r="UMH21" s="64"/>
      <c r="UMI21" s="64"/>
      <c r="UMJ21" s="64"/>
      <c r="UMK21" s="64"/>
      <c r="UML21" s="64"/>
      <c r="UMM21" s="64"/>
      <c r="UMN21" s="64"/>
      <c r="UMO21" s="64"/>
      <c r="UMP21" s="64"/>
      <c r="UMQ21" s="64"/>
      <c r="UMR21" s="64"/>
      <c r="UMS21" s="64"/>
      <c r="UMT21" s="64"/>
      <c r="UMU21" s="64"/>
      <c r="UMV21" s="64"/>
      <c r="UMW21" s="64"/>
      <c r="UMX21" s="64"/>
      <c r="UMY21" s="64"/>
      <c r="UMZ21" s="64"/>
      <c r="UNA21" s="64"/>
      <c r="UNB21" s="64"/>
      <c r="UNC21" s="64"/>
      <c r="UND21" s="64"/>
      <c r="UNE21" s="64"/>
      <c r="UNF21" s="64"/>
      <c r="UNG21" s="64"/>
      <c r="UNH21" s="64"/>
      <c r="UNI21" s="64"/>
      <c r="UNJ21" s="64"/>
      <c r="UNK21" s="64"/>
      <c r="UNL21" s="64"/>
      <c r="UNM21" s="64"/>
      <c r="UNN21" s="64"/>
      <c r="UNO21" s="64"/>
      <c r="UNP21" s="64"/>
      <c r="UNQ21" s="64"/>
      <c r="UNR21" s="64"/>
      <c r="UNS21" s="64"/>
      <c r="UNT21" s="64"/>
      <c r="UNU21" s="64"/>
      <c r="UNV21" s="64"/>
      <c r="UNW21" s="64"/>
      <c r="UNX21" s="64"/>
      <c r="UNY21" s="64"/>
      <c r="UNZ21" s="64"/>
      <c r="UOA21" s="64"/>
      <c r="UOB21" s="64"/>
      <c r="UOC21" s="64"/>
      <c r="UOD21" s="64"/>
      <c r="UOE21" s="64"/>
      <c r="UOF21" s="64"/>
      <c r="UOG21" s="64"/>
      <c r="UOH21" s="64"/>
      <c r="UOI21" s="64"/>
      <c r="UOJ21" s="64"/>
      <c r="UOK21" s="64"/>
      <c r="UOL21" s="64"/>
      <c r="UOM21" s="64"/>
      <c r="UON21" s="64"/>
      <c r="UOO21" s="64"/>
      <c r="UOP21" s="64"/>
      <c r="UOQ21" s="64"/>
      <c r="UOR21" s="64"/>
      <c r="UOS21" s="64"/>
      <c r="UOT21" s="64"/>
      <c r="UOU21" s="64"/>
      <c r="UOV21" s="64"/>
      <c r="UOW21" s="64"/>
      <c r="UOX21" s="64"/>
      <c r="UOY21" s="64"/>
      <c r="UOZ21" s="64"/>
      <c r="UPA21" s="64"/>
      <c r="UPB21" s="64"/>
      <c r="UPC21" s="64"/>
      <c r="UPD21" s="64"/>
      <c r="UPE21" s="64"/>
      <c r="UPF21" s="64"/>
      <c r="UPG21" s="64"/>
      <c r="UPH21" s="64"/>
      <c r="UPI21" s="64"/>
      <c r="UPJ21" s="64"/>
      <c r="UPK21" s="64"/>
      <c r="UPL21" s="64"/>
      <c r="UPM21" s="64"/>
      <c r="UPN21" s="64"/>
      <c r="UPO21" s="64"/>
      <c r="UPP21" s="64"/>
      <c r="UPQ21" s="64"/>
      <c r="UPR21" s="64"/>
      <c r="UPS21" s="64"/>
      <c r="UPT21" s="64"/>
      <c r="UPU21" s="64"/>
      <c r="UPV21" s="64"/>
      <c r="UPW21" s="64"/>
      <c r="UPX21" s="64"/>
      <c r="UPY21" s="64"/>
      <c r="UPZ21" s="64"/>
      <c r="UQA21" s="64"/>
      <c r="UQB21" s="64"/>
      <c r="UQC21" s="64"/>
      <c r="UQD21" s="64"/>
      <c r="UQE21" s="64"/>
      <c r="UQF21" s="64"/>
      <c r="UQG21" s="64"/>
      <c r="UQH21" s="64"/>
      <c r="UQI21" s="64"/>
      <c r="UQJ21" s="64"/>
      <c r="UQK21" s="64"/>
      <c r="UQL21" s="64"/>
      <c r="UQM21" s="64"/>
      <c r="UQN21" s="64"/>
      <c r="UQO21" s="64"/>
      <c r="UQP21" s="64"/>
      <c r="UQQ21" s="64"/>
      <c r="UQR21" s="64"/>
      <c r="UQS21" s="64"/>
      <c r="UQT21" s="64"/>
      <c r="UQU21" s="64"/>
      <c r="UQV21" s="64"/>
      <c r="UQW21" s="64"/>
      <c r="UQX21" s="64"/>
      <c r="UQY21" s="64"/>
      <c r="UQZ21" s="64"/>
      <c r="URA21" s="64"/>
      <c r="URB21" s="64"/>
      <c r="URC21" s="64"/>
      <c r="URD21" s="64"/>
      <c r="URE21" s="64"/>
      <c r="URF21" s="64"/>
      <c r="URG21" s="64"/>
      <c r="URH21" s="64"/>
      <c r="URI21" s="64"/>
      <c r="URJ21" s="64"/>
      <c r="URK21" s="64"/>
      <c r="URL21" s="64"/>
      <c r="URM21" s="64"/>
      <c r="URN21" s="64"/>
      <c r="URO21" s="64"/>
      <c r="URP21" s="64"/>
      <c r="URQ21" s="64"/>
      <c r="URR21" s="64"/>
      <c r="URS21" s="64"/>
      <c r="URT21" s="64"/>
      <c r="URU21" s="64"/>
      <c r="URV21" s="64"/>
      <c r="URW21" s="64"/>
      <c r="URX21" s="64"/>
      <c r="URY21" s="64"/>
      <c r="URZ21" s="64"/>
      <c r="USA21" s="64"/>
      <c r="USB21" s="64"/>
      <c r="USC21" s="64"/>
      <c r="USD21" s="64"/>
      <c r="USE21" s="64"/>
      <c r="USF21" s="64"/>
      <c r="USG21" s="64"/>
      <c r="USH21" s="64"/>
      <c r="USI21" s="64"/>
      <c r="USJ21" s="64"/>
      <c r="USK21" s="64"/>
      <c r="USL21" s="64"/>
      <c r="USM21" s="64"/>
      <c r="USN21" s="64"/>
      <c r="USO21" s="64"/>
      <c r="USP21" s="64"/>
      <c r="USQ21" s="64"/>
      <c r="USR21" s="64"/>
      <c r="USS21" s="64"/>
      <c r="UST21" s="64"/>
      <c r="USU21" s="64"/>
      <c r="USV21" s="64"/>
      <c r="USW21" s="64"/>
      <c r="USX21" s="64"/>
      <c r="USY21" s="64"/>
      <c r="USZ21" s="64"/>
      <c r="UTA21" s="64"/>
      <c r="UTB21" s="64"/>
      <c r="UTC21" s="64"/>
      <c r="UTD21" s="64"/>
      <c r="UTE21" s="64"/>
      <c r="UTF21" s="64"/>
      <c r="UTG21" s="64"/>
      <c r="UTH21" s="64"/>
      <c r="UTI21" s="64"/>
      <c r="UTJ21" s="64"/>
      <c r="UTK21" s="64"/>
      <c r="UTL21" s="64"/>
      <c r="UTM21" s="64"/>
      <c r="UTN21" s="64"/>
      <c r="UTO21" s="64"/>
      <c r="UTP21" s="64"/>
      <c r="UTQ21" s="64"/>
      <c r="UTR21" s="64"/>
      <c r="UTS21" s="64"/>
      <c r="UTT21" s="64"/>
      <c r="UTU21" s="64"/>
      <c r="UTV21" s="64"/>
      <c r="UTW21" s="64"/>
      <c r="UTX21" s="64"/>
      <c r="UTY21" s="64"/>
      <c r="UTZ21" s="64"/>
      <c r="UUA21" s="64"/>
      <c r="UUB21" s="64"/>
      <c r="UUC21" s="64"/>
      <c r="UUD21" s="64"/>
      <c r="UUE21" s="64"/>
      <c r="UUF21" s="64"/>
      <c r="UUG21" s="64"/>
      <c r="UUH21" s="64"/>
      <c r="UUI21" s="64"/>
      <c r="UUJ21" s="64"/>
      <c r="UUK21" s="64"/>
      <c r="UUL21" s="64"/>
      <c r="UUM21" s="64"/>
      <c r="UUN21" s="64"/>
      <c r="UUO21" s="64"/>
      <c r="UUP21" s="64"/>
      <c r="UUQ21" s="64"/>
      <c r="UUR21" s="64"/>
      <c r="UUS21" s="64"/>
      <c r="UUT21" s="64"/>
      <c r="UUU21" s="64"/>
      <c r="UUV21" s="64"/>
      <c r="UUW21" s="64"/>
      <c r="UUX21" s="64"/>
      <c r="UUY21" s="64"/>
      <c r="UUZ21" s="64"/>
      <c r="UVA21" s="64"/>
      <c r="UVB21" s="64"/>
      <c r="UVC21" s="64"/>
      <c r="UVD21" s="64"/>
      <c r="UVE21" s="64"/>
      <c r="UVF21" s="64"/>
      <c r="UVG21" s="64"/>
      <c r="UVH21" s="64"/>
      <c r="UVI21" s="64"/>
      <c r="UVJ21" s="64"/>
      <c r="UVK21" s="64"/>
      <c r="UVL21" s="64"/>
      <c r="UVM21" s="64"/>
      <c r="UVN21" s="64"/>
      <c r="UVO21" s="64"/>
      <c r="UVP21" s="64"/>
      <c r="UVQ21" s="64"/>
      <c r="UVR21" s="64"/>
      <c r="UVS21" s="64"/>
      <c r="UVT21" s="64"/>
      <c r="UVU21" s="64"/>
      <c r="UVV21" s="64"/>
      <c r="UVW21" s="64"/>
      <c r="UVX21" s="64"/>
      <c r="UVY21" s="64"/>
      <c r="UVZ21" s="64"/>
      <c r="UWA21" s="64"/>
      <c r="UWB21" s="64"/>
      <c r="UWC21" s="64"/>
      <c r="UWD21" s="64"/>
      <c r="UWE21" s="64"/>
      <c r="UWF21" s="64"/>
      <c r="UWG21" s="64"/>
      <c r="UWH21" s="64"/>
      <c r="UWI21" s="64"/>
      <c r="UWJ21" s="64"/>
      <c r="UWK21" s="64"/>
      <c r="UWL21" s="64"/>
      <c r="UWM21" s="64"/>
      <c r="UWN21" s="64"/>
      <c r="UWO21" s="64"/>
      <c r="UWP21" s="64"/>
      <c r="UWQ21" s="64"/>
      <c r="UWR21" s="64"/>
      <c r="UWS21" s="64"/>
      <c r="UWT21" s="64"/>
      <c r="UWU21" s="64"/>
      <c r="UWV21" s="64"/>
      <c r="UWW21" s="64"/>
      <c r="UWX21" s="64"/>
      <c r="UWY21" s="64"/>
      <c r="UWZ21" s="64"/>
      <c r="UXA21" s="64"/>
      <c r="UXB21" s="64"/>
      <c r="UXC21" s="64"/>
      <c r="UXD21" s="64"/>
      <c r="UXE21" s="64"/>
      <c r="UXF21" s="64"/>
      <c r="UXG21" s="64"/>
      <c r="UXH21" s="64"/>
      <c r="UXI21" s="64"/>
      <c r="UXJ21" s="64"/>
      <c r="UXK21" s="64"/>
      <c r="UXL21" s="64"/>
      <c r="UXM21" s="64"/>
      <c r="UXN21" s="64"/>
      <c r="UXO21" s="64"/>
      <c r="UXP21" s="64"/>
      <c r="UXQ21" s="64"/>
      <c r="UXR21" s="64"/>
      <c r="UXS21" s="64"/>
      <c r="UXT21" s="64"/>
      <c r="UXU21" s="64"/>
      <c r="UXV21" s="64"/>
      <c r="UXW21" s="64"/>
      <c r="UXX21" s="64"/>
      <c r="UXY21" s="64"/>
      <c r="UXZ21" s="64"/>
      <c r="UYA21" s="64"/>
      <c r="UYB21" s="64"/>
      <c r="UYC21" s="64"/>
      <c r="UYD21" s="64"/>
      <c r="UYE21" s="64"/>
      <c r="UYF21" s="64"/>
      <c r="UYG21" s="64"/>
      <c r="UYH21" s="64"/>
      <c r="UYI21" s="64"/>
      <c r="UYJ21" s="64"/>
      <c r="UYK21" s="64"/>
      <c r="UYL21" s="64"/>
      <c r="UYM21" s="64"/>
      <c r="UYN21" s="64"/>
      <c r="UYO21" s="64"/>
      <c r="UYP21" s="64"/>
      <c r="UYQ21" s="64"/>
      <c r="UYR21" s="64"/>
      <c r="UYS21" s="64"/>
      <c r="UYT21" s="64"/>
      <c r="UYU21" s="64"/>
      <c r="UYV21" s="64"/>
      <c r="UYW21" s="64"/>
      <c r="UYX21" s="64"/>
      <c r="UYY21" s="64"/>
      <c r="UYZ21" s="64"/>
      <c r="UZA21" s="64"/>
      <c r="UZB21" s="64"/>
      <c r="UZC21" s="64"/>
      <c r="UZD21" s="64"/>
      <c r="UZE21" s="64"/>
      <c r="UZF21" s="64"/>
      <c r="UZG21" s="64"/>
      <c r="UZH21" s="64"/>
      <c r="UZI21" s="64"/>
      <c r="UZJ21" s="64"/>
      <c r="UZK21" s="64"/>
      <c r="UZL21" s="64"/>
      <c r="UZM21" s="64"/>
      <c r="UZN21" s="64"/>
      <c r="UZO21" s="64"/>
      <c r="UZP21" s="64"/>
      <c r="UZQ21" s="64"/>
      <c r="UZR21" s="64"/>
      <c r="UZS21" s="64"/>
      <c r="UZT21" s="64"/>
      <c r="UZU21" s="64"/>
      <c r="UZV21" s="64"/>
      <c r="UZW21" s="64"/>
      <c r="UZX21" s="64"/>
      <c r="UZY21" s="64"/>
      <c r="UZZ21" s="64"/>
      <c r="VAA21" s="64"/>
      <c r="VAB21" s="64"/>
      <c r="VAC21" s="64"/>
      <c r="VAD21" s="64"/>
      <c r="VAE21" s="64"/>
      <c r="VAF21" s="64"/>
      <c r="VAG21" s="64"/>
      <c r="VAH21" s="64"/>
      <c r="VAI21" s="64"/>
      <c r="VAJ21" s="64"/>
      <c r="VAK21" s="64"/>
      <c r="VAL21" s="64"/>
      <c r="VAM21" s="64"/>
      <c r="VAN21" s="64"/>
      <c r="VAO21" s="64"/>
      <c r="VAP21" s="64"/>
      <c r="VAQ21" s="64"/>
      <c r="VAR21" s="64"/>
      <c r="VAS21" s="64"/>
      <c r="VAT21" s="64"/>
      <c r="VAU21" s="64"/>
      <c r="VAV21" s="64"/>
      <c r="VAW21" s="64"/>
      <c r="VAX21" s="64"/>
      <c r="VAY21" s="64"/>
      <c r="VAZ21" s="64"/>
      <c r="VBA21" s="64"/>
      <c r="VBB21" s="64"/>
      <c r="VBC21" s="64"/>
      <c r="VBD21" s="64"/>
      <c r="VBE21" s="64"/>
      <c r="VBF21" s="64"/>
      <c r="VBG21" s="64"/>
      <c r="VBH21" s="64"/>
      <c r="VBI21" s="64"/>
      <c r="VBJ21" s="64"/>
      <c r="VBK21" s="64"/>
      <c r="VBL21" s="64"/>
      <c r="VBM21" s="64"/>
      <c r="VBN21" s="64"/>
      <c r="VBO21" s="64"/>
      <c r="VBP21" s="64"/>
      <c r="VBQ21" s="64"/>
      <c r="VBR21" s="64"/>
      <c r="VBS21" s="64"/>
      <c r="VBT21" s="64"/>
      <c r="VBU21" s="64"/>
      <c r="VBV21" s="64"/>
      <c r="VBW21" s="64"/>
      <c r="VBX21" s="64"/>
      <c r="VBY21" s="64"/>
      <c r="VBZ21" s="64"/>
      <c r="VCA21" s="64"/>
      <c r="VCB21" s="64"/>
      <c r="VCC21" s="64"/>
      <c r="VCD21" s="64"/>
      <c r="VCE21" s="64"/>
      <c r="VCF21" s="64"/>
      <c r="VCG21" s="64"/>
      <c r="VCH21" s="64"/>
      <c r="VCI21" s="64"/>
      <c r="VCJ21" s="64"/>
      <c r="VCK21" s="64"/>
      <c r="VCL21" s="64"/>
      <c r="VCM21" s="64"/>
      <c r="VCN21" s="64"/>
      <c r="VCO21" s="64"/>
      <c r="VCP21" s="64"/>
      <c r="VCQ21" s="64"/>
      <c r="VCR21" s="64"/>
      <c r="VCS21" s="64"/>
      <c r="VCT21" s="64"/>
      <c r="VCU21" s="64"/>
      <c r="VCV21" s="64"/>
      <c r="VCW21" s="64"/>
      <c r="VCX21" s="64"/>
      <c r="VCY21" s="64"/>
      <c r="VCZ21" s="64"/>
      <c r="VDA21" s="64"/>
      <c r="VDB21" s="64"/>
      <c r="VDC21" s="64"/>
      <c r="VDD21" s="64"/>
      <c r="VDE21" s="64"/>
      <c r="VDF21" s="64"/>
      <c r="VDG21" s="64"/>
      <c r="VDH21" s="64"/>
      <c r="VDI21" s="64"/>
      <c r="VDJ21" s="64"/>
      <c r="VDK21" s="64"/>
      <c r="VDL21" s="64"/>
      <c r="VDM21" s="64"/>
      <c r="VDN21" s="64"/>
      <c r="VDO21" s="64"/>
      <c r="VDP21" s="64"/>
      <c r="VDQ21" s="64"/>
      <c r="VDR21" s="64"/>
      <c r="VDS21" s="64"/>
      <c r="VDT21" s="64"/>
      <c r="VDU21" s="64"/>
      <c r="VDV21" s="64"/>
      <c r="VDW21" s="64"/>
      <c r="VDX21" s="64"/>
      <c r="VDY21" s="64"/>
      <c r="VDZ21" s="64"/>
      <c r="VEA21" s="64"/>
      <c r="VEB21" s="64"/>
      <c r="VEC21" s="64"/>
      <c r="VED21" s="64"/>
      <c r="VEE21" s="64"/>
      <c r="VEF21" s="64"/>
      <c r="VEG21" s="64"/>
      <c r="VEH21" s="64"/>
      <c r="VEI21" s="64"/>
      <c r="VEJ21" s="64"/>
      <c r="VEK21" s="64"/>
      <c r="VEL21" s="64"/>
      <c r="VEM21" s="64"/>
      <c r="VEN21" s="64"/>
      <c r="VEO21" s="64"/>
      <c r="VEP21" s="64"/>
      <c r="VEQ21" s="64"/>
      <c r="VER21" s="64"/>
      <c r="VES21" s="64"/>
      <c r="VET21" s="64"/>
      <c r="VEU21" s="64"/>
      <c r="VEV21" s="64"/>
      <c r="VEW21" s="64"/>
      <c r="VEX21" s="64"/>
      <c r="VEY21" s="64"/>
      <c r="VEZ21" s="64"/>
      <c r="VFA21" s="64"/>
      <c r="VFB21" s="64"/>
      <c r="VFC21" s="64"/>
      <c r="VFD21" s="64"/>
      <c r="VFE21" s="64"/>
      <c r="VFF21" s="64"/>
      <c r="VFG21" s="64"/>
      <c r="VFH21" s="64"/>
      <c r="VFI21" s="64"/>
      <c r="VFJ21" s="64"/>
      <c r="VFK21" s="64"/>
      <c r="VFL21" s="64"/>
      <c r="VFM21" s="64"/>
      <c r="VFN21" s="64"/>
      <c r="VFO21" s="64"/>
      <c r="VFP21" s="64"/>
      <c r="VFQ21" s="64"/>
      <c r="VFR21" s="64"/>
      <c r="VFS21" s="64"/>
      <c r="VFT21" s="64"/>
      <c r="VFU21" s="64"/>
      <c r="VFV21" s="64"/>
      <c r="VFW21" s="64"/>
      <c r="VFX21" s="64"/>
      <c r="VFY21" s="64"/>
      <c r="VFZ21" s="64"/>
      <c r="VGA21" s="64"/>
      <c r="VGB21" s="64"/>
      <c r="VGC21" s="64"/>
      <c r="VGD21" s="64"/>
      <c r="VGE21" s="64"/>
      <c r="VGF21" s="64"/>
      <c r="VGG21" s="64"/>
      <c r="VGH21" s="64"/>
      <c r="VGI21" s="64"/>
      <c r="VGJ21" s="64"/>
      <c r="VGK21" s="64"/>
      <c r="VGL21" s="64"/>
      <c r="VGM21" s="64"/>
      <c r="VGN21" s="64"/>
      <c r="VGO21" s="64"/>
      <c r="VGP21" s="64"/>
      <c r="VGQ21" s="64"/>
      <c r="VGR21" s="64"/>
      <c r="VGS21" s="64"/>
      <c r="VGT21" s="64"/>
      <c r="VGU21" s="64"/>
      <c r="VGV21" s="64"/>
      <c r="VGW21" s="64"/>
      <c r="VGX21" s="64"/>
      <c r="VGY21" s="64"/>
      <c r="VGZ21" s="64"/>
      <c r="VHA21" s="64"/>
      <c r="VHB21" s="64"/>
      <c r="VHC21" s="64"/>
      <c r="VHD21" s="64"/>
      <c r="VHE21" s="64"/>
      <c r="VHF21" s="64"/>
      <c r="VHG21" s="64"/>
      <c r="VHH21" s="64"/>
      <c r="VHI21" s="64"/>
      <c r="VHJ21" s="64"/>
      <c r="VHK21" s="64"/>
      <c r="VHL21" s="64"/>
      <c r="VHM21" s="64"/>
      <c r="VHN21" s="64"/>
      <c r="VHO21" s="64"/>
      <c r="VHP21" s="64"/>
      <c r="VHQ21" s="64"/>
      <c r="VHR21" s="64"/>
      <c r="VHS21" s="64"/>
      <c r="VHT21" s="64"/>
      <c r="VHU21" s="64"/>
      <c r="VHV21" s="64"/>
      <c r="VHW21" s="64"/>
      <c r="VHX21" s="64"/>
      <c r="VHY21" s="64"/>
      <c r="VHZ21" s="64"/>
      <c r="VIA21" s="64"/>
      <c r="VIB21" s="64"/>
      <c r="VIC21" s="64"/>
      <c r="VID21" s="64"/>
      <c r="VIE21" s="64"/>
      <c r="VIF21" s="64"/>
      <c r="VIG21" s="64"/>
      <c r="VIH21" s="64"/>
      <c r="VII21" s="64"/>
      <c r="VIJ21" s="64"/>
      <c r="VIK21" s="64"/>
      <c r="VIL21" s="64"/>
      <c r="VIM21" s="64"/>
      <c r="VIN21" s="64"/>
      <c r="VIO21" s="64"/>
      <c r="VIP21" s="64"/>
      <c r="VIQ21" s="64"/>
      <c r="VIR21" s="64"/>
      <c r="VIS21" s="64"/>
      <c r="VIT21" s="64"/>
      <c r="VIU21" s="64"/>
      <c r="VIV21" s="64"/>
      <c r="VIW21" s="64"/>
      <c r="VIX21" s="64"/>
      <c r="VIY21" s="64"/>
      <c r="VIZ21" s="64"/>
      <c r="VJA21" s="64"/>
      <c r="VJB21" s="64"/>
      <c r="VJC21" s="64"/>
      <c r="VJD21" s="64"/>
      <c r="VJE21" s="64"/>
      <c r="VJF21" s="64"/>
      <c r="VJG21" s="64"/>
      <c r="VJH21" s="64"/>
      <c r="VJI21" s="64"/>
      <c r="VJJ21" s="64"/>
      <c r="VJK21" s="64"/>
      <c r="VJL21" s="64"/>
      <c r="VJM21" s="64"/>
      <c r="VJN21" s="64"/>
      <c r="VJO21" s="64"/>
      <c r="VJP21" s="64"/>
      <c r="VJQ21" s="64"/>
      <c r="VJR21" s="64"/>
      <c r="VJS21" s="64"/>
      <c r="VJT21" s="64"/>
      <c r="VJU21" s="64"/>
      <c r="VJV21" s="64"/>
      <c r="VJW21" s="64"/>
      <c r="VJX21" s="64"/>
      <c r="VJY21" s="64"/>
      <c r="VJZ21" s="64"/>
      <c r="VKA21" s="64"/>
      <c r="VKB21" s="64"/>
      <c r="VKC21" s="64"/>
      <c r="VKD21" s="64"/>
      <c r="VKE21" s="64"/>
      <c r="VKF21" s="64"/>
      <c r="VKG21" s="64"/>
      <c r="VKH21" s="64"/>
      <c r="VKI21" s="64"/>
      <c r="VKJ21" s="64"/>
      <c r="VKK21" s="64"/>
      <c r="VKL21" s="64"/>
      <c r="VKM21" s="64"/>
      <c r="VKN21" s="64"/>
      <c r="VKO21" s="64"/>
      <c r="VKP21" s="64"/>
      <c r="VKQ21" s="64"/>
      <c r="VKR21" s="64"/>
      <c r="VKS21" s="64"/>
      <c r="VKT21" s="64"/>
      <c r="VKU21" s="64"/>
      <c r="VKV21" s="64"/>
      <c r="VKW21" s="64"/>
      <c r="VKX21" s="64"/>
      <c r="VKY21" s="64"/>
      <c r="VKZ21" s="64"/>
      <c r="VLA21" s="64"/>
      <c r="VLB21" s="64"/>
      <c r="VLC21" s="64"/>
      <c r="VLD21" s="64"/>
      <c r="VLE21" s="64"/>
      <c r="VLF21" s="64"/>
      <c r="VLG21" s="64"/>
      <c r="VLH21" s="64"/>
      <c r="VLI21" s="64"/>
      <c r="VLJ21" s="64"/>
      <c r="VLK21" s="64"/>
      <c r="VLL21" s="64"/>
      <c r="VLM21" s="64"/>
      <c r="VLN21" s="64"/>
      <c r="VLO21" s="64"/>
      <c r="VLP21" s="64"/>
      <c r="VLQ21" s="64"/>
      <c r="VLR21" s="64"/>
      <c r="VLS21" s="64"/>
      <c r="VLT21" s="64"/>
      <c r="VLU21" s="64"/>
      <c r="VLV21" s="64"/>
      <c r="VLW21" s="64"/>
      <c r="VLX21" s="64"/>
      <c r="VLY21" s="64"/>
      <c r="VLZ21" s="64"/>
      <c r="VMA21" s="64"/>
      <c r="VMB21" s="64"/>
      <c r="VMC21" s="64"/>
      <c r="VMD21" s="64"/>
      <c r="VME21" s="64"/>
      <c r="VMF21" s="64"/>
      <c r="VMG21" s="64"/>
      <c r="VMH21" s="64"/>
      <c r="VMI21" s="64"/>
      <c r="VMJ21" s="64"/>
      <c r="VMK21" s="64"/>
      <c r="VML21" s="64"/>
      <c r="VMM21" s="64"/>
      <c r="VMN21" s="64"/>
      <c r="VMO21" s="64"/>
      <c r="VMP21" s="64"/>
      <c r="VMQ21" s="64"/>
      <c r="VMR21" s="64"/>
      <c r="VMS21" s="64"/>
      <c r="VMT21" s="64"/>
      <c r="VMU21" s="64"/>
      <c r="VMV21" s="64"/>
      <c r="VMW21" s="64"/>
      <c r="VMX21" s="64"/>
      <c r="VMY21" s="64"/>
      <c r="VMZ21" s="64"/>
      <c r="VNA21" s="64"/>
      <c r="VNB21" s="64"/>
      <c r="VNC21" s="64"/>
      <c r="VND21" s="64"/>
      <c r="VNE21" s="64"/>
      <c r="VNF21" s="64"/>
      <c r="VNG21" s="64"/>
      <c r="VNH21" s="64"/>
      <c r="VNI21" s="64"/>
      <c r="VNJ21" s="64"/>
      <c r="VNK21" s="64"/>
      <c r="VNL21" s="64"/>
      <c r="VNM21" s="64"/>
      <c r="VNN21" s="64"/>
      <c r="VNO21" s="64"/>
      <c r="VNP21" s="64"/>
      <c r="VNQ21" s="64"/>
      <c r="VNR21" s="64"/>
      <c r="VNS21" s="64"/>
      <c r="VNT21" s="64"/>
      <c r="VNU21" s="64"/>
      <c r="VNV21" s="64"/>
      <c r="VNW21" s="64"/>
      <c r="VNX21" s="64"/>
      <c r="VNY21" s="64"/>
      <c r="VNZ21" s="64"/>
      <c r="VOA21" s="64"/>
      <c r="VOB21" s="64"/>
      <c r="VOC21" s="64"/>
      <c r="VOD21" s="64"/>
      <c r="VOE21" s="64"/>
      <c r="VOF21" s="64"/>
      <c r="VOG21" s="64"/>
      <c r="VOH21" s="64"/>
      <c r="VOI21" s="64"/>
      <c r="VOJ21" s="64"/>
      <c r="VOK21" s="64"/>
      <c r="VOL21" s="64"/>
      <c r="VOM21" s="64"/>
      <c r="VON21" s="64"/>
      <c r="VOO21" s="64"/>
      <c r="VOP21" s="64"/>
      <c r="VOQ21" s="64"/>
      <c r="VOR21" s="64"/>
      <c r="VOS21" s="64"/>
      <c r="VOT21" s="64"/>
      <c r="VOU21" s="64"/>
      <c r="VOV21" s="64"/>
      <c r="VOW21" s="64"/>
      <c r="VOX21" s="64"/>
      <c r="VOY21" s="64"/>
      <c r="VOZ21" s="64"/>
      <c r="VPA21" s="64"/>
      <c r="VPB21" s="64"/>
      <c r="VPC21" s="64"/>
      <c r="VPD21" s="64"/>
      <c r="VPE21" s="64"/>
      <c r="VPF21" s="64"/>
      <c r="VPG21" s="64"/>
      <c r="VPH21" s="64"/>
      <c r="VPI21" s="64"/>
      <c r="VPJ21" s="64"/>
      <c r="VPK21" s="64"/>
      <c r="VPL21" s="64"/>
      <c r="VPM21" s="64"/>
      <c r="VPN21" s="64"/>
      <c r="VPO21" s="64"/>
      <c r="VPP21" s="64"/>
      <c r="VPQ21" s="64"/>
      <c r="VPR21" s="64"/>
      <c r="VPS21" s="64"/>
      <c r="VPT21" s="64"/>
      <c r="VPU21" s="64"/>
      <c r="VPV21" s="64"/>
      <c r="VPW21" s="64"/>
      <c r="VPX21" s="64"/>
      <c r="VPY21" s="64"/>
      <c r="VPZ21" s="64"/>
      <c r="VQA21" s="64"/>
      <c r="VQB21" s="64"/>
      <c r="VQC21" s="64"/>
      <c r="VQD21" s="64"/>
      <c r="VQE21" s="64"/>
      <c r="VQF21" s="64"/>
      <c r="VQG21" s="64"/>
      <c r="VQH21" s="64"/>
      <c r="VQI21" s="64"/>
      <c r="VQJ21" s="64"/>
      <c r="VQK21" s="64"/>
      <c r="VQL21" s="64"/>
      <c r="VQM21" s="64"/>
      <c r="VQN21" s="64"/>
      <c r="VQO21" s="64"/>
      <c r="VQP21" s="64"/>
      <c r="VQQ21" s="64"/>
      <c r="VQR21" s="64"/>
      <c r="VQS21" s="64"/>
      <c r="VQT21" s="64"/>
      <c r="VQU21" s="64"/>
      <c r="VQV21" s="64"/>
      <c r="VQW21" s="64"/>
      <c r="VQX21" s="64"/>
      <c r="VQY21" s="64"/>
      <c r="VQZ21" s="64"/>
      <c r="VRA21" s="64"/>
      <c r="VRB21" s="64"/>
      <c r="VRC21" s="64"/>
      <c r="VRD21" s="64"/>
      <c r="VRE21" s="64"/>
      <c r="VRF21" s="64"/>
      <c r="VRG21" s="64"/>
      <c r="VRH21" s="64"/>
      <c r="VRI21" s="64"/>
      <c r="VRJ21" s="64"/>
      <c r="VRK21" s="64"/>
      <c r="VRL21" s="64"/>
      <c r="VRM21" s="64"/>
      <c r="VRN21" s="64"/>
      <c r="VRO21" s="64"/>
      <c r="VRP21" s="64"/>
      <c r="VRQ21" s="64"/>
      <c r="VRR21" s="64"/>
      <c r="VRS21" s="64"/>
      <c r="VRT21" s="64"/>
      <c r="VRU21" s="64"/>
      <c r="VRV21" s="64"/>
      <c r="VRW21" s="64"/>
      <c r="VRX21" s="64"/>
      <c r="VRY21" s="64"/>
      <c r="VRZ21" s="64"/>
      <c r="VSA21" s="64"/>
      <c r="VSB21" s="64"/>
      <c r="VSC21" s="64"/>
      <c r="VSD21" s="64"/>
      <c r="VSE21" s="64"/>
      <c r="VSF21" s="64"/>
      <c r="VSG21" s="64"/>
      <c r="VSH21" s="64"/>
      <c r="VSI21" s="64"/>
      <c r="VSJ21" s="64"/>
      <c r="VSK21" s="64"/>
      <c r="VSL21" s="64"/>
      <c r="VSM21" s="64"/>
      <c r="VSN21" s="64"/>
      <c r="VSO21" s="64"/>
      <c r="VSP21" s="64"/>
      <c r="VSQ21" s="64"/>
      <c r="VSR21" s="64"/>
      <c r="VSS21" s="64"/>
      <c r="VST21" s="64"/>
      <c r="VSU21" s="64"/>
      <c r="VSV21" s="64"/>
      <c r="VSW21" s="64"/>
      <c r="VSX21" s="64"/>
      <c r="VSY21" s="64"/>
      <c r="VSZ21" s="64"/>
      <c r="VTA21" s="64"/>
      <c r="VTB21" s="64"/>
      <c r="VTC21" s="64"/>
      <c r="VTD21" s="64"/>
      <c r="VTE21" s="64"/>
      <c r="VTF21" s="64"/>
      <c r="VTG21" s="64"/>
      <c r="VTH21" s="64"/>
      <c r="VTI21" s="64"/>
      <c r="VTJ21" s="64"/>
      <c r="VTK21" s="64"/>
      <c r="VTL21" s="64"/>
      <c r="VTM21" s="64"/>
      <c r="VTN21" s="64"/>
      <c r="VTO21" s="64"/>
      <c r="VTP21" s="64"/>
      <c r="VTQ21" s="64"/>
      <c r="VTR21" s="64"/>
      <c r="VTS21" s="64"/>
      <c r="VTT21" s="64"/>
      <c r="VTU21" s="64"/>
      <c r="VTV21" s="64"/>
      <c r="VTW21" s="64"/>
      <c r="VTX21" s="64"/>
      <c r="VTY21" s="64"/>
      <c r="VTZ21" s="64"/>
      <c r="VUA21" s="64"/>
      <c r="VUB21" s="64"/>
      <c r="VUC21" s="64"/>
      <c r="VUD21" s="64"/>
      <c r="VUE21" s="64"/>
      <c r="VUF21" s="64"/>
      <c r="VUG21" s="64"/>
      <c r="VUH21" s="64"/>
      <c r="VUI21" s="64"/>
      <c r="VUJ21" s="64"/>
      <c r="VUK21" s="64"/>
      <c r="VUL21" s="64"/>
      <c r="VUM21" s="64"/>
      <c r="VUN21" s="64"/>
      <c r="VUO21" s="64"/>
      <c r="VUP21" s="64"/>
      <c r="VUQ21" s="64"/>
      <c r="VUR21" s="64"/>
      <c r="VUS21" s="64"/>
      <c r="VUT21" s="64"/>
      <c r="VUU21" s="64"/>
      <c r="VUV21" s="64"/>
      <c r="VUW21" s="64"/>
      <c r="VUX21" s="64"/>
      <c r="VUY21" s="64"/>
      <c r="VUZ21" s="64"/>
      <c r="VVA21" s="64"/>
      <c r="VVB21" s="64"/>
      <c r="VVC21" s="64"/>
      <c r="VVD21" s="64"/>
      <c r="VVE21" s="64"/>
      <c r="VVF21" s="64"/>
      <c r="VVG21" s="64"/>
      <c r="VVH21" s="64"/>
      <c r="VVI21" s="64"/>
      <c r="VVJ21" s="64"/>
      <c r="VVK21" s="64"/>
      <c r="VVL21" s="64"/>
      <c r="VVM21" s="64"/>
      <c r="VVN21" s="64"/>
      <c r="VVO21" s="64"/>
      <c r="VVP21" s="64"/>
      <c r="VVQ21" s="64"/>
      <c r="VVR21" s="64"/>
      <c r="VVS21" s="64"/>
      <c r="VVT21" s="64"/>
      <c r="VVU21" s="64"/>
      <c r="VVV21" s="64"/>
      <c r="VVW21" s="64"/>
      <c r="VVX21" s="64"/>
      <c r="VVY21" s="64"/>
      <c r="VVZ21" s="64"/>
      <c r="VWA21" s="64"/>
      <c r="VWB21" s="64"/>
      <c r="VWC21" s="64"/>
      <c r="VWD21" s="64"/>
      <c r="VWE21" s="64"/>
      <c r="VWF21" s="64"/>
      <c r="VWG21" s="64"/>
      <c r="VWH21" s="64"/>
      <c r="VWI21" s="64"/>
      <c r="VWJ21" s="64"/>
      <c r="VWK21" s="64"/>
      <c r="VWL21" s="64"/>
      <c r="VWM21" s="64"/>
      <c r="VWN21" s="64"/>
      <c r="VWO21" s="64"/>
      <c r="VWP21" s="64"/>
      <c r="VWQ21" s="64"/>
      <c r="VWR21" s="64"/>
      <c r="VWS21" s="64"/>
      <c r="VWT21" s="64"/>
      <c r="VWU21" s="64"/>
      <c r="VWV21" s="64"/>
      <c r="VWW21" s="64"/>
      <c r="VWX21" s="64"/>
      <c r="VWY21" s="64"/>
      <c r="VWZ21" s="64"/>
      <c r="VXA21" s="64"/>
      <c r="VXB21" s="64"/>
      <c r="VXC21" s="64"/>
      <c r="VXD21" s="64"/>
      <c r="VXE21" s="64"/>
      <c r="VXF21" s="64"/>
      <c r="VXG21" s="64"/>
      <c r="VXH21" s="64"/>
      <c r="VXI21" s="64"/>
      <c r="VXJ21" s="64"/>
      <c r="VXK21" s="64"/>
      <c r="VXL21" s="64"/>
      <c r="VXM21" s="64"/>
      <c r="VXN21" s="64"/>
      <c r="VXO21" s="64"/>
      <c r="VXP21" s="64"/>
      <c r="VXQ21" s="64"/>
      <c r="VXR21" s="64"/>
      <c r="VXS21" s="64"/>
      <c r="VXT21" s="64"/>
      <c r="VXU21" s="64"/>
      <c r="VXV21" s="64"/>
      <c r="VXW21" s="64"/>
      <c r="VXX21" s="64"/>
      <c r="VXY21" s="64"/>
      <c r="VXZ21" s="64"/>
      <c r="VYA21" s="64"/>
      <c r="VYB21" s="64"/>
      <c r="VYC21" s="64"/>
      <c r="VYD21" s="64"/>
      <c r="VYE21" s="64"/>
      <c r="VYF21" s="64"/>
      <c r="VYG21" s="64"/>
      <c r="VYH21" s="64"/>
      <c r="VYI21" s="64"/>
      <c r="VYJ21" s="64"/>
      <c r="VYK21" s="64"/>
      <c r="VYL21" s="64"/>
      <c r="VYM21" s="64"/>
      <c r="VYN21" s="64"/>
      <c r="VYO21" s="64"/>
      <c r="VYP21" s="64"/>
      <c r="VYQ21" s="64"/>
      <c r="VYR21" s="64"/>
      <c r="VYS21" s="64"/>
      <c r="VYT21" s="64"/>
      <c r="VYU21" s="64"/>
      <c r="VYV21" s="64"/>
      <c r="VYW21" s="64"/>
      <c r="VYX21" s="64"/>
      <c r="VYY21" s="64"/>
      <c r="VYZ21" s="64"/>
      <c r="VZA21" s="64"/>
      <c r="VZB21" s="64"/>
      <c r="VZC21" s="64"/>
      <c r="VZD21" s="64"/>
      <c r="VZE21" s="64"/>
      <c r="VZF21" s="64"/>
      <c r="VZG21" s="64"/>
      <c r="VZH21" s="64"/>
      <c r="VZI21" s="64"/>
      <c r="VZJ21" s="64"/>
      <c r="VZK21" s="64"/>
      <c r="VZL21" s="64"/>
      <c r="VZM21" s="64"/>
      <c r="VZN21" s="64"/>
      <c r="VZO21" s="64"/>
      <c r="VZP21" s="64"/>
      <c r="VZQ21" s="64"/>
      <c r="VZR21" s="64"/>
      <c r="VZS21" s="64"/>
      <c r="VZT21" s="64"/>
      <c r="VZU21" s="64"/>
      <c r="VZV21" s="64"/>
      <c r="VZW21" s="64"/>
      <c r="VZX21" s="64"/>
      <c r="VZY21" s="64"/>
      <c r="VZZ21" s="64"/>
      <c r="WAA21" s="64"/>
      <c r="WAB21" s="64"/>
      <c r="WAC21" s="64"/>
      <c r="WAD21" s="64"/>
      <c r="WAE21" s="64"/>
      <c r="WAF21" s="64"/>
      <c r="WAG21" s="64"/>
      <c r="WAH21" s="64"/>
      <c r="WAI21" s="64"/>
      <c r="WAJ21" s="64"/>
      <c r="WAK21" s="64"/>
      <c r="WAL21" s="64"/>
      <c r="WAM21" s="64"/>
      <c r="WAN21" s="64"/>
      <c r="WAO21" s="64"/>
      <c r="WAP21" s="64"/>
      <c r="WAQ21" s="64"/>
      <c r="WAR21" s="64"/>
      <c r="WAS21" s="64"/>
      <c r="WAT21" s="64"/>
      <c r="WAU21" s="64"/>
      <c r="WAV21" s="64"/>
      <c r="WAW21" s="64"/>
      <c r="WAX21" s="64"/>
      <c r="WAY21" s="64"/>
      <c r="WAZ21" s="64"/>
      <c r="WBA21" s="64"/>
      <c r="WBB21" s="64"/>
      <c r="WBC21" s="64"/>
      <c r="WBD21" s="64"/>
      <c r="WBE21" s="64"/>
      <c r="WBF21" s="64"/>
      <c r="WBG21" s="64"/>
      <c r="WBH21" s="64"/>
      <c r="WBI21" s="64"/>
      <c r="WBJ21" s="64"/>
      <c r="WBK21" s="64"/>
      <c r="WBL21" s="64"/>
      <c r="WBM21" s="64"/>
      <c r="WBN21" s="64"/>
      <c r="WBO21" s="64"/>
      <c r="WBP21" s="64"/>
      <c r="WBQ21" s="64"/>
      <c r="WBR21" s="64"/>
      <c r="WBS21" s="64"/>
      <c r="WBT21" s="64"/>
      <c r="WBU21" s="64"/>
      <c r="WBV21" s="64"/>
      <c r="WBW21" s="64"/>
      <c r="WBX21" s="64"/>
      <c r="WBY21" s="64"/>
      <c r="WBZ21" s="64"/>
      <c r="WCA21" s="64"/>
      <c r="WCB21" s="64"/>
      <c r="WCC21" s="64"/>
      <c r="WCD21" s="64"/>
      <c r="WCE21" s="64"/>
      <c r="WCF21" s="64"/>
      <c r="WCG21" s="64"/>
      <c r="WCH21" s="64"/>
      <c r="WCI21" s="64"/>
      <c r="WCJ21" s="64"/>
      <c r="WCK21" s="64"/>
      <c r="WCL21" s="64"/>
      <c r="WCM21" s="64"/>
      <c r="WCN21" s="64"/>
      <c r="WCO21" s="64"/>
      <c r="WCP21" s="64"/>
      <c r="WCQ21" s="64"/>
      <c r="WCR21" s="64"/>
      <c r="WCS21" s="64"/>
      <c r="WCT21" s="64"/>
      <c r="WCU21" s="64"/>
      <c r="WCV21" s="64"/>
      <c r="WCW21" s="64"/>
      <c r="WCX21" s="64"/>
      <c r="WCY21" s="64"/>
      <c r="WCZ21" s="64"/>
      <c r="WDA21" s="64"/>
      <c r="WDB21" s="64"/>
      <c r="WDC21" s="64"/>
      <c r="WDD21" s="64"/>
      <c r="WDE21" s="64"/>
      <c r="WDF21" s="64"/>
      <c r="WDG21" s="64"/>
      <c r="WDH21" s="64"/>
      <c r="WDI21" s="64"/>
      <c r="WDJ21" s="64"/>
      <c r="WDK21" s="64"/>
      <c r="WDL21" s="64"/>
      <c r="WDM21" s="64"/>
      <c r="WDN21" s="64"/>
      <c r="WDO21" s="64"/>
      <c r="WDP21" s="64"/>
      <c r="WDQ21" s="64"/>
      <c r="WDR21" s="64"/>
      <c r="WDS21" s="64"/>
      <c r="WDT21" s="64"/>
      <c r="WDU21" s="64"/>
      <c r="WDV21" s="64"/>
      <c r="WDW21" s="64"/>
      <c r="WDX21" s="64"/>
      <c r="WDY21" s="64"/>
      <c r="WDZ21" s="64"/>
      <c r="WEA21" s="64"/>
      <c r="WEB21" s="64"/>
      <c r="WEC21" s="64"/>
      <c r="WED21" s="64"/>
      <c r="WEE21" s="64"/>
      <c r="WEF21" s="64"/>
      <c r="WEG21" s="64"/>
      <c r="WEH21" s="64"/>
      <c r="WEI21" s="64"/>
      <c r="WEJ21" s="64"/>
      <c r="WEK21" s="64"/>
      <c r="WEL21" s="64"/>
      <c r="WEM21" s="64"/>
      <c r="WEN21" s="64"/>
      <c r="WEO21" s="64"/>
      <c r="WEP21" s="64"/>
      <c r="WEQ21" s="64"/>
      <c r="WER21" s="64"/>
      <c r="WES21" s="64"/>
      <c r="WET21" s="64"/>
      <c r="WEU21" s="64"/>
      <c r="WEV21" s="64"/>
      <c r="WEW21" s="64"/>
      <c r="WEX21" s="64"/>
      <c r="WEY21" s="64"/>
      <c r="WEZ21" s="64"/>
      <c r="WFA21" s="64"/>
      <c r="WFB21" s="64"/>
      <c r="WFC21" s="64"/>
      <c r="WFD21" s="64"/>
      <c r="WFE21" s="64"/>
      <c r="WFF21" s="64"/>
      <c r="WFG21" s="64"/>
      <c r="WFH21" s="64"/>
      <c r="WFI21" s="64"/>
      <c r="WFJ21" s="64"/>
      <c r="WFK21" s="64"/>
      <c r="WFL21" s="64"/>
      <c r="WFM21" s="64"/>
      <c r="WFN21" s="64"/>
      <c r="WFO21" s="64"/>
      <c r="WFP21" s="64"/>
      <c r="WFQ21" s="64"/>
      <c r="WFR21" s="64"/>
      <c r="WFS21" s="64"/>
      <c r="WFT21" s="64"/>
      <c r="WFU21" s="64"/>
      <c r="WFV21" s="64"/>
      <c r="WFW21" s="64"/>
      <c r="WFX21" s="64"/>
      <c r="WFY21" s="64"/>
      <c r="WFZ21" s="64"/>
      <c r="WGA21" s="64"/>
      <c r="WGB21" s="64"/>
      <c r="WGC21" s="64"/>
      <c r="WGD21" s="64"/>
      <c r="WGE21" s="64"/>
      <c r="WGF21" s="64"/>
      <c r="WGG21" s="64"/>
      <c r="WGH21" s="64"/>
      <c r="WGI21" s="64"/>
      <c r="WGJ21" s="64"/>
      <c r="WGK21" s="64"/>
      <c r="WGL21" s="64"/>
      <c r="WGM21" s="64"/>
      <c r="WGN21" s="64"/>
      <c r="WGO21" s="64"/>
      <c r="WGP21" s="64"/>
      <c r="WGQ21" s="64"/>
      <c r="WGR21" s="64"/>
      <c r="WGS21" s="64"/>
      <c r="WGT21" s="64"/>
      <c r="WGU21" s="64"/>
      <c r="WGV21" s="64"/>
      <c r="WGW21" s="64"/>
      <c r="WGX21" s="64"/>
      <c r="WGY21" s="64"/>
      <c r="WGZ21" s="64"/>
      <c r="WHA21" s="64"/>
      <c r="WHB21" s="64"/>
      <c r="WHC21" s="64"/>
      <c r="WHD21" s="64"/>
      <c r="WHE21" s="64"/>
      <c r="WHF21" s="64"/>
      <c r="WHG21" s="64"/>
      <c r="WHH21" s="64"/>
      <c r="WHI21" s="64"/>
      <c r="WHJ21" s="64"/>
      <c r="WHK21" s="64"/>
      <c r="WHL21" s="64"/>
      <c r="WHM21" s="64"/>
      <c r="WHN21" s="64"/>
      <c r="WHO21" s="64"/>
      <c r="WHP21" s="64"/>
      <c r="WHQ21" s="64"/>
      <c r="WHR21" s="64"/>
      <c r="WHS21" s="64"/>
      <c r="WHT21" s="64"/>
      <c r="WHU21" s="64"/>
      <c r="WHV21" s="64"/>
      <c r="WHW21" s="64"/>
      <c r="WHX21" s="64"/>
      <c r="WHY21" s="64"/>
      <c r="WHZ21" s="64"/>
      <c r="WIA21" s="64"/>
      <c r="WIB21" s="64"/>
      <c r="WIC21" s="64"/>
      <c r="WID21" s="64"/>
      <c r="WIE21" s="64"/>
      <c r="WIF21" s="64"/>
      <c r="WIG21" s="64"/>
      <c r="WIH21" s="64"/>
      <c r="WII21" s="64"/>
      <c r="WIJ21" s="64"/>
      <c r="WIK21" s="64"/>
      <c r="WIL21" s="64"/>
      <c r="WIM21" s="64"/>
      <c r="WIN21" s="64"/>
      <c r="WIO21" s="64"/>
      <c r="WIP21" s="64"/>
      <c r="WIQ21" s="64"/>
      <c r="WIR21" s="64"/>
      <c r="WIS21" s="64"/>
      <c r="WIT21" s="64"/>
      <c r="WIU21" s="64"/>
      <c r="WIV21" s="64"/>
      <c r="WIW21" s="64"/>
      <c r="WIX21" s="64"/>
      <c r="WIY21" s="64"/>
      <c r="WIZ21" s="64"/>
      <c r="WJA21" s="64"/>
      <c r="WJB21" s="64"/>
      <c r="WJC21" s="64"/>
      <c r="WJD21" s="64"/>
      <c r="WJE21" s="64"/>
      <c r="WJF21" s="64"/>
      <c r="WJG21" s="64"/>
      <c r="WJH21" s="64"/>
      <c r="WJI21" s="64"/>
      <c r="WJJ21" s="64"/>
      <c r="WJK21" s="64"/>
      <c r="WJL21" s="64"/>
      <c r="WJM21" s="64"/>
      <c r="WJN21" s="64"/>
      <c r="WJO21" s="64"/>
      <c r="WJP21" s="64"/>
      <c r="WJQ21" s="64"/>
      <c r="WJR21" s="64"/>
      <c r="WJS21" s="64"/>
      <c r="WJT21" s="64"/>
      <c r="WJU21" s="64"/>
      <c r="WJV21" s="64"/>
      <c r="WJW21" s="64"/>
      <c r="WJX21" s="64"/>
      <c r="WJY21" s="64"/>
      <c r="WJZ21" s="64"/>
      <c r="WKA21" s="64"/>
      <c r="WKB21" s="64"/>
      <c r="WKC21" s="64"/>
      <c r="WKD21" s="64"/>
      <c r="WKE21" s="64"/>
      <c r="WKF21" s="64"/>
      <c r="WKG21" s="64"/>
      <c r="WKH21" s="64"/>
      <c r="WKI21" s="64"/>
      <c r="WKJ21" s="64"/>
      <c r="WKK21" s="64"/>
      <c r="WKL21" s="64"/>
      <c r="WKM21" s="64"/>
      <c r="WKN21" s="64"/>
      <c r="WKO21" s="64"/>
      <c r="WKP21" s="64"/>
      <c r="WKQ21" s="64"/>
      <c r="WKR21" s="64"/>
      <c r="WKS21" s="64"/>
      <c r="WKT21" s="64"/>
      <c r="WKU21" s="64"/>
      <c r="WKV21" s="64"/>
      <c r="WKW21" s="64"/>
      <c r="WKX21" s="64"/>
      <c r="WKY21" s="64"/>
      <c r="WKZ21" s="64"/>
      <c r="WLA21" s="64"/>
      <c r="WLB21" s="64"/>
      <c r="WLC21" s="64"/>
      <c r="WLD21" s="64"/>
      <c r="WLE21" s="64"/>
      <c r="WLF21" s="64"/>
      <c r="WLG21" s="64"/>
      <c r="WLH21" s="64"/>
      <c r="WLI21" s="64"/>
      <c r="WLJ21" s="64"/>
      <c r="WLK21" s="64"/>
      <c r="WLL21" s="64"/>
      <c r="WLM21" s="64"/>
      <c r="WLN21" s="64"/>
      <c r="WLO21" s="64"/>
      <c r="WLP21" s="64"/>
      <c r="WLQ21" s="64"/>
      <c r="WLR21" s="64"/>
      <c r="WLS21" s="64"/>
      <c r="WLT21" s="64"/>
      <c r="WLU21" s="64"/>
      <c r="WLV21" s="64"/>
      <c r="WLW21" s="64"/>
      <c r="WLX21" s="64"/>
      <c r="WLY21" s="64"/>
      <c r="WLZ21" s="64"/>
      <c r="WMA21" s="64"/>
      <c r="WMB21" s="64"/>
      <c r="WMC21" s="64"/>
      <c r="WMD21" s="64"/>
      <c r="WME21" s="64"/>
      <c r="WMF21" s="64"/>
      <c r="WMG21" s="64"/>
      <c r="WMH21" s="64"/>
      <c r="WMI21" s="64"/>
      <c r="WMJ21" s="64"/>
      <c r="WMK21" s="64"/>
      <c r="WML21" s="64"/>
      <c r="WMM21" s="64"/>
      <c r="WMN21" s="64"/>
      <c r="WMO21" s="64"/>
      <c r="WMP21" s="64"/>
      <c r="WMQ21" s="64"/>
      <c r="WMR21" s="64"/>
      <c r="WMS21" s="64"/>
      <c r="WMT21" s="64"/>
      <c r="WMU21" s="64"/>
      <c r="WMV21" s="64"/>
      <c r="WMW21" s="64"/>
      <c r="WMX21" s="64"/>
      <c r="WMY21" s="64"/>
      <c r="WMZ21" s="64"/>
      <c r="WNA21" s="64"/>
      <c r="WNB21" s="64"/>
      <c r="WNC21" s="64"/>
      <c r="WND21" s="64"/>
      <c r="WNE21" s="64"/>
      <c r="WNF21" s="64"/>
      <c r="WNG21" s="64"/>
      <c r="WNH21" s="64"/>
      <c r="WNI21" s="64"/>
      <c r="WNJ21" s="64"/>
      <c r="WNK21" s="64"/>
      <c r="WNL21" s="64"/>
      <c r="WNM21" s="64"/>
      <c r="WNN21" s="64"/>
      <c r="WNO21" s="64"/>
      <c r="WNP21" s="64"/>
      <c r="WNQ21" s="64"/>
      <c r="WNR21" s="64"/>
      <c r="WNS21" s="64"/>
      <c r="WNT21" s="64"/>
      <c r="WNU21" s="64"/>
      <c r="WNV21" s="64"/>
      <c r="WNW21" s="64"/>
      <c r="WNX21" s="64"/>
      <c r="WNY21" s="64"/>
      <c r="WNZ21" s="64"/>
      <c r="WOA21" s="64"/>
      <c r="WOB21" s="64"/>
      <c r="WOC21" s="64"/>
      <c r="WOD21" s="64"/>
      <c r="WOE21" s="64"/>
      <c r="WOF21" s="64"/>
      <c r="WOG21" s="64"/>
      <c r="WOH21" s="64"/>
      <c r="WOI21" s="64"/>
      <c r="WOJ21" s="64"/>
      <c r="WOK21" s="64"/>
      <c r="WOL21" s="64"/>
      <c r="WOM21" s="64"/>
      <c r="WON21" s="64"/>
      <c r="WOO21" s="64"/>
      <c r="WOP21" s="64"/>
      <c r="WOQ21" s="64"/>
      <c r="WOR21" s="64"/>
      <c r="WOS21" s="64"/>
      <c r="WOT21" s="64"/>
      <c r="WOU21" s="64"/>
      <c r="WOV21" s="64"/>
      <c r="WOW21" s="64"/>
      <c r="WOX21" s="64"/>
      <c r="WOY21" s="64"/>
      <c r="WOZ21" s="64"/>
      <c r="WPA21" s="64"/>
      <c r="WPB21" s="64"/>
      <c r="WPC21" s="64"/>
      <c r="WPD21" s="64"/>
      <c r="WPE21" s="64"/>
      <c r="WPF21" s="64"/>
      <c r="WPG21" s="64"/>
      <c r="WPH21" s="64"/>
      <c r="WPI21" s="64"/>
      <c r="WPJ21" s="64"/>
      <c r="WPK21" s="64"/>
      <c r="WPL21" s="64"/>
      <c r="WPM21" s="64"/>
      <c r="WPN21" s="64"/>
      <c r="WPO21" s="64"/>
      <c r="WPP21" s="64"/>
      <c r="WPQ21" s="64"/>
      <c r="WPR21" s="64"/>
      <c r="WPS21" s="64"/>
      <c r="WPT21" s="64"/>
      <c r="WPU21" s="64"/>
      <c r="WPV21" s="64"/>
      <c r="WPW21" s="64"/>
      <c r="WPX21" s="64"/>
      <c r="WPY21" s="64"/>
      <c r="WPZ21" s="64"/>
      <c r="WQA21" s="64"/>
      <c r="WQB21" s="64"/>
      <c r="WQC21" s="64"/>
      <c r="WQD21" s="64"/>
      <c r="WQE21" s="64"/>
      <c r="WQF21" s="64"/>
      <c r="WQG21" s="64"/>
      <c r="WQH21" s="64"/>
      <c r="WQI21" s="64"/>
      <c r="WQJ21" s="64"/>
      <c r="WQK21" s="64"/>
      <c r="WQL21" s="64"/>
      <c r="WQM21" s="64"/>
      <c r="WQN21" s="64"/>
      <c r="WQO21" s="64"/>
      <c r="WQP21" s="64"/>
      <c r="WQQ21" s="64"/>
      <c r="WQR21" s="64"/>
      <c r="WQS21" s="64"/>
      <c r="WQT21" s="64"/>
      <c r="WQU21" s="64"/>
      <c r="WQV21" s="64"/>
      <c r="WQW21" s="64"/>
      <c r="WQX21" s="64"/>
      <c r="WQY21" s="64"/>
      <c r="WQZ21" s="64"/>
      <c r="WRA21" s="64"/>
      <c r="WRB21" s="64"/>
      <c r="WRC21" s="64"/>
      <c r="WRD21" s="64"/>
      <c r="WRE21" s="64"/>
      <c r="WRF21" s="64"/>
      <c r="WRG21" s="64"/>
      <c r="WRH21" s="64"/>
      <c r="WRI21" s="64"/>
      <c r="WRJ21" s="64"/>
      <c r="WRK21" s="64"/>
      <c r="WRL21" s="64"/>
      <c r="WRM21" s="64"/>
      <c r="WRN21" s="64"/>
      <c r="WRO21" s="64"/>
      <c r="WRP21" s="64"/>
      <c r="WRQ21" s="64"/>
      <c r="WRR21" s="64"/>
      <c r="WRS21" s="64"/>
      <c r="WRT21" s="64"/>
      <c r="WRU21" s="64"/>
      <c r="WRV21" s="64"/>
      <c r="WRW21" s="64"/>
      <c r="WRX21" s="64"/>
      <c r="WRY21" s="64"/>
      <c r="WRZ21" s="64"/>
      <c r="WSA21" s="64"/>
      <c r="WSB21" s="64"/>
      <c r="WSC21" s="64"/>
      <c r="WSD21" s="64"/>
      <c r="WSE21" s="64"/>
      <c r="WSF21" s="64"/>
      <c r="WSG21" s="64"/>
      <c r="WSH21" s="64"/>
      <c r="WSI21" s="64"/>
      <c r="WSJ21" s="64"/>
      <c r="WSK21" s="64"/>
      <c r="WSL21" s="64"/>
      <c r="WSM21" s="64"/>
      <c r="WSN21" s="64"/>
      <c r="WSO21" s="64"/>
      <c r="WSP21" s="64"/>
      <c r="WSQ21" s="64"/>
      <c r="WSR21" s="64"/>
      <c r="WSS21" s="64"/>
      <c r="WST21" s="64"/>
      <c r="WSU21" s="64"/>
      <c r="WSV21" s="64"/>
      <c r="WSW21" s="64"/>
      <c r="WSX21" s="64"/>
      <c r="WSY21" s="64"/>
      <c r="WSZ21" s="64"/>
      <c r="WTA21" s="64"/>
      <c r="WTB21" s="64"/>
      <c r="WTC21" s="64"/>
      <c r="WTD21" s="64"/>
      <c r="WTE21" s="64"/>
      <c r="WTF21" s="64"/>
      <c r="WTG21" s="64"/>
      <c r="WTH21" s="64"/>
      <c r="WTI21" s="64"/>
      <c r="WTJ21" s="64"/>
      <c r="WTK21" s="64"/>
      <c r="WTL21" s="64"/>
      <c r="WTM21" s="64"/>
      <c r="WTN21" s="64"/>
      <c r="WTO21" s="64"/>
      <c r="WTP21" s="64"/>
      <c r="WTQ21" s="64"/>
      <c r="WTR21" s="64"/>
      <c r="WTS21" s="64"/>
      <c r="WTT21" s="64"/>
      <c r="WTU21" s="64"/>
      <c r="WTV21" s="64"/>
      <c r="WTW21" s="64"/>
      <c r="WTX21" s="64"/>
      <c r="WTY21" s="64"/>
      <c r="WTZ21" s="64"/>
      <c r="WUA21" s="64"/>
      <c r="WUB21" s="64"/>
      <c r="WUC21" s="64"/>
      <c r="WUD21" s="64"/>
      <c r="WUE21" s="64"/>
      <c r="WUF21" s="64"/>
      <c r="WUG21" s="64"/>
      <c r="WUH21" s="64"/>
      <c r="WUI21" s="64"/>
      <c r="WUJ21" s="64"/>
      <c r="WUK21" s="64"/>
      <c r="WUL21" s="64"/>
      <c r="WUM21" s="64"/>
      <c r="WUN21" s="64"/>
      <c r="WUO21" s="64"/>
      <c r="WUP21" s="64"/>
      <c r="WUQ21" s="64"/>
      <c r="WUR21" s="64"/>
      <c r="WUS21" s="64"/>
      <c r="WUT21" s="64"/>
      <c r="WUU21" s="64"/>
      <c r="WUV21" s="64"/>
      <c r="WUW21" s="64"/>
      <c r="WUX21" s="64"/>
      <c r="WUY21" s="64"/>
      <c r="WUZ21" s="64"/>
      <c r="WVA21" s="64"/>
      <c r="WVB21" s="64"/>
      <c r="WVC21" s="64"/>
      <c r="WVD21" s="64"/>
      <c r="WVE21" s="64"/>
      <c r="WVF21" s="64"/>
      <c r="WVG21" s="64"/>
      <c r="WVH21" s="64"/>
      <c r="WVI21" s="64"/>
      <c r="WVJ21" s="64"/>
      <c r="WVK21" s="64"/>
      <c r="WVL21" s="64"/>
      <c r="WVM21" s="64"/>
      <c r="WVN21" s="64"/>
      <c r="WVO21" s="64"/>
      <c r="WVP21" s="64"/>
      <c r="WVQ21" s="64"/>
      <c r="WVR21" s="64"/>
      <c r="WVS21" s="64"/>
      <c r="WVT21" s="64"/>
      <c r="WVU21" s="64"/>
      <c r="WVV21" s="64"/>
      <c r="WVW21" s="64"/>
      <c r="WVX21" s="64"/>
      <c r="WVY21" s="64"/>
      <c r="WVZ21" s="64"/>
      <c r="WWA21" s="64"/>
      <c r="WWB21" s="64"/>
      <c r="WWC21" s="64"/>
      <c r="WWD21" s="64"/>
      <c r="WWE21" s="64"/>
      <c r="WWF21" s="64"/>
      <c r="WWG21" s="64"/>
      <c r="WWH21" s="64"/>
      <c r="WWI21" s="64"/>
      <c r="WWJ21" s="64"/>
      <c r="WWK21" s="64"/>
      <c r="WWL21" s="64"/>
      <c r="WWM21" s="64"/>
      <c r="WWN21" s="64"/>
      <c r="WWO21" s="64"/>
      <c r="WWP21" s="64"/>
      <c r="WWQ21" s="64"/>
      <c r="WWR21" s="64"/>
      <c r="WWS21" s="64"/>
      <c r="WWT21" s="64"/>
      <c r="WWU21" s="64"/>
      <c r="WWV21" s="64"/>
      <c r="WWW21" s="64"/>
      <c r="WWX21" s="64"/>
      <c r="WWY21" s="64"/>
      <c r="WWZ21" s="64"/>
      <c r="WXA21" s="64"/>
      <c r="WXB21" s="64"/>
      <c r="WXC21" s="64"/>
      <c r="WXD21" s="64"/>
      <c r="WXE21" s="64"/>
      <c r="WXF21" s="64"/>
      <c r="WXG21" s="64"/>
      <c r="WXH21" s="64"/>
      <c r="WXI21" s="64"/>
      <c r="WXJ21" s="64"/>
      <c r="WXK21" s="64"/>
      <c r="WXL21" s="64"/>
      <c r="WXM21" s="64"/>
      <c r="WXN21" s="64"/>
      <c r="WXO21" s="64"/>
      <c r="WXP21" s="64"/>
      <c r="WXQ21" s="64"/>
      <c r="WXR21" s="64"/>
      <c r="WXS21" s="64"/>
      <c r="WXT21" s="64"/>
      <c r="WXU21" s="64"/>
      <c r="WXV21" s="64"/>
      <c r="WXW21" s="64"/>
      <c r="WXX21" s="64"/>
      <c r="WXY21" s="64"/>
      <c r="WXZ21" s="64"/>
      <c r="WYA21" s="64"/>
      <c r="WYB21" s="64"/>
      <c r="WYC21" s="64"/>
      <c r="WYD21" s="64"/>
      <c r="WYE21" s="64"/>
      <c r="WYF21" s="64"/>
      <c r="WYG21" s="64"/>
      <c r="WYH21" s="64"/>
      <c r="WYI21" s="64"/>
      <c r="WYJ21" s="64"/>
      <c r="WYK21" s="64"/>
      <c r="WYL21" s="64"/>
      <c r="WYM21" s="64"/>
      <c r="WYN21" s="64"/>
      <c r="WYO21" s="64"/>
      <c r="WYP21" s="64"/>
      <c r="WYQ21" s="64"/>
      <c r="WYR21" s="64"/>
      <c r="WYS21" s="64"/>
      <c r="WYT21" s="64"/>
      <c r="WYU21" s="64"/>
      <c r="WYV21" s="64"/>
      <c r="WYW21" s="64"/>
      <c r="WYX21" s="64"/>
      <c r="WYY21" s="64"/>
      <c r="WYZ21" s="64"/>
      <c r="WZA21" s="64"/>
      <c r="WZB21" s="64"/>
      <c r="WZC21" s="64"/>
      <c r="WZD21" s="64"/>
      <c r="WZE21" s="64"/>
      <c r="WZF21" s="64"/>
      <c r="WZG21" s="64"/>
      <c r="WZH21" s="64"/>
      <c r="WZI21" s="64"/>
      <c r="WZJ21" s="64"/>
      <c r="WZK21" s="64"/>
      <c r="WZL21" s="64"/>
      <c r="WZM21" s="64"/>
      <c r="WZN21" s="64"/>
      <c r="WZO21" s="64"/>
      <c r="WZP21" s="64"/>
      <c r="WZQ21" s="64"/>
      <c r="WZR21" s="64"/>
      <c r="WZS21" s="64"/>
      <c r="WZT21" s="64"/>
      <c r="WZU21" s="64"/>
      <c r="WZV21" s="64"/>
      <c r="WZW21" s="64"/>
      <c r="WZX21" s="64"/>
      <c r="WZY21" s="64"/>
      <c r="WZZ21" s="64"/>
      <c r="XAA21" s="64"/>
      <c r="XAB21" s="64"/>
      <c r="XAC21" s="64"/>
      <c r="XAD21" s="64"/>
      <c r="XAE21" s="64"/>
      <c r="XAF21" s="64"/>
      <c r="XAG21" s="64"/>
      <c r="XAH21" s="64"/>
      <c r="XAI21" s="64"/>
      <c r="XAJ21" s="64"/>
      <c r="XAK21" s="64"/>
      <c r="XAL21" s="64"/>
      <c r="XAM21" s="64"/>
      <c r="XAN21" s="64"/>
      <c r="XAO21" s="64"/>
      <c r="XAP21" s="64"/>
      <c r="XAQ21" s="64"/>
      <c r="XAR21" s="64"/>
      <c r="XAS21" s="64"/>
      <c r="XAT21" s="64"/>
      <c r="XAU21" s="64"/>
      <c r="XAV21" s="64"/>
      <c r="XAW21" s="64"/>
      <c r="XAX21" s="64"/>
      <c r="XAY21" s="64"/>
      <c r="XAZ21" s="64"/>
      <c r="XBA21" s="64"/>
      <c r="XBB21" s="64"/>
      <c r="XBC21" s="64"/>
      <c r="XBD21" s="64"/>
      <c r="XBE21" s="64"/>
      <c r="XBF21" s="64"/>
      <c r="XBG21" s="64"/>
      <c r="XBH21" s="64"/>
      <c r="XBI21" s="64"/>
      <c r="XBJ21" s="64"/>
      <c r="XBK21" s="64"/>
      <c r="XBL21" s="64"/>
      <c r="XBM21" s="64"/>
      <c r="XBN21" s="64"/>
      <c r="XBO21" s="64"/>
      <c r="XBP21" s="64"/>
      <c r="XBQ21" s="64"/>
      <c r="XBR21" s="64"/>
      <c r="XBS21" s="64"/>
      <c r="XBT21" s="64"/>
      <c r="XBU21" s="64"/>
      <c r="XBV21" s="64"/>
      <c r="XBW21" s="64"/>
      <c r="XBX21" s="64"/>
      <c r="XBY21" s="64"/>
      <c r="XBZ21" s="64"/>
      <c r="XCA21" s="64"/>
      <c r="XCB21" s="64"/>
      <c r="XCC21" s="64"/>
      <c r="XCD21" s="64"/>
      <c r="XCE21" s="64"/>
      <c r="XCF21" s="64"/>
      <c r="XCG21" s="64"/>
      <c r="XCH21" s="64"/>
      <c r="XCI21" s="64"/>
      <c r="XCJ21" s="64"/>
      <c r="XCK21" s="64"/>
      <c r="XCL21" s="64"/>
      <c r="XCM21" s="64"/>
      <c r="XCN21" s="64"/>
      <c r="XCO21" s="64"/>
      <c r="XCP21" s="64"/>
      <c r="XCQ21" s="64"/>
      <c r="XCR21" s="64"/>
      <c r="XCS21" s="64"/>
      <c r="XCT21" s="64"/>
      <c r="XCU21" s="64"/>
      <c r="XCV21" s="64"/>
      <c r="XCW21" s="64"/>
      <c r="XCX21" s="64"/>
      <c r="XCY21" s="64"/>
      <c r="XCZ21" s="64"/>
      <c r="XDA21" s="64"/>
      <c r="XDB21" s="64"/>
      <c r="XDC21" s="64"/>
      <c r="XDD21" s="64"/>
      <c r="XDE21" s="64"/>
      <c r="XDF21" s="64"/>
      <c r="XDG21" s="64"/>
      <c r="XDH21" s="64"/>
      <c r="XDI21" s="64"/>
      <c r="XDJ21" s="64"/>
      <c r="XDK21" s="64"/>
      <c r="XDL21" s="64"/>
      <c r="XDM21" s="64"/>
      <c r="XDN21" s="64"/>
      <c r="XDO21" s="64"/>
      <c r="XDP21" s="64"/>
      <c r="XDQ21" s="64"/>
      <c r="XDR21" s="64"/>
      <c r="XDS21" s="64"/>
      <c r="XDT21" s="64"/>
      <c r="XDU21" s="64"/>
      <c r="XDV21" s="64"/>
      <c r="XDW21" s="64"/>
      <c r="XDX21" s="64"/>
      <c r="XDY21" s="64"/>
      <c r="XDZ21" s="64"/>
      <c r="XEA21" s="64"/>
      <c r="XEB21" s="64"/>
      <c r="XEC21" s="64"/>
      <c r="XED21" s="64"/>
      <c r="XEE21" s="64"/>
      <c r="XEF21" s="64"/>
      <c r="XEG21" s="64"/>
      <c r="XEH21" s="64"/>
      <c r="XEI21" s="64"/>
      <c r="XEJ21" s="64"/>
      <c r="XEK21" s="64"/>
      <c r="XEL21" s="64"/>
      <c r="XEM21" s="64"/>
      <c r="XEN21" s="64"/>
      <c r="XEO21" s="64"/>
      <c r="XEP21" s="64"/>
      <c r="XEQ21" s="64"/>
      <c r="XER21" s="64"/>
      <c r="XES21" s="64"/>
      <c r="XET21" s="64"/>
      <c r="XEU21" s="64"/>
      <c r="XEV21" s="64"/>
      <c r="XEW21" s="64"/>
      <c r="XEX21" s="64"/>
      <c r="XEY21" s="64"/>
      <c r="XEZ21" s="64"/>
      <c r="XFA21" s="64"/>
      <c r="XFB21" s="64"/>
      <c r="XFC21" s="64"/>
      <c r="XFD21" s="64"/>
    </row>
    <row r="22" ht="25.95" customHeight="1" spans="1:16">
      <c r="A22" s="1" t="s">
        <v>162</v>
      </c>
      <c r="B22" s="221" t="s">
        <v>175</v>
      </c>
      <c r="C22" s="1"/>
      <c r="D22" s="1">
        <v>2</v>
      </c>
      <c r="E22" s="1">
        <v>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ht="25.95" customHeight="1" spans="1:16">
      <c r="A23" s="1" t="s">
        <v>167</v>
      </c>
      <c r="B23" s="221" t="s">
        <v>176</v>
      </c>
      <c r="C23" s="1"/>
      <c r="D23" s="1">
        <v>2</v>
      </c>
      <c r="E23" s="1">
        <v>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ht="25.95" customHeight="1" spans="1:16">
      <c r="A24" s="1" t="s">
        <v>162</v>
      </c>
      <c r="B24" s="221" t="s">
        <v>177</v>
      </c>
      <c r="C24" s="1"/>
      <c r="D24" s="1">
        <v>2</v>
      </c>
      <c r="E24" s="1"/>
      <c r="F24" s="1"/>
      <c r="G24" s="1">
        <v>10</v>
      </c>
      <c r="H24" s="1"/>
      <c r="I24" s="1"/>
      <c r="J24" s="1"/>
      <c r="K24" s="1"/>
      <c r="L24" s="1"/>
      <c r="M24" s="1"/>
      <c r="N24" s="1"/>
      <c r="O24" s="1"/>
      <c r="P24" s="1"/>
    </row>
    <row r="25" customFormat="1" ht="25.95" customHeight="1" spans="1:16384">
      <c r="A25" s="1" t="s">
        <v>167</v>
      </c>
      <c r="B25" s="221" t="s">
        <v>178</v>
      </c>
      <c r="C25" s="1"/>
      <c r="D25" s="1">
        <v>2</v>
      </c>
      <c r="E25" s="1"/>
      <c r="F25" s="1"/>
      <c r="G25" s="1">
        <v>6</v>
      </c>
      <c r="H25" s="1"/>
      <c r="I25" s="1"/>
      <c r="J25" s="1"/>
      <c r="K25" s="1"/>
      <c r="L25" s="1"/>
      <c r="M25" s="1"/>
      <c r="N25" s="1"/>
      <c r="O25" s="1"/>
      <c r="P25" s="1"/>
      <c r="Q25" s="75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  <c r="FN25" s="64"/>
      <c r="FO25" s="64"/>
      <c r="FP25" s="64"/>
      <c r="FQ25" s="64"/>
      <c r="FR25" s="64"/>
      <c r="FS25" s="64"/>
      <c r="FT25" s="64"/>
      <c r="FU25" s="64"/>
      <c r="FV25" s="64"/>
      <c r="FW25" s="64"/>
      <c r="FX25" s="64"/>
      <c r="FY25" s="64"/>
      <c r="FZ25" s="64"/>
      <c r="GA25" s="64"/>
      <c r="GB25" s="64"/>
      <c r="GC25" s="64"/>
      <c r="GD25" s="64"/>
      <c r="GE25" s="64"/>
      <c r="GF25" s="64"/>
      <c r="GG25" s="64"/>
      <c r="GH25" s="64"/>
      <c r="GI25" s="64"/>
      <c r="GJ25" s="64"/>
      <c r="GK25" s="64"/>
      <c r="GL25" s="64"/>
      <c r="GM25" s="64"/>
      <c r="GN25" s="64"/>
      <c r="GO25" s="64"/>
      <c r="GP25" s="64"/>
      <c r="GQ25" s="64"/>
      <c r="GR25" s="64"/>
      <c r="GS25" s="64"/>
      <c r="GT25" s="64"/>
      <c r="GU25" s="64"/>
      <c r="GV25" s="64"/>
      <c r="GW25" s="64"/>
      <c r="GX25" s="64"/>
      <c r="GY25" s="64"/>
      <c r="GZ25" s="64"/>
      <c r="HA25" s="64"/>
      <c r="HB25" s="64"/>
      <c r="HC25" s="64"/>
      <c r="HD25" s="64"/>
      <c r="HE25" s="64"/>
      <c r="HF25" s="64"/>
      <c r="HG25" s="64"/>
      <c r="HH25" s="64"/>
      <c r="HI25" s="64"/>
      <c r="HJ25" s="64"/>
      <c r="HK25" s="64"/>
      <c r="HL25" s="64"/>
      <c r="HM25" s="64"/>
      <c r="HN25" s="64"/>
      <c r="HO25" s="64"/>
      <c r="HP25" s="64"/>
      <c r="HQ25" s="64"/>
      <c r="HR25" s="64"/>
      <c r="HS25" s="64"/>
      <c r="HT25" s="64"/>
      <c r="HU25" s="64"/>
      <c r="HV25" s="64"/>
      <c r="HW25" s="64"/>
      <c r="HX25" s="64"/>
      <c r="HY25" s="64"/>
      <c r="HZ25" s="64"/>
      <c r="IA25" s="64"/>
      <c r="IB25" s="64"/>
      <c r="IC25" s="64"/>
      <c r="ID25" s="64"/>
      <c r="IE25" s="64"/>
      <c r="IF25" s="64"/>
      <c r="IG25" s="64"/>
      <c r="IH25" s="64"/>
      <c r="II25" s="64"/>
      <c r="IJ25" s="64"/>
      <c r="IK25" s="64"/>
      <c r="IL25" s="64"/>
      <c r="IM25" s="64"/>
      <c r="IN25" s="64"/>
      <c r="IO25" s="64"/>
      <c r="IP25" s="64"/>
      <c r="IQ25" s="64"/>
      <c r="IR25" s="64"/>
      <c r="IS25" s="64"/>
      <c r="IT25" s="64"/>
      <c r="IU25" s="64"/>
      <c r="IV25" s="64"/>
      <c r="IW25" s="64"/>
      <c r="IX25" s="64"/>
      <c r="IY25" s="64"/>
      <c r="IZ25" s="64"/>
      <c r="JA25" s="64"/>
      <c r="JB25" s="64"/>
      <c r="JC25" s="64"/>
      <c r="JD25" s="64"/>
      <c r="JE25" s="64"/>
      <c r="JF25" s="64"/>
      <c r="JG25" s="64"/>
      <c r="JH25" s="64"/>
      <c r="JI25" s="64"/>
      <c r="JJ25" s="64"/>
      <c r="JK25" s="64"/>
      <c r="JL25" s="64"/>
      <c r="JM25" s="64"/>
      <c r="JN25" s="64"/>
      <c r="JO25" s="64"/>
      <c r="JP25" s="64"/>
      <c r="JQ25" s="64"/>
      <c r="JR25" s="64"/>
      <c r="JS25" s="64"/>
      <c r="JT25" s="64"/>
      <c r="JU25" s="64"/>
      <c r="JV25" s="64"/>
      <c r="JW25" s="64"/>
      <c r="JX25" s="64"/>
      <c r="JY25" s="64"/>
      <c r="JZ25" s="64"/>
      <c r="KA25" s="64"/>
      <c r="KB25" s="64"/>
      <c r="KC25" s="64"/>
      <c r="KD25" s="64"/>
      <c r="KE25" s="64"/>
      <c r="KF25" s="64"/>
      <c r="KG25" s="64"/>
      <c r="KH25" s="64"/>
      <c r="KI25" s="64"/>
      <c r="KJ25" s="64"/>
      <c r="KK25" s="64"/>
      <c r="KL25" s="64"/>
      <c r="KM25" s="64"/>
      <c r="KN25" s="64"/>
      <c r="KO25" s="64"/>
      <c r="KP25" s="64"/>
      <c r="KQ25" s="64"/>
      <c r="KR25" s="64"/>
      <c r="KS25" s="64"/>
      <c r="KT25" s="64"/>
      <c r="KU25" s="64"/>
      <c r="KV25" s="64"/>
      <c r="KW25" s="64"/>
      <c r="KX25" s="64"/>
      <c r="KY25" s="64"/>
      <c r="KZ25" s="64"/>
      <c r="LA25" s="64"/>
      <c r="LB25" s="64"/>
      <c r="LC25" s="64"/>
      <c r="LD25" s="64"/>
      <c r="LE25" s="64"/>
      <c r="LF25" s="64"/>
      <c r="LG25" s="64"/>
      <c r="LH25" s="64"/>
      <c r="LI25" s="64"/>
      <c r="LJ25" s="64"/>
      <c r="LK25" s="64"/>
      <c r="LL25" s="64"/>
      <c r="LM25" s="64"/>
      <c r="LN25" s="64"/>
      <c r="LO25" s="64"/>
      <c r="LP25" s="64"/>
      <c r="LQ25" s="64"/>
      <c r="LR25" s="64"/>
      <c r="LS25" s="64"/>
      <c r="LT25" s="64"/>
      <c r="LU25" s="64"/>
      <c r="LV25" s="64"/>
      <c r="LW25" s="64"/>
      <c r="LX25" s="64"/>
      <c r="LY25" s="64"/>
      <c r="LZ25" s="64"/>
      <c r="MA25" s="64"/>
      <c r="MB25" s="64"/>
      <c r="MC25" s="64"/>
      <c r="MD25" s="64"/>
      <c r="ME25" s="64"/>
      <c r="MF25" s="64"/>
      <c r="MG25" s="64"/>
      <c r="MH25" s="64"/>
      <c r="MI25" s="64"/>
      <c r="MJ25" s="64"/>
      <c r="MK25" s="64"/>
      <c r="ML25" s="64"/>
      <c r="MM25" s="64"/>
      <c r="MN25" s="64"/>
      <c r="MO25" s="64"/>
      <c r="MP25" s="64"/>
      <c r="MQ25" s="64"/>
      <c r="MR25" s="64"/>
      <c r="MS25" s="64"/>
      <c r="MT25" s="64"/>
      <c r="MU25" s="64"/>
      <c r="MV25" s="64"/>
      <c r="MW25" s="64"/>
      <c r="MX25" s="64"/>
      <c r="MY25" s="64"/>
      <c r="MZ25" s="64"/>
      <c r="NA25" s="64"/>
      <c r="NB25" s="64"/>
      <c r="NC25" s="64"/>
      <c r="ND25" s="64"/>
      <c r="NE25" s="64"/>
      <c r="NF25" s="64"/>
      <c r="NG25" s="64"/>
      <c r="NH25" s="64"/>
      <c r="NI25" s="64"/>
      <c r="NJ25" s="64"/>
      <c r="NK25" s="64"/>
      <c r="NL25" s="64"/>
      <c r="NM25" s="64"/>
      <c r="NN25" s="64"/>
      <c r="NO25" s="64"/>
      <c r="NP25" s="64"/>
      <c r="NQ25" s="64"/>
      <c r="NR25" s="64"/>
      <c r="NS25" s="64"/>
      <c r="NT25" s="64"/>
      <c r="NU25" s="64"/>
      <c r="NV25" s="64"/>
      <c r="NW25" s="64"/>
      <c r="NX25" s="64"/>
      <c r="NY25" s="64"/>
      <c r="NZ25" s="64"/>
      <c r="OA25" s="64"/>
      <c r="OB25" s="64"/>
      <c r="OC25" s="64"/>
      <c r="OD25" s="64"/>
      <c r="OE25" s="64"/>
      <c r="OF25" s="64"/>
      <c r="OG25" s="64"/>
      <c r="OH25" s="64"/>
      <c r="OI25" s="64"/>
      <c r="OJ25" s="64"/>
      <c r="OK25" s="64"/>
      <c r="OL25" s="64"/>
      <c r="OM25" s="64"/>
      <c r="ON25" s="64"/>
      <c r="OO25" s="64"/>
      <c r="OP25" s="64"/>
      <c r="OQ25" s="64"/>
      <c r="OR25" s="64"/>
      <c r="OS25" s="64"/>
      <c r="OT25" s="64"/>
      <c r="OU25" s="64"/>
      <c r="OV25" s="64"/>
      <c r="OW25" s="64"/>
      <c r="OX25" s="64"/>
      <c r="OY25" s="64"/>
      <c r="OZ25" s="64"/>
      <c r="PA25" s="64"/>
      <c r="PB25" s="64"/>
      <c r="PC25" s="64"/>
      <c r="PD25" s="64"/>
      <c r="PE25" s="64"/>
      <c r="PF25" s="64"/>
      <c r="PG25" s="64"/>
      <c r="PH25" s="64"/>
      <c r="PI25" s="64"/>
      <c r="PJ25" s="64"/>
      <c r="PK25" s="64"/>
      <c r="PL25" s="64"/>
      <c r="PM25" s="64"/>
      <c r="PN25" s="64"/>
      <c r="PO25" s="64"/>
      <c r="PP25" s="64"/>
      <c r="PQ25" s="64"/>
      <c r="PR25" s="64"/>
      <c r="PS25" s="64"/>
      <c r="PT25" s="64"/>
      <c r="PU25" s="64"/>
      <c r="PV25" s="64"/>
      <c r="PW25" s="64"/>
      <c r="PX25" s="64"/>
      <c r="PY25" s="64"/>
      <c r="PZ25" s="64"/>
      <c r="QA25" s="64"/>
      <c r="QB25" s="64"/>
      <c r="QC25" s="64"/>
      <c r="QD25" s="64"/>
      <c r="QE25" s="64"/>
      <c r="QF25" s="64"/>
      <c r="QG25" s="64"/>
      <c r="QH25" s="64"/>
      <c r="QI25" s="64"/>
      <c r="QJ25" s="64"/>
      <c r="QK25" s="64"/>
      <c r="QL25" s="64"/>
      <c r="QM25" s="64"/>
      <c r="QN25" s="64"/>
      <c r="QO25" s="64"/>
      <c r="QP25" s="64"/>
      <c r="QQ25" s="64"/>
      <c r="QR25" s="64"/>
      <c r="QS25" s="64"/>
      <c r="QT25" s="64"/>
      <c r="QU25" s="64"/>
      <c r="QV25" s="64"/>
      <c r="QW25" s="64"/>
      <c r="QX25" s="64"/>
      <c r="QY25" s="64"/>
      <c r="QZ25" s="64"/>
      <c r="RA25" s="64"/>
      <c r="RB25" s="64"/>
      <c r="RC25" s="64"/>
      <c r="RD25" s="64"/>
      <c r="RE25" s="64"/>
      <c r="RF25" s="64"/>
      <c r="RG25" s="64"/>
      <c r="RH25" s="64"/>
      <c r="RI25" s="64"/>
      <c r="RJ25" s="64"/>
      <c r="RK25" s="64"/>
      <c r="RL25" s="64"/>
      <c r="RM25" s="64"/>
      <c r="RN25" s="64"/>
      <c r="RO25" s="64"/>
      <c r="RP25" s="64"/>
      <c r="RQ25" s="64"/>
      <c r="RR25" s="64"/>
      <c r="RS25" s="64"/>
      <c r="RT25" s="64"/>
      <c r="RU25" s="64"/>
      <c r="RV25" s="64"/>
      <c r="RW25" s="64"/>
      <c r="RX25" s="64"/>
      <c r="RY25" s="64"/>
      <c r="RZ25" s="64"/>
      <c r="SA25" s="64"/>
      <c r="SB25" s="64"/>
      <c r="SC25" s="64"/>
      <c r="SD25" s="64"/>
      <c r="SE25" s="64"/>
      <c r="SF25" s="64"/>
      <c r="SG25" s="64"/>
      <c r="SH25" s="64"/>
      <c r="SI25" s="64"/>
      <c r="SJ25" s="64"/>
      <c r="SK25" s="64"/>
      <c r="SL25" s="64"/>
      <c r="SM25" s="64"/>
      <c r="SN25" s="64"/>
      <c r="SO25" s="64"/>
      <c r="SP25" s="64"/>
      <c r="SQ25" s="64"/>
      <c r="SR25" s="64"/>
      <c r="SS25" s="64"/>
      <c r="ST25" s="64"/>
      <c r="SU25" s="64"/>
      <c r="SV25" s="64"/>
      <c r="SW25" s="64"/>
      <c r="SX25" s="64"/>
      <c r="SY25" s="64"/>
      <c r="SZ25" s="64"/>
      <c r="TA25" s="64"/>
      <c r="TB25" s="64"/>
      <c r="TC25" s="64"/>
      <c r="TD25" s="64"/>
      <c r="TE25" s="64"/>
      <c r="TF25" s="64"/>
      <c r="TG25" s="64"/>
      <c r="TH25" s="64"/>
      <c r="TI25" s="64"/>
      <c r="TJ25" s="64"/>
      <c r="TK25" s="64"/>
      <c r="TL25" s="64"/>
      <c r="TM25" s="64"/>
      <c r="TN25" s="64"/>
      <c r="TO25" s="64"/>
      <c r="TP25" s="64"/>
      <c r="TQ25" s="64"/>
      <c r="TR25" s="64"/>
      <c r="TS25" s="64"/>
      <c r="TT25" s="64"/>
      <c r="TU25" s="64"/>
      <c r="TV25" s="64"/>
      <c r="TW25" s="64"/>
      <c r="TX25" s="64"/>
      <c r="TY25" s="64"/>
      <c r="TZ25" s="64"/>
      <c r="UA25" s="64"/>
      <c r="UB25" s="64"/>
      <c r="UC25" s="64"/>
      <c r="UD25" s="64"/>
      <c r="UE25" s="64"/>
      <c r="UF25" s="64"/>
      <c r="UG25" s="64"/>
      <c r="UH25" s="64"/>
      <c r="UI25" s="64"/>
      <c r="UJ25" s="64"/>
      <c r="UK25" s="64"/>
      <c r="UL25" s="64"/>
      <c r="UM25" s="64"/>
      <c r="UN25" s="64"/>
      <c r="UO25" s="64"/>
      <c r="UP25" s="64"/>
      <c r="UQ25" s="64"/>
      <c r="UR25" s="64"/>
      <c r="US25" s="64"/>
      <c r="UT25" s="64"/>
      <c r="UU25" s="64"/>
      <c r="UV25" s="64"/>
      <c r="UW25" s="64"/>
      <c r="UX25" s="64"/>
      <c r="UY25" s="64"/>
      <c r="UZ25" s="64"/>
      <c r="VA25" s="64"/>
      <c r="VB25" s="64"/>
      <c r="VC25" s="64"/>
      <c r="VD25" s="64"/>
      <c r="VE25" s="64"/>
      <c r="VF25" s="64"/>
      <c r="VG25" s="64"/>
      <c r="VH25" s="64"/>
      <c r="VI25" s="64"/>
      <c r="VJ25" s="64"/>
      <c r="VK25" s="64"/>
      <c r="VL25" s="64"/>
      <c r="VM25" s="64"/>
      <c r="VN25" s="64"/>
      <c r="VO25" s="64"/>
      <c r="VP25" s="64"/>
      <c r="VQ25" s="64"/>
      <c r="VR25" s="64"/>
      <c r="VS25" s="64"/>
      <c r="VT25" s="64"/>
      <c r="VU25" s="64"/>
      <c r="VV25" s="64"/>
      <c r="VW25" s="64"/>
      <c r="VX25" s="64"/>
      <c r="VY25" s="64"/>
      <c r="VZ25" s="64"/>
      <c r="WA25" s="64"/>
      <c r="WB25" s="64"/>
      <c r="WC25" s="64"/>
      <c r="WD25" s="64"/>
      <c r="WE25" s="64"/>
      <c r="WF25" s="64"/>
      <c r="WG25" s="64"/>
      <c r="WH25" s="64"/>
      <c r="WI25" s="64"/>
      <c r="WJ25" s="64"/>
      <c r="WK25" s="64"/>
      <c r="WL25" s="64"/>
      <c r="WM25" s="64"/>
      <c r="WN25" s="64"/>
      <c r="WO25" s="64"/>
      <c r="WP25" s="64"/>
      <c r="WQ25" s="64"/>
      <c r="WR25" s="64"/>
      <c r="WS25" s="64"/>
      <c r="WT25" s="64"/>
      <c r="WU25" s="64"/>
      <c r="WV25" s="64"/>
      <c r="WW25" s="64"/>
      <c r="WX25" s="64"/>
      <c r="WY25" s="64"/>
      <c r="WZ25" s="64"/>
      <c r="XA25" s="64"/>
      <c r="XB25" s="64"/>
      <c r="XC25" s="64"/>
      <c r="XD25" s="64"/>
      <c r="XE25" s="64"/>
      <c r="XF25" s="64"/>
      <c r="XG25" s="64"/>
      <c r="XH25" s="64"/>
      <c r="XI25" s="64"/>
      <c r="XJ25" s="64"/>
      <c r="XK25" s="64"/>
      <c r="XL25" s="64"/>
      <c r="XM25" s="64"/>
      <c r="XN25" s="64"/>
      <c r="XO25" s="64"/>
      <c r="XP25" s="64"/>
      <c r="XQ25" s="64"/>
      <c r="XR25" s="64"/>
      <c r="XS25" s="64"/>
      <c r="XT25" s="64"/>
      <c r="XU25" s="64"/>
      <c r="XV25" s="64"/>
      <c r="XW25" s="64"/>
      <c r="XX25" s="64"/>
      <c r="XY25" s="64"/>
      <c r="XZ25" s="64"/>
      <c r="YA25" s="64"/>
      <c r="YB25" s="64"/>
      <c r="YC25" s="64"/>
      <c r="YD25" s="64"/>
      <c r="YE25" s="64"/>
      <c r="YF25" s="64"/>
      <c r="YG25" s="64"/>
      <c r="YH25" s="64"/>
      <c r="YI25" s="64"/>
      <c r="YJ25" s="64"/>
      <c r="YK25" s="64"/>
      <c r="YL25" s="64"/>
      <c r="YM25" s="64"/>
      <c r="YN25" s="64"/>
      <c r="YO25" s="64"/>
      <c r="YP25" s="64"/>
      <c r="YQ25" s="64"/>
      <c r="YR25" s="64"/>
      <c r="YS25" s="64"/>
      <c r="YT25" s="64"/>
      <c r="YU25" s="64"/>
      <c r="YV25" s="64"/>
      <c r="YW25" s="64"/>
      <c r="YX25" s="64"/>
      <c r="YY25" s="64"/>
      <c r="YZ25" s="64"/>
      <c r="ZA25" s="64"/>
      <c r="ZB25" s="64"/>
      <c r="ZC25" s="64"/>
      <c r="ZD25" s="64"/>
      <c r="ZE25" s="64"/>
      <c r="ZF25" s="64"/>
      <c r="ZG25" s="64"/>
      <c r="ZH25" s="64"/>
      <c r="ZI25" s="64"/>
      <c r="ZJ25" s="64"/>
      <c r="ZK25" s="64"/>
      <c r="ZL25" s="64"/>
      <c r="ZM25" s="64"/>
      <c r="ZN25" s="64"/>
      <c r="ZO25" s="64"/>
      <c r="ZP25" s="64"/>
      <c r="ZQ25" s="64"/>
      <c r="ZR25" s="64"/>
      <c r="ZS25" s="64"/>
      <c r="ZT25" s="64"/>
      <c r="ZU25" s="64"/>
      <c r="ZV25" s="64"/>
      <c r="ZW25" s="64"/>
      <c r="ZX25" s="64"/>
      <c r="ZY25" s="64"/>
      <c r="ZZ25" s="64"/>
      <c r="AAA25" s="64"/>
      <c r="AAB25" s="64"/>
      <c r="AAC25" s="64"/>
      <c r="AAD25" s="64"/>
      <c r="AAE25" s="64"/>
      <c r="AAF25" s="64"/>
      <c r="AAG25" s="64"/>
      <c r="AAH25" s="64"/>
      <c r="AAI25" s="64"/>
      <c r="AAJ25" s="64"/>
      <c r="AAK25" s="64"/>
      <c r="AAL25" s="64"/>
      <c r="AAM25" s="64"/>
      <c r="AAN25" s="64"/>
      <c r="AAO25" s="64"/>
      <c r="AAP25" s="64"/>
      <c r="AAQ25" s="64"/>
      <c r="AAR25" s="64"/>
      <c r="AAS25" s="64"/>
      <c r="AAT25" s="64"/>
      <c r="AAU25" s="64"/>
      <c r="AAV25" s="64"/>
      <c r="AAW25" s="64"/>
      <c r="AAX25" s="64"/>
      <c r="AAY25" s="64"/>
      <c r="AAZ25" s="64"/>
      <c r="ABA25" s="64"/>
      <c r="ABB25" s="64"/>
      <c r="ABC25" s="64"/>
      <c r="ABD25" s="64"/>
      <c r="ABE25" s="64"/>
      <c r="ABF25" s="64"/>
      <c r="ABG25" s="64"/>
      <c r="ABH25" s="64"/>
      <c r="ABI25" s="64"/>
      <c r="ABJ25" s="64"/>
      <c r="ABK25" s="64"/>
      <c r="ABL25" s="64"/>
      <c r="ABM25" s="64"/>
      <c r="ABN25" s="64"/>
      <c r="ABO25" s="64"/>
      <c r="ABP25" s="64"/>
      <c r="ABQ25" s="64"/>
      <c r="ABR25" s="64"/>
      <c r="ABS25" s="64"/>
      <c r="ABT25" s="64"/>
      <c r="ABU25" s="64"/>
      <c r="ABV25" s="64"/>
      <c r="ABW25" s="64"/>
      <c r="ABX25" s="64"/>
      <c r="ABY25" s="64"/>
      <c r="ABZ25" s="64"/>
      <c r="ACA25" s="64"/>
      <c r="ACB25" s="64"/>
      <c r="ACC25" s="64"/>
      <c r="ACD25" s="64"/>
      <c r="ACE25" s="64"/>
      <c r="ACF25" s="64"/>
      <c r="ACG25" s="64"/>
      <c r="ACH25" s="64"/>
      <c r="ACI25" s="64"/>
      <c r="ACJ25" s="64"/>
      <c r="ACK25" s="64"/>
      <c r="ACL25" s="64"/>
      <c r="ACM25" s="64"/>
      <c r="ACN25" s="64"/>
      <c r="ACO25" s="64"/>
      <c r="ACP25" s="64"/>
      <c r="ACQ25" s="64"/>
      <c r="ACR25" s="64"/>
      <c r="ACS25" s="64"/>
      <c r="ACT25" s="64"/>
      <c r="ACU25" s="64"/>
      <c r="ACV25" s="64"/>
      <c r="ACW25" s="64"/>
      <c r="ACX25" s="64"/>
      <c r="ACY25" s="64"/>
      <c r="ACZ25" s="64"/>
      <c r="ADA25" s="64"/>
      <c r="ADB25" s="64"/>
      <c r="ADC25" s="64"/>
      <c r="ADD25" s="64"/>
      <c r="ADE25" s="64"/>
      <c r="ADF25" s="64"/>
      <c r="ADG25" s="64"/>
      <c r="ADH25" s="64"/>
      <c r="ADI25" s="64"/>
      <c r="ADJ25" s="64"/>
      <c r="ADK25" s="64"/>
      <c r="ADL25" s="64"/>
      <c r="ADM25" s="64"/>
      <c r="ADN25" s="64"/>
      <c r="ADO25" s="64"/>
      <c r="ADP25" s="64"/>
      <c r="ADQ25" s="64"/>
      <c r="ADR25" s="64"/>
      <c r="ADS25" s="64"/>
      <c r="ADT25" s="64"/>
      <c r="ADU25" s="64"/>
      <c r="ADV25" s="64"/>
      <c r="ADW25" s="64"/>
      <c r="ADX25" s="64"/>
      <c r="ADY25" s="64"/>
      <c r="ADZ25" s="64"/>
      <c r="AEA25" s="64"/>
      <c r="AEB25" s="64"/>
      <c r="AEC25" s="64"/>
      <c r="AED25" s="64"/>
      <c r="AEE25" s="64"/>
      <c r="AEF25" s="64"/>
      <c r="AEG25" s="64"/>
      <c r="AEH25" s="64"/>
      <c r="AEI25" s="64"/>
      <c r="AEJ25" s="64"/>
      <c r="AEK25" s="64"/>
      <c r="AEL25" s="64"/>
      <c r="AEM25" s="64"/>
      <c r="AEN25" s="64"/>
      <c r="AEO25" s="64"/>
      <c r="AEP25" s="64"/>
      <c r="AEQ25" s="64"/>
      <c r="AER25" s="64"/>
      <c r="AES25" s="64"/>
      <c r="AET25" s="64"/>
      <c r="AEU25" s="64"/>
      <c r="AEV25" s="64"/>
      <c r="AEW25" s="64"/>
      <c r="AEX25" s="64"/>
      <c r="AEY25" s="64"/>
      <c r="AEZ25" s="64"/>
      <c r="AFA25" s="64"/>
      <c r="AFB25" s="64"/>
      <c r="AFC25" s="64"/>
      <c r="AFD25" s="64"/>
      <c r="AFE25" s="64"/>
      <c r="AFF25" s="64"/>
      <c r="AFG25" s="64"/>
      <c r="AFH25" s="64"/>
      <c r="AFI25" s="64"/>
      <c r="AFJ25" s="64"/>
      <c r="AFK25" s="64"/>
      <c r="AFL25" s="64"/>
      <c r="AFM25" s="64"/>
      <c r="AFN25" s="64"/>
      <c r="AFO25" s="64"/>
      <c r="AFP25" s="64"/>
      <c r="AFQ25" s="64"/>
      <c r="AFR25" s="64"/>
      <c r="AFS25" s="64"/>
      <c r="AFT25" s="64"/>
      <c r="AFU25" s="64"/>
      <c r="AFV25" s="64"/>
      <c r="AFW25" s="64"/>
      <c r="AFX25" s="64"/>
      <c r="AFY25" s="64"/>
      <c r="AFZ25" s="64"/>
      <c r="AGA25" s="64"/>
      <c r="AGB25" s="64"/>
      <c r="AGC25" s="64"/>
      <c r="AGD25" s="64"/>
      <c r="AGE25" s="64"/>
      <c r="AGF25" s="64"/>
      <c r="AGG25" s="64"/>
      <c r="AGH25" s="64"/>
      <c r="AGI25" s="64"/>
      <c r="AGJ25" s="64"/>
      <c r="AGK25" s="64"/>
      <c r="AGL25" s="64"/>
      <c r="AGM25" s="64"/>
      <c r="AGN25" s="64"/>
      <c r="AGO25" s="64"/>
      <c r="AGP25" s="64"/>
      <c r="AGQ25" s="64"/>
      <c r="AGR25" s="64"/>
      <c r="AGS25" s="64"/>
      <c r="AGT25" s="64"/>
      <c r="AGU25" s="64"/>
      <c r="AGV25" s="64"/>
      <c r="AGW25" s="64"/>
      <c r="AGX25" s="64"/>
      <c r="AGY25" s="64"/>
      <c r="AGZ25" s="64"/>
      <c r="AHA25" s="64"/>
      <c r="AHB25" s="64"/>
      <c r="AHC25" s="64"/>
      <c r="AHD25" s="64"/>
      <c r="AHE25" s="64"/>
      <c r="AHF25" s="64"/>
      <c r="AHG25" s="64"/>
      <c r="AHH25" s="64"/>
      <c r="AHI25" s="64"/>
      <c r="AHJ25" s="64"/>
      <c r="AHK25" s="64"/>
      <c r="AHL25" s="64"/>
      <c r="AHM25" s="64"/>
      <c r="AHN25" s="64"/>
      <c r="AHO25" s="64"/>
      <c r="AHP25" s="64"/>
      <c r="AHQ25" s="64"/>
      <c r="AHR25" s="64"/>
      <c r="AHS25" s="64"/>
      <c r="AHT25" s="64"/>
      <c r="AHU25" s="64"/>
      <c r="AHV25" s="64"/>
      <c r="AHW25" s="64"/>
      <c r="AHX25" s="64"/>
      <c r="AHY25" s="64"/>
      <c r="AHZ25" s="64"/>
      <c r="AIA25" s="64"/>
      <c r="AIB25" s="64"/>
      <c r="AIC25" s="64"/>
      <c r="AID25" s="64"/>
      <c r="AIE25" s="64"/>
      <c r="AIF25" s="64"/>
      <c r="AIG25" s="64"/>
      <c r="AIH25" s="64"/>
      <c r="AII25" s="64"/>
      <c r="AIJ25" s="64"/>
      <c r="AIK25" s="64"/>
      <c r="AIL25" s="64"/>
      <c r="AIM25" s="64"/>
      <c r="AIN25" s="64"/>
      <c r="AIO25" s="64"/>
      <c r="AIP25" s="64"/>
      <c r="AIQ25" s="64"/>
      <c r="AIR25" s="64"/>
      <c r="AIS25" s="64"/>
      <c r="AIT25" s="64"/>
      <c r="AIU25" s="64"/>
      <c r="AIV25" s="64"/>
      <c r="AIW25" s="64"/>
      <c r="AIX25" s="64"/>
      <c r="AIY25" s="64"/>
      <c r="AIZ25" s="64"/>
      <c r="AJA25" s="64"/>
      <c r="AJB25" s="64"/>
      <c r="AJC25" s="64"/>
      <c r="AJD25" s="64"/>
      <c r="AJE25" s="64"/>
      <c r="AJF25" s="64"/>
      <c r="AJG25" s="64"/>
      <c r="AJH25" s="64"/>
      <c r="AJI25" s="64"/>
      <c r="AJJ25" s="64"/>
      <c r="AJK25" s="64"/>
      <c r="AJL25" s="64"/>
      <c r="AJM25" s="64"/>
      <c r="AJN25" s="64"/>
      <c r="AJO25" s="64"/>
      <c r="AJP25" s="64"/>
      <c r="AJQ25" s="64"/>
      <c r="AJR25" s="64"/>
      <c r="AJS25" s="64"/>
      <c r="AJT25" s="64"/>
      <c r="AJU25" s="64"/>
      <c r="AJV25" s="64"/>
      <c r="AJW25" s="64"/>
      <c r="AJX25" s="64"/>
      <c r="AJY25" s="64"/>
      <c r="AJZ25" s="64"/>
      <c r="AKA25" s="64"/>
      <c r="AKB25" s="64"/>
      <c r="AKC25" s="64"/>
      <c r="AKD25" s="64"/>
      <c r="AKE25" s="64"/>
      <c r="AKF25" s="64"/>
      <c r="AKG25" s="64"/>
      <c r="AKH25" s="64"/>
      <c r="AKI25" s="64"/>
      <c r="AKJ25" s="64"/>
      <c r="AKK25" s="64"/>
      <c r="AKL25" s="64"/>
      <c r="AKM25" s="64"/>
      <c r="AKN25" s="64"/>
      <c r="AKO25" s="64"/>
      <c r="AKP25" s="64"/>
      <c r="AKQ25" s="64"/>
      <c r="AKR25" s="64"/>
      <c r="AKS25" s="64"/>
      <c r="AKT25" s="64"/>
      <c r="AKU25" s="64"/>
      <c r="AKV25" s="64"/>
      <c r="AKW25" s="64"/>
      <c r="AKX25" s="64"/>
      <c r="AKY25" s="64"/>
      <c r="AKZ25" s="64"/>
      <c r="ALA25" s="64"/>
      <c r="ALB25" s="64"/>
      <c r="ALC25" s="64"/>
      <c r="ALD25" s="64"/>
      <c r="ALE25" s="64"/>
      <c r="ALF25" s="64"/>
      <c r="ALG25" s="64"/>
      <c r="ALH25" s="64"/>
      <c r="ALI25" s="64"/>
      <c r="ALJ25" s="64"/>
      <c r="ALK25" s="64"/>
      <c r="ALL25" s="64"/>
      <c r="ALM25" s="64"/>
      <c r="ALN25" s="64"/>
      <c r="ALO25" s="64"/>
      <c r="ALP25" s="64"/>
      <c r="ALQ25" s="64"/>
      <c r="ALR25" s="64"/>
      <c r="ALS25" s="64"/>
      <c r="ALT25" s="64"/>
      <c r="ALU25" s="64"/>
      <c r="ALV25" s="64"/>
      <c r="ALW25" s="64"/>
      <c r="ALX25" s="64"/>
      <c r="ALY25" s="64"/>
      <c r="ALZ25" s="64"/>
      <c r="AMA25" s="64"/>
      <c r="AMB25" s="64"/>
      <c r="AMC25" s="64"/>
      <c r="AMD25" s="64"/>
      <c r="AME25" s="64"/>
      <c r="AMF25" s="64"/>
      <c r="AMG25" s="64"/>
      <c r="AMH25" s="64"/>
      <c r="AMI25" s="64"/>
      <c r="AMJ25" s="64"/>
      <c r="AMK25" s="64"/>
      <c r="AML25" s="64"/>
      <c r="AMM25" s="64"/>
      <c r="AMN25" s="64"/>
      <c r="AMO25" s="64"/>
      <c r="AMP25" s="64"/>
      <c r="AMQ25" s="64"/>
      <c r="AMR25" s="64"/>
      <c r="AMS25" s="64"/>
      <c r="AMT25" s="64"/>
      <c r="AMU25" s="64"/>
      <c r="AMV25" s="64"/>
      <c r="AMW25" s="64"/>
      <c r="AMX25" s="64"/>
      <c r="AMY25" s="64"/>
      <c r="AMZ25" s="64"/>
      <c r="ANA25" s="64"/>
      <c r="ANB25" s="64"/>
      <c r="ANC25" s="64"/>
      <c r="AND25" s="64"/>
      <c r="ANE25" s="64"/>
      <c r="ANF25" s="64"/>
      <c r="ANG25" s="64"/>
      <c r="ANH25" s="64"/>
      <c r="ANI25" s="64"/>
      <c r="ANJ25" s="64"/>
      <c r="ANK25" s="64"/>
      <c r="ANL25" s="64"/>
      <c r="ANM25" s="64"/>
      <c r="ANN25" s="64"/>
      <c r="ANO25" s="64"/>
      <c r="ANP25" s="64"/>
      <c r="ANQ25" s="64"/>
      <c r="ANR25" s="64"/>
      <c r="ANS25" s="64"/>
      <c r="ANT25" s="64"/>
      <c r="ANU25" s="64"/>
      <c r="ANV25" s="64"/>
      <c r="ANW25" s="64"/>
      <c r="ANX25" s="64"/>
      <c r="ANY25" s="64"/>
      <c r="ANZ25" s="64"/>
      <c r="AOA25" s="64"/>
      <c r="AOB25" s="64"/>
      <c r="AOC25" s="64"/>
      <c r="AOD25" s="64"/>
      <c r="AOE25" s="64"/>
      <c r="AOF25" s="64"/>
      <c r="AOG25" s="64"/>
      <c r="AOH25" s="64"/>
      <c r="AOI25" s="64"/>
      <c r="AOJ25" s="64"/>
      <c r="AOK25" s="64"/>
      <c r="AOL25" s="64"/>
      <c r="AOM25" s="64"/>
      <c r="AON25" s="64"/>
      <c r="AOO25" s="64"/>
      <c r="AOP25" s="64"/>
      <c r="AOQ25" s="64"/>
      <c r="AOR25" s="64"/>
      <c r="AOS25" s="64"/>
      <c r="AOT25" s="64"/>
      <c r="AOU25" s="64"/>
      <c r="AOV25" s="64"/>
      <c r="AOW25" s="64"/>
      <c r="AOX25" s="64"/>
      <c r="AOY25" s="64"/>
      <c r="AOZ25" s="64"/>
      <c r="APA25" s="64"/>
      <c r="APB25" s="64"/>
      <c r="APC25" s="64"/>
      <c r="APD25" s="64"/>
      <c r="APE25" s="64"/>
      <c r="APF25" s="64"/>
      <c r="APG25" s="64"/>
      <c r="APH25" s="64"/>
      <c r="API25" s="64"/>
      <c r="APJ25" s="64"/>
      <c r="APK25" s="64"/>
      <c r="APL25" s="64"/>
      <c r="APM25" s="64"/>
      <c r="APN25" s="64"/>
      <c r="APO25" s="64"/>
      <c r="APP25" s="64"/>
      <c r="APQ25" s="64"/>
      <c r="APR25" s="64"/>
      <c r="APS25" s="64"/>
      <c r="APT25" s="64"/>
      <c r="APU25" s="64"/>
      <c r="APV25" s="64"/>
      <c r="APW25" s="64"/>
      <c r="APX25" s="64"/>
      <c r="APY25" s="64"/>
      <c r="APZ25" s="64"/>
      <c r="AQA25" s="64"/>
      <c r="AQB25" s="64"/>
      <c r="AQC25" s="64"/>
      <c r="AQD25" s="64"/>
      <c r="AQE25" s="64"/>
      <c r="AQF25" s="64"/>
      <c r="AQG25" s="64"/>
      <c r="AQH25" s="64"/>
      <c r="AQI25" s="64"/>
      <c r="AQJ25" s="64"/>
      <c r="AQK25" s="64"/>
      <c r="AQL25" s="64"/>
      <c r="AQM25" s="64"/>
      <c r="AQN25" s="64"/>
      <c r="AQO25" s="64"/>
      <c r="AQP25" s="64"/>
      <c r="AQQ25" s="64"/>
      <c r="AQR25" s="64"/>
      <c r="AQS25" s="64"/>
      <c r="AQT25" s="64"/>
      <c r="AQU25" s="64"/>
      <c r="AQV25" s="64"/>
      <c r="AQW25" s="64"/>
      <c r="AQX25" s="64"/>
      <c r="AQY25" s="64"/>
      <c r="AQZ25" s="64"/>
      <c r="ARA25" s="64"/>
      <c r="ARB25" s="64"/>
      <c r="ARC25" s="64"/>
      <c r="ARD25" s="64"/>
      <c r="ARE25" s="64"/>
      <c r="ARF25" s="64"/>
      <c r="ARG25" s="64"/>
      <c r="ARH25" s="64"/>
      <c r="ARI25" s="64"/>
      <c r="ARJ25" s="64"/>
      <c r="ARK25" s="64"/>
      <c r="ARL25" s="64"/>
      <c r="ARM25" s="64"/>
      <c r="ARN25" s="64"/>
      <c r="ARO25" s="64"/>
      <c r="ARP25" s="64"/>
      <c r="ARQ25" s="64"/>
      <c r="ARR25" s="64"/>
      <c r="ARS25" s="64"/>
      <c r="ART25" s="64"/>
      <c r="ARU25" s="64"/>
      <c r="ARV25" s="64"/>
      <c r="ARW25" s="64"/>
      <c r="ARX25" s="64"/>
      <c r="ARY25" s="64"/>
      <c r="ARZ25" s="64"/>
      <c r="ASA25" s="64"/>
      <c r="ASB25" s="64"/>
      <c r="ASC25" s="64"/>
      <c r="ASD25" s="64"/>
      <c r="ASE25" s="64"/>
      <c r="ASF25" s="64"/>
      <c r="ASG25" s="64"/>
      <c r="ASH25" s="64"/>
      <c r="ASI25" s="64"/>
      <c r="ASJ25" s="64"/>
      <c r="ASK25" s="64"/>
      <c r="ASL25" s="64"/>
      <c r="ASM25" s="64"/>
      <c r="ASN25" s="64"/>
      <c r="ASO25" s="64"/>
      <c r="ASP25" s="64"/>
      <c r="ASQ25" s="64"/>
      <c r="ASR25" s="64"/>
      <c r="ASS25" s="64"/>
      <c r="AST25" s="64"/>
      <c r="ASU25" s="64"/>
      <c r="ASV25" s="64"/>
      <c r="ASW25" s="64"/>
      <c r="ASX25" s="64"/>
      <c r="ASY25" s="64"/>
      <c r="ASZ25" s="64"/>
      <c r="ATA25" s="64"/>
      <c r="ATB25" s="64"/>
      <c r="ATC25" s="64"/>
      <c r="ATD25" s="64"/>
      <c r="ATE25" s="64"/>
      <c r="ATF25" s="64"/>
      <c r="ATG25" s="64"/>
      <c r="ATH25" s="64"/>
      <c r="ATI25" s="64"/>
      <c r="ATJ25" s="64"/>
      <c r="ATK25" s="64"/>
      <c r="ATL25" s="64"/>
      <c r="ATM25" s="64"/>
      <c r="ATN25" s="64"/>
      <c r="ATO25" s="64"/>
      <c r="ATP25" s="64"/>
      <c r="ATQ25" s="64"/>
      <c r="ATR25" s="64"/>
      <c r="ATS25" s="64"/>
      <c r="ATT25" s="64"/>
      <c r="ATU25" s="64"/>
      <c r="ATV25" s="64"/>
      <c r="ATW25" s="64"/>
      <c r="ATX25" s="64"/>
      <c r="ATY25" s="64"/>
      <c r="ATZ25" s="64"/>
      <c r="AUA25" s="64"/>
      <c r="AUB25" s="64"/>
      <c r="AUC25" s="64"/>
      <c r="AUD25" s="64"/>
      <c r="AUE25" s="64"/>
      <c r="AUF25" s="64"/>
      <c r="AUG25" s="64"/>
      <c r="AUH25" s="64"/>
      <c r="AUI25" s="64"/>
      <c r="AUJ25" s="64"/>
      <c r="AUK25" s="64"/>
      <c r="AUL25" s="64"/>
      <c r="AUM25" s="64"/>
      <c r="AUN25" s="64"/>
      <c r="AUO25" s="64"/>
      <c r="AUP25" s="64"/>
      <c r="AUQ25" s="64"/>
      <c r="AUR25" s="64"/>
      <c r="AUS25" s="64"/>
      <c r="AUT25" s="64"/>
      <c r="AUU25" s="64"/>
      <c r="AUV25" s="64"/>
      <c r="AUW25" s="64"/>
      <c r="AUX25" s="64"/>
      <c r="AUY25" s="64"/>
      <c r="AUZ25" s="64"/>
      <c r="AVA25" s="64"/>
      <c r="AVB25" s="64"/>
      <c r="AVC25" s="64"/>
      <c r="AVD25" s="64"/>
      <c r="AVE25" s="64"/>
      <c r="AVF25" s="64"/>
      <c r="AVG25" s="64"/>
      <c r="AVH25" s="64"/>
      <c r="AVI25" s="64"/>
      <c r="AVJ25" s="64"/>
      <c r="AVK25" s="64"/>
      <c r="AVL25" s="64"/>
      <c r="AVM25" s="64"/>
      <c r="AVN25" s="64"/>
      <c r="AVO25" s="64"/>
      <c r="AVP25" s="64"/>
      <c r="AVQ25" s="64"/>
      <c r="AVR25" s="64"/>
      <c r="AVS25" s="64"/>
      <c r="AVT25" s="64"/>
      <c r="AVU25" s="64"/>
      <c r="AVV25" s="64"/>
      <c r="AVW25" s="64"/>
      <c r="AVX25" s="64"/>
      <c r="AVY25" s="64"/>
      <c r="AVZ25" s="64"/>
      <c r="AWA25" s="64"/>
      <c r="AWB25" s="64"/>
      <c r="AWC25" s="64"/>
      <c r="AWD25" s="64"/>
      <c r="AWE25" s="64"/>
      <c r="AWF25" s="64"/>
      <c r="AWG25" s="64"/>
      <c r="AWH25" s="64"/>
      <c r="AWI25" s="64"/>
      <c r="AWJ25" s="64"/>
      <c r="AWK25" s="64"/>
      <c r="AWL25" s="64"/>
      <c r="AWM25" s="64"/>
      <c r="AWN25" s="64"/>
      <c r="AWO25" s="64"/>
      <c r="AWP25" s="64"/>
      <c r="AWQ25" s="64"/>
      <c r="AWR25" s="64"/>
      <c r="AWS25" s="64"/>
      <c r="AWT25" s="64"/>
      <c r="AWU25" s="64"/>
      <c r="AWV25" s="64"/>
      <c r="AWW25" s="64"/>
      <c r="AWX25" s="64"/>
      <c r="AWY25" s="64"/>
      <c r="AWZ25" s="64"/>
      <c r="AXA25" s="64"/>
      <c r="AXB25" s="64"/>
      <c r="AXC25" s="64"/>
      <c r="AXD25" s="64"/>
      <c r="AXE25" s="64"/>
      <c r="AXF25" s="64"/>
      <c r="AXG25" s="64"/>
      <c r="AXH25" s="64"/>
      <c r="AXI25" s="64"/>
      <c r="AXJ25" s="64"/>
      <c r="AXK25" s="64"/>
      <c r="AXL25" s="64"/>
      <c r="AXM25" s="64"/>
      <c r="AXN25" s="64"/>
      <c r="AXO25" s="64"/>
      <c r="AXP25" s="64"/>
      <c r="AXQ25" s="64"/>
      <c r="AXR25" s="64"/>
      <c r="AXS25" s="64"/>
      <c r="AXT25" s="64"/>
      <c r="AXU25" s="64"/>
      <c r="AXV25" s="64"/>
      <c r="AXW25" s="64"/>
      <c r="AXX25" s="64"/>
      <c r="AXY25" s="64"/>
      <c r="AXZ25" s="64"/>
      <c r="AYA25" s="64"/>
      <c r="AYB25" s="64"/>
      <c r="AYC25" s="64"/>
      <c r="AYD25" s="64"/>
      <c r="AYE25" s="64"/>
      <c r="AYF25" s="64"/>
      <c r="AYG25" s="64"/>
      <c r="AYH25" s="64"/>
      <c r="AYI25" s="64"/>
      <c r="AYJ25" s="64"/>
      <c r="AYK25" s="64"/>
      <c r="AYL25" s="64"/>
      <c r="AYM25" s="64"/>
      <c r="AYN25" s="64"/>
      <c r="AYO25" s="64"/>
      <c r="AYP25" s="64"/>
      <c r="AYQ25" s="64"/>
      <c r="AYR25" s="64"/>
      <c r="AYS25" s="64"/>
      <c r="AYT25" s="64"/>
      <c r="AYU25" s="64"/>
      <c r="AYV25" s="64"/>
      <c r="AYW25" s="64"/>
      <c r="AYX25" s="64"/>
      <c r="AYY25" s="64"/>
      <c r="AYZ25" s="64"/>
      <c r="AZA25" s="64"/>
      <c r="AZB25" s="64"/>
      <c r="AZC25" s="64"/>
      <c r="AZD25" s="64"/>
      <c r="AZE25" s="64"/>
      <c r="AZF25" s="64"/>
      <c r="AZG25" s="64"/>
      <c r="AZH25" s="64"/>
      <c r="AZI25" s="64"/>
      <c r="AZJ25" s="64"/>
      <c r="AZK25" s="64"/>
      <c r="AZL25" s="64"/>
      <c r="AZM25" s="64"/>
      <c r="AZN25" s="64"/>
      <c r="AZO25" s="64"/>
      <c r="AZP25" s="64"/>
      <c r="AZQ25" s="64"/>
      <c r="AZR25" s="64"/>
      <c r="AZS25" s="64"/>
      <c r="AZT25" s="64"/>
      <c r="AZU25" s="64"/>
      <c r="AZV25" s="64"/>
      <c r="AZW25" s="64"/>
      <c r="AZX25" s="64"/>
      <c r="AZY25" s="64"/>
      <c r="AZZ25" s="64"/>
      <c r="BAA25" s="64"/>
      <c r="BAB25" s="64"/>
      <c r="BAC25" s="64"/>
      <c r="BAD25" s="64"/>
      <c r="BAE25" s="64"/>
      <c r="BAF25" s="64"/>
      <c r="BAG25" s="64"/>
      <c r="BAH25" s="64"/>
      <c r="BAI25" s="64"/>
      <c r="BAJ25" s="64"/>
      <c r="BAK25" s="64"/>
      <c r="BAL25" s="64"/>
      <c r="BAM25" s="64"/>
      <c r="BAN25" s="64"/>
      <c r="BAO25" s="64"/>
      <c r="BAP25" s="64"/>
      <c r="BAQ25" s="64"/>
      <c r="BAR25" s="64"/>
      <c r="BAS25" s="64"/>
      <c r="BAT25" s="64"/>
      <c r="BAU25" s="64"/>
      <c r="BAV25" s="64"/>
      <c r="BAW25" s="64"/>
      <c r="BAX25" s="64"/>
      <c r="BAY25" s="64"/>
      <c r="BAZ25" s="64"/>
      <c r="BBA25" s="64"/>
      <c r="BBB25" s="64"/>
      <c r="BBC25" s="64"/>
      <c r="BBD25" s="64"/>
      <c r="BBE25" s="64"/>
      <c r="BBF25" s="64"/>
      <c r="BBG25" s="64"/>
      <c r="BBH25" s="64"/>
      <c r="BBI25" s="64"/>
      <c r="BBJ25" s="64"/>
      <c r="BBK25" s="64"/>
      <c r="BBL25" s="64"/>
      <c r="BBM25" s="64"/>
      <c r="BBN25" s="64"/>
      <c r="BBO25" s="64"/>
      <c r="BBP25" s="64"/>
      <c r="BBQ25" s="64"/>
      <c r="BBR25" s="64"/>
      <c r="BBS25" s="64"/>
      <c r="BBT25" s="64"/>
      <c r="BBU25" s="64"/>
      <c r="BBV25" s="64"/>
      <c r="BBW25" s="64"/>
      <c r="BBX25" s="64"/>
      <c r="BBY25" s="64"/>
      <c r="BBZ25" s="64"/>
      <c r="BCA25" s="64"/>
      <c r="BCB25" s="64"/>
      <c r="BCC25" s="64"/>
      <c r="BCD25" s="64"/>
      <c r="BCE25" s="64"/>
      <c r="BCF25" s="64"/>
      <c r="BCG25" s="64"/>
      <c r="BCH25" s="64"/>
      <c r="BCI25" s="64"/>
      <c r="BCJ25" s="64"/>
      <c r="BCK25" s="64"/>
      <c r="BCL25" s="64"/>
      <c r="BCM25" s="64"/>
      <c r="BCN25" s="64"/>
      <c r="BCO25" s="64"/>
      <c r="BCP25" s="64"/>
      <c r="BCQ25" s="64"/>
      <c r="BCR25" s="64"/>
      <c r="BCS25" s="64"/>
      <c r="BCT25" s="64"/>
      <c r="BCU25" s="64"/>
      <c r="BCV25" s="64"/>
      <c r="BCW25" s="64"/>
      <c r="BCX25" s="64"/>
      <c r="BCY25" s="64"/>
      <c r="BCZ25" s="64"/>
      <c r="BDA25" s="64"/>
      <c r="BDB25" s="64"/>
      <c r="BDC25" s="64"/>
      <c r="BDD25" s="64"/>
      <c r="BDE25" s="64"/>
      <c r="BDF25" s="64"/>
      <c r="BDG25" s="64"/>
      <c r="BDH25" s="64"/>
      <c r="BDI25" s="64"/>
      <c r="BDJ25" s="64"/>
      <c r="BDK25" s="64"/>
      <c r="BDL25" s="64"/>
      <c r="BDM25" s="64"/>
      <c r="BDN25" s="64"/>
      <c r="BDO25" s="64"/>
      <c r="BDP25" s="64"/>
      <c r="BDQ25" s="64"/>
      <c r="BDR25" s="64"/>
      <c r="BDS25" s="64"/>
      <c r="BDT25" s="64"/>
      <c r="BDU25" s="64"/>
      <c r="BDV25" s="64"/>
      <c r="BDW25" s="64"/>
      <c r="BDX25" s="64"/>
      <c r="BDY25" s="64"/>
      <c r="BDZ25" s="64"/>
      <c r="BEA25" s="64"/>
      <c r="BEB25" s="64"/>
      <c r="BEC25" s="64"/>
      <c r="BED25" s="64"/>
      <c r="BEE25" s="64"/>
      <c r="BEF25" s="64"/>
      <c r="BEG25" s="64"/>
      <c r="BEH25" s="64"/>
      <c r="BEI25" s="64"/>
      <c r="BEJ25" s="64"/>
      <c r="BEK25" s="64"/>
      <c r="BEL25" s="64"/>
      <c r="BEM25" s="64"/>
      <c r="BEN25" s="64"/>
      <c r="BEO25" s="64"/>
      <c r="BEP25" s="64"/>
      <c r="BEQ25" s="64"/>
      <c r="BER25" s="64"/>
      <c r="BES25" s="64"/>
      <c r="BET25" s="64"/>
      <c r="BEU25" s="64"/>
      <c r="BEV25" s="64"/>
      <c r="BEW25" s="64"/>
      <c r="BEX25" s="64"/>
      <c r="BEY25" s="64"/>
      <c r="BEZ25" s="64"/>
      <c r="BFA25" s="64"/>
      <c r="BFB25" s="64"/>
      <c r="BFC25" s="64"/>
      <c r="BFD25" s="64"/>
      <c r="BFE25" s="64"/>
      <c r="BFF25" s="64"/>
      <c r="BFG25" s="64"/>
      <c r="BFH25" s="64"/>
      <c r="BFI25" s="64"/>
      <c r="BFJ25" s="64"/>
      <c r="BFK25" s="64"/>
      <c r="BFL25" s="64"/>
      <c r="BFM25" s="64"/>
      <c r="BFN25" s="64"/>
      <c r="BFO25" s="64"/>
      <c r="BFP25" s="64"/>
      <c r="BFQ25" s="64"/>
      <c r="BFR25" s="64"/>
      <c r="BFS25" s="64"/>
      <c r="BFT25" s="64"/>
      <c r="BFU25" s="64"/>
      <c r="BFV25" s="64"/>
      <c r="BFW25" s="64"/>
      <c r="BFX25" s="64"/>
      <c r="BFY25" s="64"/>
      <c r="BFZ25" s="64"/>
      <c r="BGA25" s="64"/>
      <c r="BGB25" s="64"/>
      <c r="BGC25" s="64"/>
      <c r="BGD25" s="64"/>
      <c r="BGE25" s="64"/>
      <c r="BGF25" s="64"/>
      <c r="BGG25" s="64"/>
      <c r="BGH25" s="64"/>
      <c r="BGI25" s="64"/>
      <c r="BGJ25" s="64"/>
      <c r="BGK25" s="64"/>
      <c r="BGL25" s="64"/>
      <c r="BGM25" s="64"/>
      <c r="BGN25" s="64"/>
      <c r="BGO25" s="64"/>
      <c r="BGP25" s="64"/>
      <c r="BGQ25" s="64"/>
      <c r="BGR25" s="64"/>
      <c r="BGS25" s="64"/>
      <c r="BGT25" s="64"/>
      <c r="BGU25" s="64"/>
      <c r="BGV25" s="64"/>
      <c r="BGW25" s="64"/>
      <c r="BGX25" s="64"/>
      <c r="BGY25" s="64"/>
      <c r="BGZ25" s="64"/>
      <c r="BHA25" s="64"/>
      <c r="BHB25" s="64"/>
      <c r="BHC25" s="64"/>
      <c r="BHD25" s="64"/>
      <c r="BHE25" s="64"/>
      <c r="BHF25" s="64"/>
      <c r="BHG25" s="64"/>
      <c r="BHH25" s="64"/>
      <c r="BHI25" s="64"/>
      <c r="BHJ25" s="64"/>
      <c r="BHK25" s="64"/>
      <c r="BHL25" s="64"/>
      <c r="BHM25" s="64"/>
      <c r="BHN25" s="64"/>
      <c r="BHO25" s="64"/>
      <c r="BHP25" s="64"/>
      <c r="BHQ25" s="64"/>
      <c r="BHR25" s="64"/>
      <c r="BHS25" s="64"/>
      <c r="BHT25" s="64"/>
      <c r="BHU25" s="64"/>
      <c r="BHV25" s="64"/>
      <c r="BHW25" s="64"/>
      <c r="BHX25" s="64"/>
      <c r="BHY25" s="64"/>
      <c r="BHZ25" s="64"/>
      <c r="BIA25" s="64"/>
      <c r="BIB25" s="64"/>
      <c r="BIC25" s="64"/>
      <c r="BID25" s="64"/>
      <c r="BIE25" s="64"/>
      <c r="BIF25" s="64"/>
      <c r="BIG25" s="64"/>
      <c r="BIH25" s="64"/>
      <c r="BII25" s="64"/>
      <c r="BIJ25" s="64"/>
      <c r="BIK25" s="64"/>
      <c r="BIL25" s="64"/>
      <c r="BIM25" s="64"/>
      <c r="BIN25" s="64"/>
      <c r="BIO25" s="64"/>
      <c r="BIP25" s="64"/>
      <c r="BIQ25" s="64"/>
      <c r="BIR25" s="64"/>
      <c r="BIS25" s="64"/>
      <c r="BIT25" s="64"/>
      <c r="BIU25" s="64"/>
      <c r="BIV25" s="64"/>
      <c r="BIW25" s="64"/>
      <c r="BIX25" s="64"/>
      <c r="BIY25" s="64"/>
      <c r="BIZ25" s="64"/>
      <c r="BJA25" s="64"/>
      <c r="BJB25" s="64"/>
      <c r="BJC25" s="64"/>
      <c r="BJD25" s="64"/>
      <c r="BJE25" s="64"/>
      <c r="BJF25" s="64"/>
      <c r="BJG25" s="64"/>
      <c r="BJH25" s="64"/>
      <c r="BJI25" s="64"/>
      <c r="BJJ25" s="64"/>
      <c r="BJK25" s="64"/>
      <c r="BJL25" s="64"/>
      <c r="BJM25" s="64"/>
      <c r="BJN25" s="64"/>
      <c r="BJO25" s="64"/>
      <c r="BJP25" s="64"/>
      <c r="BJQ25" s="64"/>
      <c r="BJR25" s="64"/>
      <c r="BJS25" s="64"/>
      <c r="BJT25" s="64"/>
      <c r="BJU25" s="64"/>
      <c r="BJV25" s="64"/>
      <c r="BJW25" s="64"/>
      <c r="BJX25" s="64"/>
      <c r="BJY25" s="64"/>
      <c r="BJZ25" s="64"/>
      <c r="BKA25" s="64"/>
      <c r="BKB25" s="64"/>
      <c r="BKC25" s="64"/>
      <c r="BKD25" s="64"/>
      <c r="BKE25" s="64"/>
      <c r="BKF25" s="64"/>
      <c r="BKG25" s="64"/>
      <c r="BKH25" s="64"/>
      <c r="BKI25" s="64"/>
      <c r="BKJ25" s="64"/>
      <c r="BKK25" s="64"/>
      <c r="BKL25" s="64"/>
      <c r="BKM25" s="64"/>
      <c r="BKN25" s="64"/>
      <c r="BKO25" s="64"/>
      <c r="BKP25" s="64"/>
      <c r="BKQ25" s="64"/>
      <c r="BKR25" s="64"/>
      <c r="BKS25" s="64"/>
      <c r="BKT25" s="64"/>
      <c r="BKU25" s="64"/>
      <c r="BKV25" s="64"/>
      <c r="BKW25" s="64"/>
      <c r="BKX25" s="64"/>
      <c r="BKY25" s="64"/>
      <c r="BKZ25" s="64"/>
      <c r="BLA25" s="64"/>
      <c r="BLB25" s="64"/>
      <c r="BLC25" s="64"/>
      <c r="BLD25" s="64"/>
      <c r="BLE25" s="64"/>
      <c r="BLF25" s="64"/>
      <c r="BLG25" s="64"/>
      <c r="BLH25" s="64"/>
      <c r="BLI25" s="64"/>
      <c r="BLJ25" s="64"/>
      <c r="BLK25" s="64"/>
      <c r="BLL25" s="64"/>
      <c r="BLM25" s="64"/>
      <c r="BLN25" s="64"/>
      <c r="BLO25" s="64"/>
      <c r="BLP25" s="64"/>
      <c r="BLQ25" s="64"/>
      <c r="BLR25" s="64"/>
      <c r="BLS25" s="64"/>
      <c r="BLT25" s="64"/>
      <c r="BLU25" s="64"/>
      <c r="BLV25" s="64"/>
      <c r="BLW25" s="64"/>
      <c r="BLX25" s="64"/>
      <c r="BLY25" s="64"/>
      <c r="BLZ25" s="64"/>
      <c r="BMA25" s="64"/>
      <c r="BMB25" s="64"/>
      <c r="BMC25" s="64"/>
      <c r="BMD25" s="64"/>
      <c r="BME25" s="64"/>
      <c r="BMF25" s="64"/>
      <c r="BMG25" s="64"/>
      <c r="BMH25" s="64"/>
      <c r="BMI25" s="64"/>
      <c r="BMJ25" s="64"/>
      <c r="BMK25" s="64"/>
      <c r="BML25" s="64"/>
      <c r="BMM25" s="64"/>
      <c r="BMN25" s="64"/>
      <c r="BMO25" s="64"/>
      <c r="BMP25" s="64"/>
      <c r="BMQ25" s="64"/>
      <c r="BMR25" s="64"/>
      <c r="BMS25" s="64"/>
      <c r="BMT25" s="64"/>
      <c r="BMU25" s="64"/>
      <c r="BMV25" s="64"/>
      <c r="BMW25" s="64"/>
      <c r="BMX25" s="64"/>
      <c r="BMY25" s="64"/>
      <c r="BMZ25" s="64"/>
      <c r="BNA25" s="64"/>
      <c r="BNB25" s="64"/>
      <c r="BNC25" s="64"/>
      <c r="BND25" s="64"/>
      <c r="BNE25" s="64"/>
      <c r="BNF25" s="64"/>
      <c r="BNG25" s="64"/>
      <c r="BNH25" s="64"/>
      <c r="BNI25" s="64"/>
      <c r="BNJ25" s="64"/>
      <c r="BNK25" s="64"/>
      <c r="BNL25" s="64"/>
      <c r="BNM25" s="64"/>
      <c r="BNN25" s="64"/>
      <c r="BNO25" s="64"/>
      <c r="BNP25" s="64"/>
      <c r="BNQ25" s="64"/>
      <c r="BNR25" s="64"/>
      <c r="BNS25" s="64"/>
      <c r="BNT25" s="64"/>
      <c r="BNU25" s="64"/>
      <c r="BNV25" s="64"/>
      <c r="BNW25" s="64"/>
      <c r="BNX25" s="64"/>
      <c r="BNY25" s="64"/>
      <c r="BNZ25" s="64"/>
      <c r="BOA25" s="64"/>
      <c r="BOB25" s="64"/>
      <c r="BOC25" s="64"/>
      <c r="BOD25" s="64"/>
      <c r="BOE25" s="64"/>
      <c r="BOF25" s="64"/>
      <c r="BOG25" s="64"/>
      <c r="BOH25" s="64"/>
      <c r="BOI25" s="64"/>
      <c r="BOJ25" s="64"/>
      <c r="BOK25" s="64"/>
      <c r="BOL25" s="64"/>
      <c r="BOM25" s="64"/>
      <c r="BON25" s="64"/>
      <c r="BOO25" s="64"/>
      <c r="BOP25" s="64"/>
      <c r="BOQ25" s="64"/>
      <c r="BOR25" s="64"/>
      <c r="BOS25" s="64"/>
      <c r="BOT25" s="64"/>
      <c r="BOU25" s="64"/>
      <c r="BOV25" s="64"/>
      <c r="BOW25" s="64"/>
      <c r="BOX25" s="64"/>
      <c r="BOY25" s="64"/>
      <c r="BOZ25" s="64"/>
      <c r="BPA25" s="64"/>
      <c r="BPB25" s="64"/>
      <c r="BPC25" s="64"/>
      <c r="BPD25" s="64"/>
      <c r="BPE25" s="64"/>
      <c r="BPF25" s="64"/>
      <c r="BPG25" s="64"/>
      <c r="BPH25" s="64"/>
      <c r="BPI25" s="64"/>
      <c r="BPJ25" s="64"/>
      <c r="BPK25" s="64"/>
      <c r="BPL25" s="64"/>
      <c r="BPM25" s="64"/>
      <c r="BPN25" s="64"/>
      <c r="BPO25" s="64"/>
      <c r="BPP25" s="64"/>
      <c r="BPQ25" s="64"/>
      <c r="BPR25" s="64"/>
      <c r="BPS25" s="64"/>
      <c r="BPT25" s="64"/>
      <c r="BPU25" s="64"/>
      <c r="BPV25" s="64"/>
      <c r="BPW25" s="64"/>
      <c r="BPX25" s="64"/>
      <c r="BPY25" s="64"/>
      <c r="BPZ25" s="64"/>
      <c r="BQA25" s="64"/>
      <c r="BQB25" s="64"/>
      <c r="BQC25" s="64"/>
      <c r="BQD25" s="64"/>
      <c r="BQE25" s="64"/>
      <c r="BQF25" s="64"/>
      <c r="BQG25" s="64"/>
      <c r="BQH25" s="64"/>
      <c r="BQI25" s="64"/>
      <c r="BQJ25" s="64"/>
      <c r="BQK25" s="64"/>
      <c r="BQL25" s="64"/>
      <c r="BQM25" s="64"/>
      <c r="BQN25" s="64"/>
      <c r="BQO25" s="64"/>
      <c r="BQP25" s="64"/>
      <c r="BQQ25" s="64"/>
      <c r="BQR25" s="64"/>
      <c r="BQS25" s="64"/>
      <c r="BQT25" s="64"/>
      <c r="BQU25" s="64"/>
      <c r="BQV25" s="64"/>
      <c r="BQW25" s="64"/>
      <c r="BQX25" s="64"/>
      <c r="BQY25" s="64"/>
      <c r="BQZ25" s="64"/>
      <c r="BRA25" s="64"/>
      <c r="BRB25" s="64"/>
      <c r="BRC25" s="64"/>
      <c r="BRD25" s="64"/>
      <c r="BRE25" s="64"/>
      <c r="BRF25" s="64"/>
      <c r="BRG25" s="64"/>
      <c r="BRH25" s="64"/>
      <c r="BRI25" s="64"/>
      <c r="BRJ25" s="64"/>
      <c r="BRK25" s="64"/>
      <c r="BRL25" s="64"/>
      <c r="BRM25" s="64"/>
      <c r="BRN25" s="64"/>
      <c r="BRO25" s="64"/>
      <c r="BRP25" s="64"/>
      <c r="BRQ25" s="64"/>
      <c r="BRR25" s="64"/>
      <c r="BRS25" s="64"/>
      <c r="BRT25" s="64"/>
      <c r="BRU25" s="64"/>
      <c r="BRV25" s="64"/>
      <c r="BRW25" s="64"/>
      <c r="BRX25" s="64"/>
      <c r="BRY25" s="64"/>
      <c r="BRZ25" s="64"/>
      <c r="BSA25" s="64"/>
      <c r="BSB25" s="64"/>
      <c r="BSC25" s="64"/>
      <c r="BSD25" s="64"/>
      <c r="BSE25" s="64"/>
      <c r="BSF25" s="64"/>
      <c r="BSG25" s="64"/>
      <c r="BSH25" s="64"/>
      <c r="BSI25" s="64"/>
      <c r="BSJ25" s="64"/>
      <c r="BSK25" s="64"/>
      <c r="BSL25" s="64"/>
      <c r="BSM25" s="64"/>
      <c r="BSN25" s="64"/>
      <c r="BSO25" s="64"/>
      <c r="BSP25" s="64"/>
      <c r="BSQ25" s="64"/>
      <c r="BSR25" s="64"/>
      <c r="BSS25" s="64"/>
      <c r="BST25" s="64"/>
      <c r="BSU25" s="64"/>
      <c r="BSV25" s="64"/>
      <c r="BSW25" s="64"/>
      <c r="BSX25" s="64"/>
      <c r="BSY25" s="64"/>
      <c r="BSZ25" s="64"/>
      <c r="BTA25" s="64"/>
      <c r="BTB25" s="64"/>
      <c r="BTC25" s="64"/>
      <c r="BTD25" s="64"/>
      <c r="BTE25" s="64"/>
      <c r="BTF25" s="64"/>
      <c r="BTG25" s="64"/>
      <c r="BTH25" s="64"/>
      <c r="BTI25" s="64"/>
      <c r="BTJ25" s="64"/>
      <c r="BTK25" s="64"/>
      <c r="BTL25" s="64"/>
      <c r="BTM25" s="64"/>
      <c r="BTN25" s="64"/>
      <c r="BTO25" s="64"/>
      <c r="BTP25" s="64"/>
      <c r="BTQ25" s="64"/>
      <c r="BTR25" s="64"/>
      <c r="BTS25" s="64"/>
      <c r="BTT25" s="64"/>
      <c r="BTU25" s="64"/>
      <c r="BTV25" s="64"/>
      <c r="BTW25" s="64"/>
      <c r="BTX25" s="64"/>
      <c r="BTY25" s="64"/>
      <c r="BTZ25" s="64"/>
      <c r="BUA25" s="64"/>
      <c r="BUB25" s="64"/>
      <c r="BUC25" s="64"/>
      <c r="BUD25" s="64"/>
      <c r="BUE25" s="64"/>
      <c r="BUF25" s="64"/>
      <c r="BUG25" s="64"/>
      <c r="BUH25" s="64"/>
      <c r="BUI25" s="64"/>
      <c r="BUJ25" s="64"/>
      <c r="BUK25" s="64"/>
      <c r="BUL25" s="64"/>
      <c r="BUM25" s="64"/>
      <c r="BUN25" s="64"/>
      <c r="BUO25" s="64"/>
      <c r="BUP25" s="64"/>
      <c r="BUQ25" s="64"/>
      <c r="BUR25" s="64"/>
      <c r="BUS25" s="64"/>
      <c r="BUT25" s="64"/>
      <c r="BUU25" s="64"/>
      <c r="BUV25" s="64"/>
      <c r="BUW25" s="64"/>
      <c r="BUX25" s="64"/>
      <c r="BUY25" s="64"/>
      <c r="BUZ25" s="64"/>
      <c r="BVA25" s="64"/>
      <c r="BVB25" s="64"/>
      <c r="BVC25" s="64"/>
      <c r="BVD25" s="64"/>
      <c r="BVE25" s="64"/>
      <c r="BVF25" s="64"/>
      <c r="BVG25" s="64"/>
      <c r="BVH25" s="64"/>
      <c r="BVI25" s="64"/>
      <c r="BVJ25" s="64"/>
      <c r="BVK25" s="64"/>
      <c r="BVL25" s="64"/>
      <c r="BVM25" s="64"/>
      <c r="BVN25" s="64"/>
      <c r="BVO25" s="64"/>
      <c r="BVP25" s="64"/>
      <c r="BVQ25" s="64"/>
      <c r="BVR25" s="64"/>
      <c r="BVS25" s="64"/>
      <c r="BVT25" s="64"/>
      <c r="BVU25" s="64"/>
      <c r="BVV25" s="64"/>
      <c r="BVW25" s="64"/>
      <c r="BVX25" s="64"/>
      <c r="BVY25" s="64"/>
      <c r="BVZ25" s="64"/>
      <c r="BWA25" s="64"/>
      <c r="BWB25" s="64"/>
      <c r="BWC25" s="64"/>
      <c r="BWD25" s="64"/>
      <c r="BWE25" s="64"/>
      <c r="BWF25" s="64"/>
      <c r="BWG25" s="64"/>
      <c r="BWH25" s="64"/>
      <c r="BWI25" s="64"/>
      <c r="BWJ25" s="64"/>
      <c r="BWK25" s="64"/>
      <c r="BWL25" s="64"/>
      <c r="BWM25" s="64"/>
      <c r="BWN25" s="64"/>
      <c r="BWO25" s="64"/>
      <c r="BWP25" s="64"/>
      <c r="BWQ25" s="64"/>
      <c r="BWR25" s="64"/>
      <c r="BWS25" s="64"/>
      <c r="BWT25" s="64"/>
      <c r="BWU25" s="64"/>
      <c r="BWV25" s="64"/>
      <c r="BWW25" s="64"/>
      <c r="BWX25" s="64"/>
      <c r="BWY25" s="64"/>
      <c r="BWZ25" s="64"/>
      <c r="BXA25" s="64"/>
      <c r="BXB25" s="64"/>
      <c r="BXC25" s="64"/>
      <c r="BXD25" s="64"/>
      <c r="BXE25" s="64"/>
      <c r="BXF25" s="64"/>
      <c r="BXG25" s="64"/>
      <c r="BXH25" s="64"/>
      <c r="BXI25" s="64"/>
      <c r="BXJ25" s="64"/>
      <c r="BXK25" s="64"/>
      <c r="BXL25" s="64"/>
      <c r="BXM25" s="64"/>
      <c r="BXN25" s="64"/>
      <c r="BXO25" s="64"/>
      <c r="BXP25" s="64"/>
      <c r="BXQ25" s="64"/>
      <c r="BXR25" s="64"/>
      <c r="BXS25" s="64"/>
      <c r="BXT25" s="64"/>
      <c r="BXU25" s="64"/>
      <c r="BXV25" s="64"/>
      <c r="BXW25" s="64"/>
      <c r="BXX25" s="64"/>
      <c r="BXY25" s="64"/>
      <c r="BXZ25" s="64"/>
      <c r="BYA25" s="64"/>
      <c r="BYB25" s="64"/>
      <c r="BYC25" s="64"/>
      <c r="BYD25" s="64"/>
      <c r="BYE25" s="64"/>
      <c r="BYF25" s="64"/>
      <c r="BYG25" s="64"/>
      <c r="BYH25" s="64"/>
      <c r="BYI25" s="64"/>
      <c r="BYJ25" s="64"/>
      <c r="BYK25" s="64"/>
      <c r="BYL25" s="64"/>
      <c r="BYM25" s="64"/>
      <c r="BYN25" s="64"/>
      <c r="BYO25" s="64"/>
      <c r="BYP25" s="64"/>
      <c r="BYQ25" s="64"/>
      <c r="BYR25" s="64"/>
      <c r="BYS25" s="64"/>
      <c r="BYT25" s="64"/>
      <c r="BYU25" s="64"/>
      <c r="BYV25" s="64"/>
      <c r="BYW25" s="64"/>
      <c r="BYX25" s="64"/>
      <c r="BYY25" s="64"/>
      <c r="BYZ25" s="64"/>
      <c r="BZA25" s="64"/>
      <c r="BZB25" s="64"/>
      <c r="BZC25" s="64"/>
      <c r="BZD25" s="64"/>
      <c r="BZE25" s="64"/>
      <c r="BZF25" s="64"/>
      <c r="BZG25" s="64"/>
      <c r="BZH25" s="64"/>
      <c r="BZI25" s="64"/>
      <c r="BZJ25" s="64"/>
      <c r="BZK25" s="64"/>
      <c r="BZL25" s="64"/>
      <c r="BZM25" s="64"/>
      <c r="BZN25" s="64"/>
      <c r="BZO25" s="64"/>
      <c r="BZP25" s="64"/>
      <c r="BZQ25" s="64"/>
      <c r="BZR25" s="64"/>
      <c r="BZS25" s="64"/>
      <c r="BZT25" s="64"/>
      <c r="BZU25" s="64"/>
      <c r="BZV25" s="64"/>
      <c r="BZW25" s="64"/>
      <c r="BZX25" s="64"/>
      <c r="BZY25" s="64"/>
      <c r="BZZ25" s="64"/>
      <c r="CAA25" s="64"/>
      <c r="CAB25" s="64"/>
      <c r="CAC25" s="64"/>
      <c r="CAD25" s="64"/>
      <c r="CAE25" s="64"/>
      <c r="CAF25" s="64"/>
      <c r="CAG25" s="64"/>
      <c r="CAH25" s="64"/>
      <c r="CAI25" s="64"/>
      <c r="CAJ25" s="64"/>
      <c r="CAK25" s="64"/>
      <c r="CAL25" s="64"/>
      <c r="CAM25" s="64"/>
      <c r="CAN25" s="64"/>
      <c r="CAO25" s="64"/>
      <c r="CAP25" s="64"/>
      <c r="CAQ25" s="64"/>
      <c r="CAR25" s="64"/>
      <c r="CAS25" s="64"/>
      <c r="CAT25" s="64"/>
      <c r="CAU25" s="64"/>
      <c r="CAV25" s="64"/>
      <c r="CAW25" s="64"/>
      <c r="CAX25" s="64"/>
      <c r="CAY25" s="64"/>
      <c r="CAZ25" s="64"/>
      <c r="CBA25" s="64"/>
      <c r="CBB25" s="64"/>
      <c r="CBC25" s="64"/>
      <c r="CBD25" s="64"/>
      <c r="CBE25" s="64"/>
      <c r="CBF25" s="64"/>
      <c r="CBG25" s="64"/>
      <c r="CBH25" s="64"/>
      <c r="CBI25" s="64"/>
      <c r="CBJ25" s="64"/>
      <c r="CBK25" s="64"/>
      <c r="CBL25" s="64"/>
      <c r="CBM25" s="64"/>
      <c r="CBN25" s="64"/>
      <c r="CBO25" s="64"/>
      <c r="CBP25" s="64"/>
      <c r="CBQ25" s="64"/>
      <c r="CBR25" s="64"/>
      <c r="CBS25" s="64"/>
      <c r="CBT25" s="64"/>
      <c r="CBU25" s="64"/>
      <c r="CBV25" s="64"/>
      <c r="CBW25" s="64"/>
      <c r="CBX25" s="64"/>
      <c r="CBY25" s="64"/>
      <c r="CBZ25" s="64"/>
      <c r="CCA25" s="64"/>
      <c r="CCB25" s="64"/>
      <c r="CCC25" s="64"/>
      <c r="CCD25" s="64"/>
      <c r="CCE25" s="64"/>
      <c r="CCF25" s="64"/>
      <c r="CCG25" s="64"/>
      <c r="CCH25" s="64"/>
      <c r="CCI25" s="64"/>
      <c r="CCJ25" s="64"/>
      <c r="CCK25" s="64"/>
      <c r="CCL25" s="64"/>
      <c r="CCM25" s="64"/>
      <c r="CCN25" s="64"/>
      <c r="CCO25" s="64"/>
      <c r="CCP25" s="64"/>
      <c r="CCQ25" s="64"/>
      <c r="CCR25" s="64"/>
      <c r="CCS25" s="64"/>
      <c r="CCT25" s="64"/>
      <c r="CCU25" s="64"/>
      <c r="CCV25" s="64"/>
      <c r="CCW25" s="64"/>
      <c r="CCX25" s="64"/>
      <c r="CCY25" s="64"/>
      <c r="CCZ25" s="64"/>
      <c r="CDA25" s="64"/>
      <c r="CDB25" s="64"/>
      <c r="CDC25" s="64"/>
      <c r="CDD25" s="64"/>
      <c r="CDE25" s="64"/>
      <c r="CDF25" s="64"/>
      <c r="CDG25" s="64"/>
      <c r="CDH25" s="64"/>
      <c r="CDI25" s="64"/>
      <c r="CDJ25" s="64"/>
      <c r="CDK25" s="64"/>
      <c r="CDL25" s="64"/>
      <c r="CDM25" s="64"/>
      <c r="CDN25" s="64"/>
      <c r="CDO25" s="64"/>
      <c r="CDP25" s="64"/>
      <c r="CDQ25" s="64"/>
      <c r="CDR25" s="64"/>
      <c r="CDS25" s="64"/>
      <c r="CDT25" s="64"/>
      <c r="CDU25" s="64"/>
      <c r="CDV25" s="64"/>
      <c r="CDW25" s="64"/>
      <c r="CDX25" s="64"/>
      <c r="CDY25" s="64"/>
      <c r="CDZ25" s="64"/>
      <c r="CEA25" s="64"/>
      <c r="CEB25" s="64"/>
      <c r="CEC25" s="64"/>
      <c r="CED25" s="64"/>
      <c r="CEE25" s="64"/>
      <c r="CEF25" s="64"/>
      <c r="CEG25" s="64"/>
      <c r="CEH25" s="64"/>
      <c r="CEI25" s="64"/>
      <c r="CEJ25" s="64"/>
      <c r="CEK25" s="64"/>
      <c r="CEL25" s="64"/>
      <c r="CEM25" s="64"/>
      <c r="CEN25" s="64"/>
      <c r="CEO25" s="64"/>
      <c r="CEP25" s="64"/>
      <c r="CEQ25" s="64"/>
      <c r="CER25" s="64"/>
      <c r="CES25" s="64"/>
      <c r="CET25" s="64"/>
      <c r="CEU25" s="64"/>
      <c r="CEV25" s="64"/>
      <c r="CEW25" s="64"/>
      <c r="CEX25" s="64"/>
      <c r="CEY25" s="64"/>
      <c r="CEZ25" s="64"/>
      <c r="CFA25" s="64"/>
      <c r="CFB25" s="64"/>
      <c r="CFC25" s="64"/>
      <c r="CFD25" s="64"/>
      <c r="CFE25" s="64"/>
      <c r="CFF25" s="64"/>
      <c r="CFG25" s="64"/>
      <c r="CFH25" s="64"/>
      <c r="CFI25" s="64"/>
      <c r="CFJ25" s="64"/>
      <c r="CFK25" s="64"/>
      <c r="CFL25" s="64"/>
      <c r="CFM25" s="64"/>
      <c r="CFN25" s="64"/>
      <c r="CFO25" s="64"/>
      <c r="CFP25" s="64"/>
      <c r="CFQ25" s="64"/>
      <c r="CFR25" s="64"/>
      <c r="CFS25" s="64"/>
      <c r="CFT25" s="64"/>
      <c r="CFU25" s="64"/>
      <c r="CFV25" s="64"/>
      <c r="CFW25" s="64"/>
      <c r="CFX25" s="64"/>
      <c r="CFY25" s="64"/>
      <c r="CFZ25" s="64"/>
      <c r="CGA25" s="64"/>
      <c r="CGB25" s="64"/>
      <c r="CGC25" s="64"/>
      <c r="CGD25" s="64"/>
      <c r="CGE25" s="64"/>
      <c r="CGF25" s="64"/>
      <c r="CGG25" s="64"/>
      <c r="CGH25" s="64"/>
      <c r="CGI25" s="64"/>
      <c r="CGJ25" s="64"/>
      <c r="CGK25" s="64"/>
      <c r="CGL25" s="64"/>
      <c r="CGM25" s="64"/>
      <c r="CGN25" s="64"/>
      <c r="CGO25" s="64"/>
      <c r="CGP25" s="64"/>
      <c r="CGQ25" s="64"/>
      <c r="CGR25" s="64"/>
      <c r="CGS25" s="64"/>
      <c r="CGT25" s="64"/>
      <c r="CGU25" s="64"/>
      <c r="CGV25" s="64"/>
      <c r="CGW25" s="64"/>
      <c r="CGX25" s="64"/>
      <c r="CGY25" s="64"/>
      <c r="CGZ25" s="64"/>
      <c r="CHA25" s="64"/>
      <c r="CHB25" s="64"/>
      <c r="CHC25" s="64"/>
      <c r="CHD25" s="64"/>
      <c r="CHE25" s="64"/>
      <c r="CHF25" s="64"/>
      <c r="CHG25" s="64"/>
      <c r="CHH25" s="64"/>
      <c r="CHI25" s="64"/>
      <c r="CHJ25" s="64"/>
      <c r="CHK25" s="64"/>
      <c r="CHL25" s="64"/>
      <c r="CHM25" s="64"/>
      <c r="CHN25" s="64"/>
      <c r="CHO25" s="64"/>
      <c r="CHP25" s="64"/>
      <c r="CHQ25" s="64"/>
      <c r="CHR25" s="64"/>
      <c r="CHS25" s="64"/>
      <c r="CHT25" s="64"/>
      <c r="CHU25" s="64"/>
      <c r="CHV25" s="64"/>
      <c r="CHW25" s="64"/>
      <c r="CHX25" s="64"/>
      <c r="CHY25" s="64"/>
      <c r="CHZ25" s="64"/>
      <c r="CIA25" s="64"/>
      <c r="CIB25" s="64"/>
      <c r="CIC25" s="64"/>
      <c r="CID25" s="64"/>
      <c r="CIE25" s="64"/>
      <c r="CIF25" s="64"/>
      <c r="CIG25" s="64"/>
      <c r="CIH25" s="64"/>
      <c r="CII25" s="64"/>
      <c r="CIJ25" s="64"/>
      <c r="CIK25" s="64"/>
      <c r="CIL25" s="64"/>
      <c r="CIM25" s="64"/>
      <c r="CIN25" s="64"/>
      <c r="CIO25" s="64"/>
      <c r="CIP25" s="64"/>
      <c r="CIQ25" s="64"/>
      <c r="CIR25" s="64"/>
      <c r="CIS25" s="64"/>
      <c r="CIT25" s="64"/>
      <c r="CIU25" s="64"/>
      <c r="CIV25" s="64"/>
      <c r="CIW25" s="64"/>
      <c r="CIX25" s="64"/>
      <c r="CIY25" s="64"/>
      <c r="CIZ25" s="64"/>
      <c r="CJA25" s="64"/>
      <c r="CJB25" s="64"/>
      <c r="CJC25" s="64"/>
      <c r="CJD25" s="64"/>
      <c r="CJE25" s="64"/>
      <c r="CJF25" s="64"/>
      <c r="CJG25" s="64"/>
      <c r="CJH25" s="64"/>
      <c r="CJI25" s="64"/>
      <c r="CJJ25" s="64"/>
      <c r="CJK25" s="64"/>
      <c r="CJL25" s="64"/>
      <c r="CJM25" s="64"/>
      <c r="CJN25" s="64"/>
      <c r="CJO25" s="64"/>
      <c r="CJP25" s="64"/>
      <c r="CJQ25" s="64"/>
      <c r="CJR25" s="64"/>
      <c r="CJS25" s="64"/>
      <c r="CJT25" s="64"/>
      <c r="CJU25" s="64"/>
      <c r="CJV25" s="64"/>
      <c r="CJW25" s="64"/>
      <c r="CJX25" s="64"/>
      <c r="CJY25" s="64"/>
      <c r="CJZ25" s="64"/>
      <c r="CKA25" s="64"/>
      <c r="CKB25" s="64"/>
      <c r="CKC25" s="64"/>
      <c r="CKD25" s="64"/>
      <c r="CKE25" s="64"/>
      <c r="CKF25" s="64"/>
      <c r="CKG25" s="64"/>
      <c r="CKH25" s="64"/>
      <c r="CKI25" s="64"/>
      <c r="CKJ25" s="64"/>
      <c r="CKK25" s="64"/>
      <c r="CKL25" s="64"/>
      <c r="CKM25" s="64"/>
      <c r="CKN25" s="64"/>
      <c r="CKO25" s="64"/>
      <c r="CKP25" s="64"/>
      <c r="CKQ25" s="64"/>
      <c r="CKR25" s="64"/>
      <c r="CKS25" s="64"/>
      <c r="CKT25" s="64"/>
      <c r="CKU25" s="64"/>
      <c r="CKV25" s="64"/>
      <c r="CKW25" s="64"/>
      <c r="CKX25" s="64"/>
      <c r="CKY25" s="64"/>
      <c r="CKZ25" s="64"/>
      <c r="CLA25" s="64"/>
      <c r="CLB25" s="64"/>
      <c r="CLC25" s="64"/>
      <c r="CLD25" s="64"/>
      <c r="CLE25" s="64"/>
      <c r="CLF25" s="64"/>
      <c r="CLG25" s="64"/>
      <c r="CLH25" s="64"/>
      <c r="CLI25" s="64"/>
      <c r="CLJ25" s="64"/>
      <c r="CLK25" s="64"/>
      <c r="CLL25" s="64"/>
      <c r="CLM25" s="64"/>
      <c r="CLN25" s="64"/>
      <c r="CLO25" s="64"/>
      <c r="CLP25" s="64"/>
      <c r="CLQ25" s="64"/>
      <c r="CLR25" s="64"/>
      <c r="CLS25" s="64"/>
      <c r="CLT25" s="64"/>
      <c r="CLU25" s="64"/>
      <c r="CLV25" s="64"/>
      <c r="CLW25" s="64"/>
      <c r="CLX25" s="64"/>
      <c r="CLY25" s="64"/>
      <c r="CLZ25" s="64"/>
      <c r="CMA25" s="64"/>
      <c r="CMB25" s="64"/>
      <c r="CMC25" s="64"/>
      <c r="CMD25" s="64"/>
      <c r="CME25" s="64"/>
      <c r="CMF25" s="64"/>
      <c r="CMG25" s="64"/>
      <c r="CMH25" s="64"/>
      <c r="CMI25" s="64"/>
      <c r="CMJ25" s="64"/>
      <c r="CMK25" s="64"/>
      <c r="CML25" s="64"/>
      <c r="CMM25" s="64"/>
      <c r="CMN25" s="64"/>
      <c r="CMO25" s="64"/>
      <c r="CMP25" s="64"/>
      <c r="CMQ25" s="64"/>
      <c r="CMR25" s="64"/>
      <c r="CMS25" s="64"/>
      <c r="CMT25" s="64"/>
      <c r="CMU25" s="64"/>
      <c r="CMV25" s="64"/>
      <c r="CMW25" s="64"/>
      <c r="CMX25" s="64"/>
      <c r="CMY25" s="64"/>
      <c r="CMZ25" s="64"/>
      <c r="CNA25" s="64"/>
      <c r="CNB25" s="64"/>
      <c r="CNC25" s="64"/>
      <c r="CND25" s="64"/>
      <c r="CNE25" s="64"/>
      <c r="CNF25" s="64"/>
      <c r="CNG25" s="64"/>
      <c r="CNH25" s="64"/>
      <c r="CNI25" s="64"/>
      <c r="CNJ25" s="64"/>
      <c r="CNK25" s="64"/>
      <c r="CNL25" s="64"/>
      <c r="CNM25" s="64"/>
      <c r="CNN25" s="64"/>
      <c r="CNO25" s="64"/>
      <c r="CNP25" s="64"/>
      <c r="CNQ25" s="64"/>
      <c r="CNR25" s="64"/>
      <c r="CNS25" s="64"/>
      <c r="CNT25" s="64"/>
      <c r="CNU25" s="64"/>
      <c r="CNV25" s="64"/>
      <c r="CNW25" s="64"/>
      <c r="CNX25" s="64"/>
      <c r="CNY25" s="64"/>
      <c r="CNZ25" s="64"/>
      <c r="COA25" s="64"/>
      <c r="COB25" s="64"/>
      <c r="COC25" s="64"/>
      <c r="COD25" s="64"/>
      <c r="COE25" s="64"/>
      <c r="COF25" s="64"/>
      <c r="COG25" s="64"/>
      <c r="COH25" s="64"/>
      <c r="COI25" s="64"/>
      <c r="COJ25" s="64"/>
      <c r="COK25" s="64"/>
      <c r="COL25" s="64"/>
      <c r="COM25" s="64"/>
      <c r="CON25" s="64"/>
      <c r="COO25" s="64"/>
      <c r="COP25" s="64"/>
      <c r="COQ25" s="64"/>
      <c r="COR25" s="64"/>
      <c r="COS25" s="64"/>
      <c r="COT25" s="64"/>
      <c r="COU25" s="64"/>
      <c r="COV25" s="64"/>
      <c r="COW25" s="64"/>
      <c r="COX25" s="64"/>
      <c r="COY25" s="64"/>
      <c r="COZ25" s="64"/>
      <c r="CPA25" s="64"/>
      <c r="CPB25" s="64"/>
      <c r="CPC25" s="64"/>
      <c r="CPD25" s="64"/>
      <c r="CPE25" s="64"/>
      <c r="CPF25" s="64"/>
      <c r="CPG25" s="64"/>
      <c r="CPH25" s="64"/>
      <c r="CPI25" s="64"/>
      <c r="CPJ25" s="64"/>
      <c r="CPK25" s="64"/>
      <c r="CPL25" s="64"/>
      <c r="CPM25" s="64"/>
      <c r="CPN25" s="64"/>
      <c r="CPO25" s="64"/>
      <c r="CPP25" s="64"/>
      <c r="CPQ25" s="64"/>
      <c r="CPR25" s="64"/>
      <c r="CPS25" s="64"/>
      <c r="CPT25" s="64"/>
      <c r="CPU25" s="64"/>
      <c r="CPV25" s="64"/>
      <c r="CPW25" s="64"/>
      <c r="CPX25" s="64"/>
      <c r="CPY25" s="64"/>
      <c r="CPZ25" s="64"/>
      <c r="CQA25" s="64"/>
      <c r="CQB25" s="64"/>
      <c r="CQC25" s="64"/>
      <c r="CQD25" s="64"/>
      <c r="CQE25" s="64"/>
      <c r="CQF25" s="64"/>
      <c r="CQG25" s="64"/>
      <c r="CQH25" s="64"/>
      <c r="CQI25" s="64"/>
      <c r="CQJ25" s="64"/>
      <c r="CQK25" s="64"/>
      <c r="CQL25" s="64"/>
      <c r="CQM25" s="64"/>
      <c r="CQN25" s="64"/>
      <c r="CQO25" s="64"/>
      <c r="CQP25" s="64"/>
      <c r="CQQ25" s="64"/>
      <c r="CQR25" s="64"/>
      <c r="CQS25" s="64"/>
      <c r="CQT25" s="64"/>
      <c r="CQU25" s="64"/>
      <c r="CQV25" s="64"/>
      <c r="CQW25" s="64"/>
      <c r="CQX25" s="64"/>
      <c r="CQY25" s="64"/>
      <c r="CQZ25" s="64"/>
      <c r="CRA25" s="64"/>
      <c r="CRB25" s="64"/>
      <c r="CRC25" s="64"/>
      <c r="CRD25" s="64"/>
      <c r="CRE25" s="64"/>
      <c r="CRF25" s="64"/>
      <c r="CRG25" s="64"/>
      <c r="CRH25" s="64"/>
      <c r="CRI25" s="64"/>
      <c r="CRJ25" s="64"/>
      <c r="CRK25" s="64"/>
      <c r="CRL25" s="64"/>
      <c r="CRM25" s="64"/>
      <c r="CRN25" s="64"/>
      <c r="CRO25" s="64"/>
      <c r="CRP25" s="64"/>
      <c r="CRQ25" s="64"/>
      <c r="CRR25" s="64"/>
      <c r="CRS25" s="64"/>
      <c r="CRT25" s="64"/>
      <c r="CRU25" s="64"/>
      <c r="CRV25" s="64"/>
      <c r="CRW25" s="64"/>
      <c r="CRX25" s="64"/>
      <c r="CRY25" s="64"/>
      <c r="CRZ25" s="64"/>
      <c r="CSA25" s="64"/>
      <c r="CSB25" s="64"/>
      <c r="CSC25" s="64"/>
      <c r="CSD25" s="64"/>
      <c r="CSE25" s="64"/>
      <c r="CSF25" s="64"/>
      <c r="CSG25" s="64"/>
      <c r="CSH25" s="64"/>
      <c r="CSI25" s="64"/>
      <c r="CSJ25" s="64"/>
      <c r="CSK25" s="64"/>
      <c r="CSL25" s="64"/>
      <c r="CSM25" s="64"/>
      <c r="CSN25" s="64"/>
      <c r="CSO25" s="64"/>
      <c r="CSP25" s="64"/>
      <c r="CSQ25" s="64"/>
      <c r="CSR25" s="64"/>
      <c r="CSS25" s="64"/>
      <c r="CST25" s="64"/>
      <c r="CSU25" s="64"/>
      <c r="CSV25" s="64"/>
      <c r="CSW25" s="64"/>
      <c r="CSX25" s="64"/>
      <c r="CSY25" s="64"/>
      <c r="CSZ25" s="64"/>
      <c r="CTA25" s="64"/>
      <c r="CTB25" s="64"/>
      <c r="CTC25" s="64"/>
      <c r="CTD25" s="64"/>
      <c r="CTE25" s="64"/>
      <c r="CTF25" s="64"/>
      <c r="CTG25" s="64"/>
      <c r="CTH25" s="64"/>
      <c r="CTI25" s="64"/>
      <c r="CTJ25" s="64"/>
      <c r="CTK25" s="64"/>
      <c r="CTL25" s="64"/>
      <c r="CTM25" s="64"/>
      <c r="CTN25" s="64"/>
      <c r="CTO25" s="64"/>
      <c r="CTP25" s="64"/>
      <c r="CTQ25" s="64"/>
      <c r="CTR25" s="64"/>
      <c r="CTS25" s="64"/>
      <c r="CTT25" s="64"/>
      <c r="CTU25" s="64"/>
      <c r="CTV25" s="64"/>
      <c r="CTW25" s="64"/>
      <c r="CTX25" s="64"/>
      <c r="CTY25" s="64"/>
      <c r="CTZ25" s="64"/>
      <c r="CUA25" s="64"/>
      <c r="CUB25" s="64"/>
      <c r="CUC25" s="64"/>
      <c r="CUD25" s="64"/>
      <c r="CUE25" s="64"/>
      <c r="CUF25" s="64"/>
      <c r="CUG25" s="64"/>
      <c r="CUH25" s="64"/>
      <c r="CUI25" s="64"/>
      <c r="CUJ25" s="64"/>
      <c r="CUK25" s="64"/>
      <c r="CUL25" s="64"/>
      <c r="CUM25" s="64"/>
      <c r="CUN25" s="64"/>
      <c r="CUO25" s="64"/>
      <c r="CUP25" s="64"/>
      <c r="CUQ25" s="64"/>
      <c r="CUR25" s="64"/>
      <c r="CUS25" s="64"/>
      <c r="CUT25" s="64"/>
      <c r="CUU25" s="64"/>
      <c r="CUV25" s="64"/>
      <c r="CUW25" s="64"/>
      <c r="CUX25" s="64"/>
      <c r="CUY25" s="64"/>
      <c r="CUZ25" s="64"/>
      <c r="CVA25" s="64"/>
      <c r="CVB25" s="64"/>
      <c r="CVC25" s="64"/>
      <c r="CVD25" s="64"/>
      <c r="CVE25" s="64"/>
      <c r="CVF25" s="64"/>
      <c r="CVG25" s="64"/>
      <c r="CVH25" s="64"/>
      <c r="CVI25" s="64"/>
      <c r="CVJ25" s="64"/>
      <c r="CVK25" s="64"/>
      <c r="CVL25" s="64"/>
      <c r="CVM25" s="64"/>
      <c r="CVN25" s="64"/>
      <c r="CVO25" s="64"/>
      <c r="CVP25" s="64"/>
      <c r="CVQ25" s="64"/>
      <c r="CVR25" s="64"/>
      <c r="CVS25" s="64"/>
      <c r="CVT25" s="64"/>
      <c r="CVU25" s="64"/>
      <c r="CVV25" s="64"/>
      <c r="CVW25" s="64"/>
      <c r="CVX25" s="64"/>
      <c r="CVY25" s="64"/>
      <c r="CVZ25" s="64"/>
      <c r="CWA25" s="64"/>
      <c r="CWB25" s="64"/>
      <c r="CWC25" s="64"/>
      <c r="CWD25" s="64"/>
      <c r="CWE25" s="64"/>
      <c r="CWF25" s="64"/>
      <c r="CWG25" s="64"/>
      <c r="CWH25" s="64"/>
      <c r="CWI25" s="64"/>
      <c r="CWJ25" s="64"/>
      <c r="CWK25" s="64"/>
      <c r="CWL25" s="64"/>
      <c r="CWM25" s="64"/>
      <c r="CWN25" s="64"/>
      <c r="CWO25" s="64"/>
      <c r="CWP25" s="64"/>
      <c r="CWQ25" s="64"/>
      <c r="CWR25" s="64"/>
      <c r="CWS25" s="64"/>
      <c r="CWT25" s="64"/>
      <c r="CWU25" s="64"/>
      <c r="CWV25" s="64"/>
      <c r="CWW25" s="64"/>
      <c r="CWX25" s="64"/>
      <c r="CWY25" s="64"/>
      <c r="CWZ25" s="64"/>
      <c r="CXA25" s="64"/>
      <c r="CXB25" s="64"/>
      <c r="CXC25" s="64"/>
      <c r="CXD25" s="64"/>
      <c r="CXE25" s="64"/>
      <c r="CXF25" s="64"/>
      <c r="CXG25" s="64"/>
      <c r="CXH25" s="64"/>
      <c r="CXI25" s="64"/>
      <c r="CXJ25" s="64"/>
      <c r="CXK25" s="64"/>
      <c r="CXL25" s="64"/>
      <c r="CXM25" s="64"/>
      <c r="CXN25" s="64"/>
      <c r="CXO25" s="64"/>
      <c r="CXP25" s="64"/>
      <c r="CXQ25" s="64"/>
      <c r="CXR25" s="64"/>
      <c r="CXS25" s="64"/>
      <c r="CXT25" s="64"/>
      <c r="CXU25" s="64"/>
      <c r="CXV25" s="64"/>
      <c r="CXW25" s="64"/>
      <c r="CXX25" s="64"/>
      <c r="CXY25" s="64"/>
      <c r="CXZ25" s="64"/>
      <c r="CYA25" s="64"/>
      <c r="CYB25" s="64"/>
      <c r="CYC25" s="64"/>
      <c r="CYD25" s="64"/>
      <c r="CYE25" s="64"/>
      <c r="CYF25" s="64"/>
      <c r="CYG25" s="64"/>
      <c r="CYH25" s="64"/>
      <c r="CYI25" s="64"/>
      <c r="CYJ25" s="64"/>
      <c r="CYK25" s="64"/>
      <c r="CYL25" s="64"/>
      <c r="CYM25" s="64"/>
      <c r="CYN25" s="64"/>
      <c r="CYO25" s="64"/>
      <c r="CYP25" s="64"/>
      <c r="CYQ25" s="64"/>
      <c r="CYR25" s="64"/>
      <c r="CYS25" s="64"/>
      <c r="CYT25" s="64"/>
      <c r="CYU25" s="64"/>
      <c r="CYV25" s="64"/>
      <c r="CYW25" s="64"/>
      <c r="CYX25" s="64"/>
      <c r="CYY25" s="64"/>
      <c r="CYZ25" s="64"/>
      <c r="CZA25" s="64"/>
      <c r="CZB25" s="64"/>
      <c r="CZC25" s="64"/>
      <c r="CZD25" s="64"/>
      <c r="CZE25" s="64"/>
      <c r="CZF25" s="64"/>
      <c r="CZG25" s="64"/>
      <c r="CZH25" s="64"/>
      <c r="CZI25" s="64"/>
      <c r="CZJ25" s="64"/>
      <c r="CZK25" s="64"/>
      <c r="CZL25" s="64"/>
      <c r="CZM25" s="64"/>
      <c r="CZN25" s="64"/>
      <c r="CZO25" s="64"/>
      <c r="CZP25" s="64"/>
      <c r="CZQ25" s="64"/>
      <c r="CZR25" s="64"/>
      <c r="CZS25" s="64"/>
      <c r="CZT25" s="64"/>
      <c r="CZU25" s="64"/>
      <c r="CZV25" s="64"/>
      <c r="CZW25" s="64"/>
      <c r="CZX25" s="64"/>
      <c r="CZY25" s="64"/>
      <c r="CZZ25" s="64"/>
      <c r="DAA25" s="64"/>
      <c r="DAB25" s="64"/>
      <c r="DAC25" s="64"/>
      <c r="DAD25" s="64"/>
      <c r="DAE25" s="64"/>
      <c r="DAF25" s="64"/>
      <c r="DAG25" s="64"/>
      <c r="DAH25" s="64"/>
      <c r="DAI25" s="64"/>
      <c r="DAJ25" s="64"/>
      <c r="DAK25" s="64"/>
      <c r="DAL25" s="64"/>
      <c r="DAM25" s="64"/>
      <c r="DAN25" s="64"/>
      <c r="DAO25" s="64"/>
      <c r="DAP25" s="64"/>
      <c r="DAQ25" s="64"/>
      <c r="DAR25" s="64"/>
      <c r="DAS25" s="64"/>
      <c r="DAT25" s="64"/>
      <c r="DAU25" s="64"/>
      <c r="DAV25" s="64"/>
      <c r="DAW25" s="64"/>
      <c r="DAX25" s="64"/>
      <c r="DAY25" s="64"/>
      <c r="DAZ25" s="64"/>
      <c r="DBA25" s="64"/>
      <c r="DBB25" s="64"/>
      <c r="DBC25" s="64"/>
      <c r="DBD25" s="64"/>
      <c r="DBE25" s="64"/>
      <c r="DBF25" s="64"/>
      <c r="DBG25" s="64"/>
      <c r="DBH25" s="64"/>
      <c r="DBI25" s="64"/>
      <c r="DBJ25" s="64"/>
      <c r="DBK25" s="64"/>
      <c r="DBL25" s="64"/>
      <c r="DBM25" s="64"/>
      <c r="DBN25" s="64"/>
      <c r="DBO25" s="64"/>
      <c r="DBP25" s="64"/>
      <c r="DBQ25" s="64"/>
      <c r="DBR25" s="64"/>
      <c r="DBS25" s="64"/>
      <c r="DBT25" s="64"/>
      <c r="DBU25" s="64"/>
      <c r="DBV25" s="64"/>
      <c r="DBW25" s="64"/>
      <c r="DBX25" s="64"/>
      <c r="DBY25" s="64"/>
      <c r="DBZ25" s="64"/>
      <c r="DCA25" s="64"/>
      <c r="DCB25" s="64"/>
      <c r="DCC25" s="64"/>
      <c r="DCD25" s="64"/>
      <c r="DCE25" s="64"/>
      <c r="DCF25" s="64"/>
      <c r="DCG25" s="64"/>
      <c r="DCH25" s="64"/>
      <c r="DCI25" s="64"/>
      <c r="DCJ25" s="64"/>
      <c r="DCK25" s="64"/>
      <c r="DCL25" s="64"/>
      <c r="DCM25" s="64"/>
      <c r="DCN25" s="64"/>
      <c r="DCO25" s="64"/>
      <c r="DCP25" s="64"/>
      <c r="DCQ25" s="64"/>
      <c r="DCR25" s="64"/>
      <c r="DCS25" s="64"/>
      <c r="DCT25" s="64"/>
      <c r="DCU25" s="64"/>
      <c r="DCV25" s="64"/>
      <c r="DCW25" s="64"/>
      <c r="DCX25" s="64"/>
      <c r="DCY25" s="64"/>
      <c r="DCZ25" s="64"/>
      <c r="DDA25" s="64"/>
      <c r="DDB25" s="64"/>
      <c r="DDC25" s="64"/>
      <c r="DDD25" s="64"/>
      <c r="DDE25" s="64"/>
      <c r="DDF25" s="64"/>
      <c r="DDG25" s="64"/>
      <c r="DDH25" s="64"/>
      <c r="DDI25" s="64"/>
      <c r="DDJ25" s="64"/>
      <c r="DDK25" s="64"/>
      <c r="DDL25" s="64"/>
      <c r="DDM25" s="64"/>
      <c r="DDN25" s="64"/>
      <c r="DDO25" s="64"/>
      <c r="DDP25" s="64"/>
      <c r="DDQ25" s="64"/>
      <c r="DDR25" s="64"/>
      <c r="DDS25" s="64"/>
      <c r="DDT25" s="64"/>
      <c r="DDU25" s="64"/>
      <c r="DDV25" s="64"/>
      <c r="DDW25" s="64"/>
      <c r="DDX25" s="64"/>
      <c r="DDY25" s="64"/>
      <c r="DDZ25" s="64"/>
      <c r="DEA25" s="64"/>
      <c r="DEB25" s="64"/>
      <c r="DEC25" s="64"/>
      <c r="DED25" s="64"/>
      <c r="DEE25" s="64"/>
      <c r="DEF25" s="64"/>
      <c r="DEG25" s="64"/>
      <c r="DEH25" s="64"/>
      <c r="DEI25" s="64"/>
      <c r="DEJ25" s="64"/>
      <c r="DEK25" s="64"/>
      <c r="DEL25" s="64"/>
      <c r="DEM25" s="64"/>
      <c r="DEN25" s="64"/>
      <c r="DEO25" s="64"/>
      <c r="DEP25" s="64"/>
      <c r="DEQ25" s="64"/>
      <c r="DER25" s="64"/>
      <c r="DES25" s="64"/>
      <c r="DET25" s="64"/>
      <c r="DEU25" s="64"/>
      <c r="DEV25" s="64"/>
      <c r="DEW25" s="64"/>
      <c r="DEX25" s="64"/>
      <c r="DEY25" s="64"/>
      <c r="DEZ25" s="64"/>
      <c r="DFA25" s="64"/>
      <c r="DFB25" s="64"/>
      <c r="DFC25" s="64"/>
      <c r="DFD25" s="64"/>
      <c r="DFE25" s="64"/>
      <c r="DFF25" s="64"/>
      <c r="DFG25" s="64"/>
      <c r="DFH25" s="64"/>
      <c r="DFI25" s="64"/>
      <c r="DFJ25" s="64"/>
      <c r="DFK25" s="64"/>
      <c r="DFL25" s="64"/>
      <c r="DFM25" s="64"/>
      <c r="DFN25" s="64"/>
      <c r="DFO25" s="64"/>
      <c r="DFP25" s="64"/>
      <c r="DFQ25" s="64"/>
      <c r="DFR25" s="64"/>
      <c r="DFS25" s="64"/>
      <c r="DFT25" s="64"/>
      <c r="DFU25" s="64"/>
      <c r="DFV25" s="64"/>
      <c r="DFW25" s="64"/>
      <c r="DFX25" s="64"/>
      <c r="DFY25" s="64"/>
      <c r="DFZ25" s="64"/>
      <c r="DGA25" s="64"/>
      <c r="DGB25" s="64"/>
      <c r="DGC25" s="64"/>
      <c r="DGD25" s="64"/>
      <c r="DGE25" s="64"/>
      <c r="DGF25" s="64"/>
      <c r="DGG25" s="64"/>
      <c r="DGH25" s="64"/>
      <c r="DGI25" s="64"/>
      <c r="DGJ25" s="64"/>
      <c r="DGK25" s="64"/>
      <c r="DGL25" s="64"/>
      <c r="DGM25" s="64"/>
      <c r="DGN25" s="64"/>
      <c r="DGO25" s="64"/>
      <c r="DGP25" s="64"/>
      <c r="DGQ25" s="64"/>
      <c r="DGR25" s="64"/>
      <c r="DGS25" s="64"/>
      <c r="DGT25" s="64"/>
      <c r="DGU25" s="64"/>
      <c r="DGV25" s="64"/>
      <c r="DGW25" s="64"/>
      <c r="DGX25" s="64"/>
      <c r="DGY25" s="64"/>
      <c r="DGZ25" s="64"/>
      <c r="DHA25" s="64"/>
      <c r="DHB25" s="64"/>
      <c r="DHC25" s="64"/>
      <c r="DHD25" s="64"/>
      <c r="DHE25" s="64"/>
      <c r="DHF25" s="64"/>
      <c r="DHG25" s="64"/>
      <c r="DHH25" s="64"/>
      <c r="DHI25" s="64"/>
      <c r="DHJ25" s="64"/>
      <c r="DHK25" s="64"/>
      <c r="DHL25" s="64"/>
      <c r="DHM25" s="64"/>
      <c r="DHN25" s="64"/>
      <c r="DHO25" s="64"/>
      <c r="DHP25" s="64"/>
      <c r="DHQ25" s="64"/>
      <c r="DHR25" s="64"/>
      <c r="DHS25" s="64"/>
      <c r="DHT25" s="64"/>
      <c r="DHU25" s="64"/>
      <c r="DHV25" s="64"/>
      <c r="DHW25" s="64"/>
      <c r="DHX25" s="64"/>
      <c r="DHY25" s="64"/>
      <c r="DHZ25" s="64"/>
      <c r="DIA25" s="64"/>
      <c r="DIB25" s="64"/>
      <c r="DIC25" s="64"/>
      <c r="DID25" s="64"/>
      <c r="DIE25" s="64"/>
      <c r="DIF25" s="64"/>
      <c r="DIG25" s="64"/>
      <c r="DIH25" s="64"/>
      <c r="DII25" s="64"/>
      <c r="DIJ25" s="64"/>
      <c r="DIK25" s="64"/>
      <c r="DIL25" s="64"/>
      <c r="DIM25" s="64"/>
      <c r="DIN25" s="64"/>
      <c r="DIO25" s="64"/>
      <c r="DIP25" s="64"/>
      <c r="DIQ25" s="64"/>
      <c r="DIR25" s="64"/>
      <c r="DIS25" s="64"/>
      <c r="DIT25" s="64"/>
      <c r="DIU25" s="64"/>
      <c r="DIV25" s="64"/>
      <c r="DIW25" s="64"/>
      <c r="DIX25" s="64"/>
      <c r="DIY25" s="64"/>
      <c r="DIZ25" s="64"/>
      <c r="DJA25" s="64"/>
      <c r="DJB25" s="64"/>
      <c r="DJC25" s="64"/>
      <c r="DJD25" s="64"/>
      <c r="DJE25" s="64"/>
      <c r="DJF25" s="64"/>
      <c r="DJG25" s="64"/>
      <c r="DJH25" s="64"/>
      <c r="DJI25" s="64"/>
      <c r="DJJ25" s="64"/>
      <c r="DJK25" s="64"/>
      <c r="DJL25" s="64"/>
      <c r="DJM25" s="64"/>
      <c r="DJN25" s="64"/>
      <c r="DJO25" s="64"/>
      <c r="DJP25" s="64"/>
      <c r="DJQ25" s="64"/>
      <c r="DJR25" s="64"/>
      <c r="DJS25" s="64"/>
      <c r="DJT25" s="64"/>
      <c r="DJU25" s="64"/>
      <c r="DJV25" s="64"/>
      <c r="DJW25" s="64"/>
      <c r="DJX25" s="64"/>
      <c r="DJY25" s="64"/>
      <c r="DJZ25" s="64"/>
      <c r="DKA25" s="64"/>
      <c r="DKB25" s="64"/>
      <c r="DKC25" s="64"/>
      <c r="DKD25" s="64"/>
      <c r="DKE25" s="64"/>
      <c r="DKF25" s="64"/>
      <c r="DKG25" s="64"/>
      <c r="DKH25" s="64"/>
      <c r="DKI25" s="64"/>
      <c r="DKJ25" s="64"/>
      <c r="DKK25" s="64"/>
      <c r="DKL25" s="64"/>
      <c r="DKM25" s="64"/>
      <c r="DKN25" s="64"/>
      <c r="DKO25" s="64"/>
      <c r="DKP25" s="64"/>
      <c r="DKQ25" s="64"/>
      <c r="DKR25" s="64"/>
      <c r="DKS25" s="64"/>
      <c r="DKT25" s="64"/>
      <c r="DKU25" s="64"/>
      <c r="DKV25" s="64"/>
      <c r="DKW25" s="64"/>
      <c r="DKX25" s="64"/>
      <c r="DKY25" s="64"/>
      <c r="DKZ25" s="64"/>
      <c r="DLA25" s="64"/>
      <c r="DLB25" s="64"/>
      <c r="DLC25" s="64"/>
      <c r="DLD25" s="64"/>
      <c r="DLE25" s="64"/>
      <c r="DLF25" s="64"/>
      <c r="DLG25" s="64"/>
      <c r="DLH25" s="64"/>
      <c r="DLI25" s="64"/>
      <c r="DLJ25" s="64"/>
      <c r="DLK25" s="64"/>
      <c r="DLL25" s="64"/>
      <c r="DLM25" s="64"/>
      <c r="DLN25" s="64"/>
      <c r="DLO25" s="64"/>
      <c r="DLP25" s="64"/>
      <c r="DLQ25" s="64"/>
      <c r="DLR25" s="64"/>
      <c r="DLS25" s="64"/>
      <c r="DLT25" s="64"/>
      <c r="DLU25" s="64"/>
      <c r="DLV25" s="64"/>
      <c r="DLW25" s="64"/>
      <c r="DLX25" s="64"/>
      <c r="DLY25" s="64"/>
      <c r="DLZ25" s="64"/>
      <c r="DMA25" s="64"/>
      <c r="DMB25" s="64"/>
      <c r="DMC25" s="64"/>
      <c r="DMD25" s="64"/>
      <c r="DME25" s="64"/>
      <c r="DMF25" s="64"/>
      <c r="DMG25" s="64"/>
      <c r="DMH25" s="64"/>
      <c r="DMI25" s="64"/>
      <c r="DMJ25" s="64"/>
      <c r="DMK25" s="64"/>
      <c r="DML25" s="64"/>
      <c r="DMM25" s="64"/>
      <c r="DMN25" s="64"/>
      <c r="DMO25" s="64"/>
      <c r="DMP25" s="64"/>
      <c r="DMQ25" s="64"/>
      <c r="DMR25" s="64"/>
      <c r="DMS25" s="64"/>
      <c r="DMT25" s="64"/>
      <c r="DMU25" s="64"/>
      <c r="DMV25" s="64"/>
      <c r="DMW25" s="64"/>
      <c r="DMX25" s="64"/>
      <c r="DMY25" s="64"/>
      <c r="DMZ25" s="64"/>
      <c r="DNA25" s="64"/>
      <c r="DNB25" s="64"/>
      <c r="DNC25" s="64"/>
      <c r="DND25" s="64"/>
      <c r="DNE25" s="64"/>
      <c r="DNF25" s="64"/>
      <c r="DNG25" s="64"/>
      <c r="DNH25" s="64"/>
      <c r="DNI25" s="64"/>
      <c r="DNJ25" s="64"/>
      <c r="DNK25" s="64"/>
      <c r="DNL25" s="64"/>
      <c r="DNM25" s="64"/>
      <c r="DNN25" s="64"/>
      <c r="DNO25" s="64"/>
      <c r="DNP25" s="64"/>
      <c r="DNQ25" s="64"/>
      <c r="DNR25" s="64"/>
      <c r="DNS25" s="64"/>
      <c r="DNT25" s="64"/>
      <c r="DNU25" s="64"/>
      <c r="DNV25" s="64"/>
      <c r="DNW25" s="64"/>
      <c r="DNX25" s="64"/>
      <c r="DNY25" s="64"/>
      <c r="DNZ25" s="64"/>
      <c r="DOA25" s="64"/>
      <c r="DOB25" s="64"/>
      <c r="DOC25" s="64"/>
      <c r="DOD25" s="64"/>
      <c r="DOE25" s="64"/>
      <c r="DOF25" s="64"/>
      <c r="DOG25" s="64"/>
      <c r="DOH25" s="64"/>
      <c r="DOI25" s="64"/>
      <c r="DOJ25" s="64"/>
      <c r="DOK25" s="64"/>
      <c r="DOL25" s="64"/>
      <c r="DOM25" s="64"/>
      <c r="DON25" s="64"/>
      <c r="DOO25" s="64"/>
      <c r="DOP25" s="64"/>
      <c r="DOQ25" s="64"/>
      <c r="DOR25" s="64"/>
      <c r="DOS25" s="64"/>
      <c r="DOT25" s="64"/>
      <c r="DOU25" s="64"/>
      <c r="DOV25" s="64"/>
      <c r="DOW25" s="64"/>
      <c r="DOX25" s="64"/>
      <c r="DOY25" s="64"/>
      <c r="DOZ25" s="64"/>
      <c r="DPA25" s="64"/>
      <c r="DPB25" s="64"/>
      <c r="DPC25" s="64"/>
      <c r="DPD25" s="64"/>
      <c r="DPE25" s="64"/>
      <c r="DPF25" s="64"/>
      <c r="DPG25" s="64"/>
      <c r="DPH25" s="64"/>
      <c r="DPI25" s="64"/>
      <c r="DPJ25" s="64"/>
      <c r="DPK25" s="64"/>
      <c r="DPL25" s="64"/>
      <c r="DPM25" s="64"/>
      <c r="DPN25" s="64"/>
      <c r="DPO25" s="64"/>
      <c r="DPP25" s="64"/>
      <c r="DPQ25" s="64"/>
      <c r="DPR25" s="64"/>
      <c r="DPS25" s="64"/>
      <c r="DPT25" s="64"/>
      <c r="DPU25" s="64"/>
      <c r="DPV25" s="64"/>
      <c r="DPW25" s="64"/>
      <c r="DPX25" s="64"/>
      <c r="DPY25" s="64"/>
      <c r="DPZ25" s="64"/>
      <c r="DQA25" s="64"/>
      <c r="DQB25" s="64"/>
      <c r="DQC25" s="64"/>
      <c r="DQD25" s="64"/>
      <c r="DQE25" s="64"/>
      <c r="DQF25" s="64"/>
      <c r="DQG25" s="64"/>
      <c r="DQH25" s="64"/>
      <c r="DQI25" s="64"/>
      <c r="DQJ25" s="64"/>
      <c r="DQK25" s="64"/>
      <c r="DQL25" s="64"/>
      <c r="DQM25" s="64"/>
      <c r="DQN25" s="64"/>
      <c r="DQO25" s="64"/>
      <c r="DQP25" s="64"/>
      <c r="DQQ25" s="64"/>
      <c r="DQR25" s="64"/>
      <c r="DQS25" s="64"/>
      <c r="DQT25" s="64"/>
      <c r="DQU25" s="64"/>
      <c r="DQV25" s="64"/>
      <c r="DQW25" s="64"/>
      <c r="DQX25" s="64"/>
      <c r="DQY25" s="64"/>
      <c r="DQZ25" s="64"/>
      <c r="DRA25" s="64"/>
      <c r="DRB25" s="64"/>
      <c r="DRC25" s="64"/>
      <c r="DRD25" s="64"/>
      <c r="DRE25" s="64"/>
      <c r="DRF25" s="64"/>
      <c r="DRG25" s="64"/>
      <c r="DRH25" s="64"/>
      <c r="DRI25" s="64"/>
      <c r="DRJ25" s="64"/>
      <c r="DRK25" s="64"/>
      <c r="DRL25" s="64"/>
      <c r="DRM25" s="64"/>
      <c r="DRN25" s="64"/>
      <c r="DRO25" s="64"/>
      <c r="DRP25" s="64"/>
      <c r="DRQ25" s="64"/>
      <c r="DRR25" s="64"/>
      <c r="DRS25" s="64"/>
      <c r="DRT25" s="64"/>
      <c r="DRU25" s="64"/>
      <c r="DRV25" s="64"/>
      <c r="DRW25" s="64"/>
      <c r="DRX25" s="64"/>
      <c r="DRY25" s="64"/>
      <c r="DRZ25" s="64"/>
      <c r="DSA25" s="64"/>
      <c r="DSB25" s="64"/>
      <c r="DSC25" s="64"/>
      <c r="DSD25" s="64"/>
      <c r="DSE25" s="64"/>
      <c r="DSF25" s="64"/>
      <c r="DSG25" s="64"/>
      <c r="DSH25" s="64"/>
      <c r="DSI25" s="64"/>
      <c r="DSJ25" s="64"/>
      <c r="DSK25" s="64"/>
      <c r="DSL25" s="64"/>
      <c r="DSM25" s="64"/>
      <c r="DSN25" s="64"/>
      <c r="DSO25" s="64"/>
      <c r="DSP25" s="64"/>
      <c r="DSQ25" s="64"/>
      <c r="DSR25" s="64"/>
      <c r="DSS25" s="64"/>
      <c r="DST25" s="64"/>
      <c r="DSU25" s="64"/>
      <c r="DSV25" s="64"/>
      <c r="DSW25" s="64"/>
      <c r="DSX25" s="64"/>
      <c r="DSY25" s="64"/>
      <c r="DSZ25" s="64"/>
      <c r="DTA25" s="64"/>
      <c r="DTB25" s="64"/>
      <c r="DTC25" s="64"/>
      <c r="DTD25" s="64"/>
      <c r="DTE25" s="64"/>
      <c r="DTF25" s="64"/>
      <c r="DTG25" s="64"/>
      <c r="DTH25" s="64"/>
      <c r="DTI25" s="64"/>
      <c r="DTJ25" s="64"/>
      <c r="DTK25" s="64"/>
      <c r="DTL25" s="64"/>
      <c r="DTM25" s="64"/>
      <c r="DTN25" s="64"/>
      <c r="DTO25" s="64"/>
      <c r="DTP25" s="64"/>
      <c r="DTQ25" s="64"/>
      <c r="DTR25" s="64"/>
      <c r="DTS25" s="64"/>
      <c r="DTT25" s="64"/>
      <c r="DTU25" s="64"/>
      <c r="DTV25" s="64"/>
      <c r="DTW25" s="64"/>
      <c r="DTX25" s="64"/>
      <c r="DTY25" s="64"/>
      <c r="DTZ25" s="64"/>
      <c r="DUA25" s="64"/>
      <c r="DUB25" s="64"/>
      <c r="DUC25" s="64"/>
      <c r="DUD25" s="64"/>
      <c r="DUE25" s="64"/>
      <c r="DUF25" s="64"/>
      <c r="DUG25" s="64"/>
      <c r="DUH25" s="64"/>
      <c r="DUI25" s="64"/>
      <c r="DUJ25" s="64"/>
      <c r="DUK25" s="64"/>
      <c r="DUL25" s="64"/>
      <c r="DUM25" s="64"/>
      <c r="DUN25" s="64"/>
      <c r="DUO25" s="64"/>
      <c r="DUP25" s="64"/>
      <c r="DUQ25" s="64"/>
      <c r="DUR25" s="64"/>
      <c r="DUS25" s="64"/>
      <c r="DUT25" s="64"/>
      <c r="DUU25" s="64"/>
      <c r="DUV25" s="64"/>
      <c r="DUW25" s="64"/>
      <c r="DUX25" s="64"/>
      <c r="DUY25" s="64"/>
      <c r="DUZ25" s="64"/>
      <c r="DVA25" s="64"/>
      <c r="DVB25" s="64"/>
      <c r="DVC25" s="64"/>
      <c r="DVD25" s="64"/>
      <c r="DVE25" s="64"/>
      <c r="DVF25" s="64"/>
      <c r="DVG25" s="64"/>
      <c r="DVH25" s="64"/>
      <c r="DVI25" s="64"/>
      <c r="DVJ25" s="64"/>
      <c r="DVK25" s="64"/>
      <c r="DVL25" s="64"/>
      <c r="DVM25" s="64"/>
      <c r="DVN25" s="64"/>
      <c r="DVO25" s="64"/>
      <c r="DVP25" s="64"/>
      <c r="DVQ25" s="64"/>
      <c r="DVR25" s="64"/>
      <c r="DVS25" s="64"/>
      <c r="DVT25" s="64"/>
      <c r="DVU25" s="64"/>
      <c r="DVV25" s="64"/>
      <c r="DVW25" s="64"/>
      <c r="DVX25" s="64"/>
      <c r="DVY25" s="64"/>
      <c r="DVZ25" s="64"/>
      <c r="DWA25" s="64"/>
      <c r="DWB25" s="64"/>
      <c r="DWC25" s="64"/>
      <c r="DWD25" s="64"/>
      <c r="DWE25" s="64"/>
      <c r="DWF25" s="64"/>
      <c r="DWG25" s="64"/>
      <c r="DWH25" s="64"/>
      <c r="DWI25" s="64"/>
      <c r="DWJ25" s="64"/>
      <c r="DWK25" s="64"/>
      <c r="DWL25" s="64"/>
      <c r="DWM25" s="64"/>
      <c r="DWN25" s="64"/>
      <c r="DWO25" s="64"/>
      <c r="DWP25" s="64"/>
      <c r="DWQ25" s="64"/>
      <c r="DWR25" s="64"/>
      <c r="DWS25" s="64"/>
      <c r="DWT25" s="64"/>
      <c r="DWU25" s="64"/>
      <c r="DWV25" s="64"/>
      <c r="DWW25" s="64"/>
      <c r="DWX25" s="64"/>
      <c r="DWY25" s="64"/>
      <c r="DWZ25" s="64"/>
      <c r="DXA25" s="64"/>
      <c r="DXB25" s="64"/>
      <c r="DXC25" s="64"/>
      <c r="DXD25" s="64"/>
      <c r="DXE25" s="64"/>
      <c r="DXF25" s="64"/>
      <c r="DXG25" s="64"/>
      <c r="DXH25" s="64"/>
      <c r="DXI25" s="64"/>
      <c r="DXJ25" s="64"/>
      <c r="DXK25" s="64"/>
      <c r="DXL25" s="64"/>
      <c r="DXM25" s="64"/>
      <c r="DXN25" s="64"/>
      <c r="DXO25" s="64"/>
      <c r="DXP25" s="64"/>
      <c r="DXQ25" s="64"/>
      <c r="DXR25" s="64"/>
      <c r="DXS25" s="64"/>
      <c r="DXT25" s="64"/>
      <c r="DXU25" s="64"/>
      <c r="DXV25" s="64"/>
      <c r="DXW25" s="64"/>
      <c r="DXX25" s="64"/>
      <c r="DXY25" s="64"/>
      <c r="DXZ25" s="64"/>
      <c r="DYA25" s="64"/>
      <c r="DYB25" s="64"/>
      <c r="DYC25" s="64"/>
      <c r="DYD25" s="64"/>
      <c r="DYE25" s="64"/>
      <c r="DYF25" s="64"/>
      <c r="DYG25" s="64"/>
      <c r="DYH25" s="64"/>
      <c r="DYI25" s="64"/>
      <c r="DYJ25" s="64"/>
      <c r="DYK25" s="64"/>
      <c r="DYL25" s="64"/>
      <c r="DYM25" s="64"/>
      <c r="DYN25" s="64"/>
      <c r="DYO25" s="64"/>
      <c r="DYP25" s="64"/>
      <c r="DYQ25" s="64"/>
      <c r="DYR25" s="64"/>
      <c r="DYS25" s="64"/>
      <c r="DYT25" s="64"/>
      <c r="DYU25" s="64"/>
      <c r="DYV25" s="64"/>
      <c r="DYW25" s="64"/>
      <c r="DYX25" s="64"/>
      <c r="DYY25" s="64"/>
      <c r="DYZ25" s="64"/>
      <c r="DZA25" s="64"/>
      <c r="DZB25" s="64"/>
      <c r="DZC25" s="64"/>
      <c r="DZD25" s="64"/>
      <c r="DZE25" s="64"/>
      <c r="DZF25" s="64"/>
      <c r="DZG25" s="64"/>
      <c r="DZH25" s="64"/>
      <c r="DZI25" s="64"/>
      <c r="DZJ25" s="64"/>
      <c r="DZK25" s="64"/>
      <c r="DZL25" s="64"/>
      <c r="DZM25" s="64"/>
      <c r="DZN25" s="64"/>
      <c r="DZO25" s="64"/>
      <c r="DZP25" s="64"/>
      <c r="DZQ25" s="64"/>
      <c r="DZR25" s="64"/>
      <c r="DZS25" s="64"/>
      <c r="DZT25" s="64"/>
      <c r="DZU25" s="64"/>
      <c r="DZV25" s="64"/>
      <c r="DZW25" s="64"/>
      <c r="DZX25" s="64"/>
      <c r="DZY25" s="64"/>
      <c r="DZZ25" s="64"/>
      <c r="EAA25" s="64"/>
      <c r="EAB25" s="64"/>
      <c r="EAC25" s="64"/>
      <c r="EAD25" s="64"/>
      <c r="EAE25" s="64"/>
      <c r="EAF25" s="64"/>
      <c r="EAG25" s="64"/>
      <c r="EAH25" s="64"/>
      <c r="EAI25" s="64"/>
      <c r="EAJ25" s="64"/>
      <c r="EAK25" s="64"/>
      <c r="EAL25" s="64"/>
      <c r="EAM25" s="64"/>
      <c r="EAN25" s="64"/>
      <c r="EAO25" s="64"/>
      <c r="EAP25" s="64"/>
      <c r="EAQ25" s="64"/>
      <c r="EAR25" s="64"/>
      <c r="EAS25" s="64"/>
      <c r="EAT25" s="64"/>
      <c r="EAU25" s="64"/>
      <c r="EAV25" s="64"/>
      <c r="EAW25" s="64"/>
      <c r="EAX25" s="64"/>
      <c r="EAY25" s="64"/>
      <c r="EAZ25" s="64"/>
      <c r="EBA25" s="64"/>
      <c r="EBB25" s="64"/>
      <c r="EBC25" s="64"/>
      <c r="EBD25" s="64"/>
      <c r="EBE25" s="64"/>
      <c r="EBF25" s="64"/>
      <c r="EBG25" s="64"/>
      <c r="EBH25" s="64"/>
      <c r="EBI25" s="64"/>
      <c r="EBJ25" s="64"/>
      <c r="EBK25" s="64"/>
      <c r="EBL25" s="64"/>
      <c r="EBM25" s="64"/>
      <c r="EBN25" s="64"/>
      <c r="EBO25" s="64"/>
      <c r="EBP25" s="64"/>
      <c r="EBQ25" s="64"/>
      <c r="EBR25" s="64"/>
      <c r="EBS25" s="64"/>
      <c r="EBT25" s="64"/>
      <c r="EBU25" s="64"/>
      <c r="EBV25" s="64"/>
      <c r="EBW25" s="64"/>
      <c r="EBX25" s="64"/>
      <c r="EBY25" s="64"/>
      <c r="EBZ25" s="64"/>
      <c r="ECA25" s="64"/>
      <c r="ECB25" s="64"/>
      <c r="ECC25" s="64"/>
      <c r="ECD25" s="64"/>
      <c r="ECE25" s="64"/>
      <c r="ECF25" s="64"/>
      <c r="ECG25" s="64"/>
      <c r="ECH25" s="64"/>
      <c r="ECI25" s="64"/>
      <c r="ECJ25" s="64"/>
      <c r="ECK25" s="64"/>
      <c r="ECL25" s="64"/>
      <c r="ECM25" s="64"/>
      <c r="ECN25" s="64"/>
      <c r="ECO25" s="64"/>
      <c r="ECP25" s="64"/>
      <c r="ECQ25" s="64"/>
      <c r="ECR25" s="64"/>
      <c r="ECS25" s="64"/>
      <c r="ECT25" s="64"/>
      <c r="ECU25" s="64"/>
      <c r="ECV25" s="64"/>
      <c r="ECW25" s="64"/>
      <c r="ECX25" s="64"/>
      <c r="ECY25" s="64"/>
      <c r="ECZ25" s="64"/>
      <c r="EDA25" s="64"/>
      <c r="EDB25" s="64"/>
      <c r="EDC25" s="64"/>
      <c r="EDD25" s="64"/>
      <c r="EDE25" s="64"/>
      <c r="EDF25" s="64"/>
      <c r="EDG25" s="64"/>
      <c r="EDH25" s="64"/>
      <c r="EDI25" s="64"/>
      <c r="EDJ25" s="64"/>
      <c r="EDK25" s="64"/>
      <c r="EDL25" s="64"/>
      <c r="EDM25" s="64"/>
      <c r="EDN25" s="64"/>
      <c r="EDO25" s="64"/>
      <c r="EDP25" s="64"/>
      <c r="EDQ25" s="64"/>
      <c r="EDR25" s="64"/>
      <c r="EDS25" s="64"/>
      <c r="EDT25" s="64"/>
      <c r="EDU25" s="64"/>
      <c r="EDV25" s="64"/>
      <c r="EDW25" s="64"/>
      <c r="EDX25" s="64"/>
      <c r="EDY25" s="64"/>
      <c r="EDZ25" s="64"/>
      <c r="EEA25" s="64"/>
      <c r="EEB25" s="64"/>
      <c r="EEC25" s="64"/>
      <c r="EED25" s="64"/>
      <c r="EEE25" s="64"/>
      <c r="EEF25" s="64"/>
      <c r="EEG25" s="64"/>
      <c r="EEH25" s="64"/>
      <c r="EEI25" s="64"/>
      <c r="EEJ25" s="64"/>
      <c r="EEK25" s="64"/>
      <c r="EEL25" s="64"/>
      <c r="EEM25" s="64"/>
      <c r="EEN25" s="64"/>
      <c r="EEO25" s="64"/>
      <c r="EEP25" s="64"/>
      <c r="EEQ25" s="64"/>
      <c r="EER25" s="64"/>
      <c r="EES25" s="64"/>
      <c r="EET25" s="64"/>
      <c r="EEU25" s="64"/>
      <c r="EEV25" s="64"/>
      <c r="EEW25" s="64"/>
      <c r="EEX25" s="64"/>
      <c r="EEY25" s="64"/>
      <c r="EEZ25" s="64"/>
      <c r="EFA25" s="64"/>
      <c r="EFB25" s="64"/>
      <c r="EFC25" s="64"/>
      <c r="EFD25" s="64"/>
      <c r="EFE25" s="64"/>
      <c r="EFF25" s="64"/>
      <c r="EFG25" s="64"/>
      <c r="EFH25" s="64"/>
      <c r="EFI25" s="64"/>
      <c r="EFJ25" s="64"/>
      <c r="EFK25" s="64"/>
      <c r="EFL25" s="64"/>
      <c r="EFM25" s="64"/>
      <c r="EFN25" s="64"/>
      <c r="EFO25" s="64"/>
      <c r="EFP25" s="64"/>
      <c r="EFQ25" s="64"/>
      <c r="EFR25" s="64"/>
      <c r="EFS25" s="64"/>
      <c r="EFT25" s="64"/>
      <c r="EFU25" s="64"/>
      <c r="EFV25" s="64"/>
      <c r="EFW25" s="64"/>
      <c r="EFX25" s="64"/>
      <c r="EFY25" s="64"/>
      <c r="EFZ25" s="64"/>
      <c r="EGA25" s="64"/>
      <c r="EGB25" s="64"/>
      <c r="EGC25" s="64"/>
      <c r="EGD25" s="64"/>
      <c r="EGE25" s="64"/>
      <c r="EGF25" s="64"/>
      <c r="EGG25" s="64"/>
      <c r="EGH25" s="64"/>
      <c r="EGI25" s="64"/>
      <c r="EGJ25" s="64"/>
      <c r="EGK25" s="64"/>
      <c r="EGL25" s="64"/>
      <c r="EGM25" s="64"/>
      <c r="EGN25" s="64"/>
      <c r="EGO25" s="64"/>
      <c r="EGP25" s="64"/>
      <c r="EGQ25" s="64"/>
      <c r="EGR25" s="64"/>
      <c r="EGS25" s="64"/>
      <c r="EGT25" s="64"/>
      <c r="EGU25" s="64"/>
      <c r="EGV25" s="64"/>
      <c r="EGW25" s="64"/>
      <c r="EGX25" s="64"/>
      <c r="EGY25" s="64"/>
      <c r="EGZ25" s="64"/>
      <c r="EHA25" s="64"/>
      <c r="EHB25" s="64"/>
      <c r="EHC25" s="64"/>
      <c r="EHD25" s="64"/>
      <c r="EHE25" s="64"/>
      <c r="EHF25" s="64"/>
      <c r="EHG25" s="64"/>
      <c r="EHH25" s="64"/>
      <c r="EHI25" s="64"/>
      <c r="EHJ25" s="64"/>
      <c r="EHK25" s="64"/>
      <c r="EHL25" s="64"/>
      <c r="EHM25" s="64"/>
      <c r="EHN25" s="64"/>
      <c r="EHO25" s="64"/>
      <c r="EHP25" s="64"/>
      <c r="EHQ25" s="64"/>
      <c r="EHR25" s="64"/>
      <c r="EHS25" s="64"/>
      <c r="EHT25" s="64"/>
      <c r="EHU25" s="64"/>
      <c r="EHV25" s="64"/>
      <c r="EHW25" s="64"/>
      <c r="EHX25" s="64"/>
      <c r="EHY25" s="64"/>
      <c r="EHZ25" s="64"/>
      <c r="EIA25" s="64"/>
      <c r="EIB25" s="64"/>
      <c r="EIC25" s="64"/>
      <c r="EID25" s="64"/>
      <c r="EIE25" s="64"/>
      <c r="EIF25" s="64"/>
      <c r="EIG25" s="64"/>
      <c r="EIH25" s="64"/>
      <c r="EII25" s="64"/>
      <c r="EIJ25" s="64"/>
      <c r="EIK25" s="64"/>
      <c r="EIL25" s="64"/>
      <c r="EIM25" s="64"/>
      <c r="EIN25" s="64"/>
      <c r="EIO25" s="64"/>
      <c r="EIP25" s="64"/>
      <c r="EIQ25" s="64"/>
      <c r="EIR25" s="64"/>
      <c r="EIS25" s="64"/>
      <c r="EIT25" s="64"/>
      <c r="EIU25" s="64"/>
      <c r="EIV25" s="64"/>
      <c r="EIW25" s="64"/>
      <c r="EIX25" s="64"/>
      <c r="EIY25" s="64"/>
      <c r="EIZ25" s="64"/>
      <c r="EJA25" s="64"/>
      <c r="EJB25" s="64"/>
      <c r="EJC25" s="64"/>
      <c r="EJD25" s="64"/>
      <c r="EJE25" s="64"/>
      <c r="EJF25" s="64"/>
      <c r="EJG25" s="64"/>
      <c r="EJH25" s="64"/>
      <c r="EJI25" s="64"/>
      <c r="EJJ25" s="64"/>
      <c r="EJK25" s="64"/>
      <c r="EJL25" s="64"/>
      <c r="EJM25" s="64"/>
      <c r="EJN25" s="64"/>
      <c r="EJO25" s="64"/>
      <c r="EJP25" s="64"/>
      <c r="EJQ25" s="64"/>
      <c r="EJR25" s="64"/>
      <c r="EJS25" s="64"/>
      <c r="EJT25" s="64"/>
      <c r="EJU25" s="64"/>
      <c r="EJV25" s="64"/>
      <c r="EJW25" s="64"/>
      <c r="EJX25" s="64"/>
      <c r="EJY25" s="64"/>
      <c r="EJZ25" s="64"/>
      <c r="EKA25" s="64"/>
      <c r="EKB25" s="64"/>
      <c r="EKC25" s="64"/>
      <c r="EKD25" s="64"/>
      <c r="EKE25" s="64"/>
      <c r="EKF25" s="64"/>
      <c r="EKG25" s="64"/>
      <c r="EKH25" s="64"/>
      <c r="EKI25" s="64"/>
      <c r="EKJ25" s="64"/>
      <c r="EKK25" s="64"/>
      <c r="EKL25" s="64"/>
      <c r="EKM25" s="64"/>
      <c r="EKN25" s="64"/>
      <c r="EKO25" s="64"/>
      <c r="EKP25" s="64"/>
      <c r="EKQ25" s="64"/>
      <c r="EKR25" s="64"/>
      <c r="EKS25" s="64"/>
      <c r="EKT25" s="64"/>
      <c r="EKU25" s="64"/>
      <c r="EKV25" s="64"/>
      <c r="EKW25" s="64"/>
      <c r="EKX25" s="64"/>
      <c r="EKY25" s="64"/>
      <c r="EKZ25" s="64"/>
      <c r="ELA25" s="64"/>
      <c r="ELB25" s="64"/>
      <c r="ELC25" s="64"/>
      <c r="ELD25" s="64"/>
      <c r="ELE25" s="64"/>
      <c r="ELF25" s="64"/>
      <c r="ELG25" s="64"/>
      <c r="ELH25" s="64"/>
      <c r="ELI25" s="64"/>
      <c r="ELJ25" s="64"/>
      <c r="ELK25" s="64"/>
      <c r="ELL25" s="64"/>
      <c r="ELM25" s="64"/>
      <c r="ELN25" s="64"/>
      <c r="ELO25" s="64"/>
      <c r="ELP25" s="64"/>
      <c r="ELQ25" s="64"/>
      <c r="ELR25" s="64"/>
      <c r="ELS25" s="64"/>
      <c r="ELT25" s="64"/>
      <c r="ELU25" s="64"/>
      <c r="ELV25" s="64"/>
      <c r="ELW25" s="64"/>
      <c r="ELX25" s="64"/>
      <c r="ELY25" s="64"/>
      <c r="ELZ25" s="64"/>
      <c r="EMA25" s="64"/>
      <c r="EMB25" s="64"/>
      <c r="EMC25" s="64"/>
      <c r="EMD25" s="64"/>
      <c r="EME25" s="64"/>
      <c r="EMF25" s="64"/>
      <c r="EMG25" s="64"/>
      <c r="EMH25" s="64"/>
      <c r="EMI25" s="64"/>
      <c r="EMJ25" s="64"/>
      <c r="EMK25" s="64"/>
      <c r="EML25" s="64"/>
      <c r="EMM25" s="64"/>
      <c r="EMN25" s="64"/>
      <c r="EMO25" s="64"/>
      <c r="EMP25" s="64"/>
      <c r="EMQ25" s="64"/>
      <c r="EMR25" s="64"/>
      <c r="EMS25" s="64"/>
      <c r="EMT25" s="64"/>
      <c r="EMU25" s="64"/>
      <c r="EMV25" s="64"/>
      <c r="EMW25" s="64"/>
      <c r="EMX25" s="64"/>
      <c r="EMY25" s="64"/>
      <c r="EMZ25" s="64"/>
      <c r="ENA25" s="64"/>
      <c r="ENB25" s="64"/>
      <c r="ENC25" s="64"/>
      <c r="END25" s="64"/>
      <c r="ENE25" s="64"/>
      <c r="ENF25" s="64"/>
      <c r="ENG25" s="64"/>
      <c r="ENH25" s="64"/>
      <c r="ENI25" s="64"/>
      <c r="ENJ25" s="64"/>
      <c r="ENK25" s="64"/>
      <c r="ENL25" s="64"/>
      <c r="ENM25" s="64"/>
      <c r="ENN25" s="64"/>
      <c r="ENO25" s="64"/>
      <c r="ENP25" s="64"/>
      <c r="ENQ25" s="64"/>
      <c r="ENR25" s="64"/>
      <c r="ENS25" s="64"/>
      <c r="ENT25" s="64"/>
      <c r="ENU25" s="64"/>
      <c r="ENV25" s="64"/>
      <c r="ENW25" s="64"/>
      <c r="ENX25" s="64"/>
      <c r="ENY25" s="64"/>
      <c r="ENZ25" s="64"/>
      <c r="EOA25" s="64"/>
      <c r="EOB25" s="64"/>
      <c r="EOC25" s="64"/>
      <c r="EOD25" s="64"/>
      <c r="EOE25" s="64"/>
      <c r="EOF25" s="64"/>
      <c r="EOG25" s="64"/>
      <c r="EOH25" s="64"/>
      <c r="EOI25" s="64"/>
      <c r="EOJ25" s="64"/>
      <c r="EOK25" s="64"/>
      <c r="EOL25" s="64"/>
      <c r="EOM25" s="64"/>
      <c r="EON25" s="64"/>
      <c r="EOO25" s="64"/>
      <c r="EOP25" s="64"/>
      <c r="EOQ25" s="64"/>
      <c r="EOR25" s="64"/>
      <c r="EOS25" s="64"/>
      <c r="EOT25" s="64"/>
      <c r="EOU25" s="64"/>
      <c r="EOV25" s="64"/>
      <c r="EOW25" s="64"/>
      <c r="EOX25" s="64"/>
      <c r="EOY25" s="64"/>
      <c r="EOZ25" s="64"/>
      <c r="EPA25" s="64"/>
      <c r="EPB25" s="64"/>
      <c r="EPC25" s="64"/>
      <c r="EPD25" s="64"/>
      <c r="EPE25" s="64"/>
      <c r="EPF25" s="64"/>
      <c r="EPG25" s="64"/>
      <c r="EPH25" s="64"/>
      <c r="EPI25" s="64"/>
      <c r="EPJ25" s="64"/>
      <c r="EPK25" s="64"/>
      <c r="EPL25" s="64"/>
      <c r="EPM25" s="64"/>
      <c r="EPN25" s="64"/>
      <c r="EPO25" s="64"/>
      <c r="EPP25" s="64"/>
      <c r="EPQ25" s="64"/>
      <c r="EPR25" s="64"/>
      <c r="EPS25" s="64"/>
      <c r="EPT25" s="64"/>
      <c r="EPU25" s="64"/>
      <c r="EPV25" s="64"/>
      <c r="EPW25" s="64"/>
      <c r="EPX25" s="64"/>
      <c r="EPY25" s="64"/>
      <c r="EPZ25" s="64"/>
      <c r="EQA25" s="64"/>
      <c r="EQB25" s="64"/>
      <c r="EQC25" s="64"/>
      <c r="EQD25" s="64"/>
      <c r="EQE25" s="64"/>
      <c r="EQF25" s="64"/>
      <c r="EQG25" s="64"/>
      <c r="EQH25" s="64"/>
      <c r="EQI25" s="64"/>
      <c r="EQJ25" s="64"/>
      <c r="EQK25" s="64"/>
      <c r="EQL25" s="64"/>
      <c r="EQM25" s="64"/>
      <c r="EQN25" s="64"/>
      <c r="EQO25" s="64"/>
      <c r="EQP25" s="64"/>
      <c r="EQQ25" s="64"/>
      <c r="EQR25" s="64"/>
      <c r="EQS25" s="64"/>
      <c r="EQT25" s="64"/>
      <c r="EQU25" s="64"/>
      <c r="EQV25" s="64"/>
      <c r="EQW25" s="64"/>
      <c r="EQX25" s="64"/>
      <c r="EQY25" s="64"/>
      <c r="EQZ25" s="64"/>
      <c r="ERA25" s="64"/>
      <c r="ERB25" s="64"/>
      <c r="ERC25" s="64"/>
      <c r="ERD25" s="64"/>
      <c r="ERE25" s="64"/>
      <c r="ERF25" s="64"/>
      <c r="ERG25" s="64"/>
      <c r="ERH25" s="64"/>
      <c r="ERI25" s="64"/>
      <c r="ERJ25" s="64"/>
      <c r="ERK25" s="64"/>
      <c r="ERL25" s="64"/>
      <c r="ERM25" s="64"/>
      <c r="ERN25" s="64"/>
      <c r="ERO25" s="64"/>
      <c r="ERP25" s="64"/>
      <c r="ERQ25" s="64"/>
      <c r="ERR25" s="64"/>
      <c r="ERS25" s="64"/>
      <c r="ERT25" s="64"/>
      <c r="ERU25" s="64"/>
      <c r="ERV25" s="64"/>
      <c r="ERW25" s="64"/>
      <c r="ERX25" s="64"/>
      <c r="ERY25" s="64"/>
      <c r="ERZ25" s="64"/>
      <c r="ESA25" s="64"/>
      <c r="ESB25" s="64"/>
      <c r="ESC25" s="64"/>
      <c r="ESD25" s="64"/>
      <c r="ESE25" s="64"/>
      <c r="ESF25" s="64"/>
      <c r="ESG25" s="64"/>
      <c r="ESH25" s="64"/>
      <c r="ESI25" s="64"/>
      <c r="ESJ25" s="64"/>
      <c r="ESK25" s="64"/>
      <c r="ESL25" s="64"/>
      <c r="ESM25" s="64"/>
      <c r="ESN25" s="64"/>
      <c r="ESO25" s="64"/>
      <c r="ESP25" s="64"/>
      <c r="ESQ25" s="64"/>
      <c r="ESR25" s="64"/>
      <c r="ESS25" s="64"/>
      <c r="EST25" s="64"/>
      <c r="ESU25" s="64"/>
      <c r="ESV25" s="64"/>
      <c r="ESW25" s="64"/>
      <c r="ESX25" s="64"/>
      <c r="ESY25" s="64"/>
      <c r="ESZ25" s="64"/>
      <c r="ETA25" s="64"/>
      <c r="ETB25" s="64"/>
      <c r="ETC25" s="64"/>
      <c r="ETD25" s="64"/>
      <c r="ETE25" s="64"/>
      <c r="ETF25" s="64"/>
      <c r="ETG25" s="64"/>
      <c r="ETH25" s="64"/>
      <c r="ETI25" s="64"/>
      <c r="ETJ25" s="64"/>
      <c r="ETK25" s="64"/>
      <c r="ETL25" s="64"/>
      <c r="ETM25" s="64"/>
      <c r="ETN25" s="64"/>
      <c r="ETO25" s="64"/>
      <c r="ETP25" s="64"/>
      <c r="ETQ25" s="64"/>
      <c r="ETR25" s="64"/>
      <c r="ETS25" s="64"/>
      <c r="ETT25" s="64"/>
      <c r="ETU25" s="64"/>
      <c r="ETV25" s="64"/>
      <c r="ETW25" s="64"/>
      <c r="ETX25" s="64"/>
      <c r="ETY25" s="64"/>
      <c r="ETZ25" s="64"/>
      <c r="EUA25" s="64"/>
      <c r="EUB25" s="64"/>
      <c r="EUC25" s="64"/>
      <c r="EUD25" s="64"/>
      <c r="EUE25" s="64"/>
      <c r="EUF25" s="64"/>
      <c r="EUG25" s="64"/>
      <c r="EUH25" s="64"/>
      <c r="EUI25" s="64"/>
      <c r="EUJ25" s="64"/>
      <c r="EUK25" s="64"/>
      <c r="EUL25" s="64"/>
      <c r="EUM25" s="64"/>
      <c r="EUN25" s="64"/>
      <c r="EUO25" s="64"/>
      <c r="EUP25" s="64"/>
      <c r="EUQ25" s="64"/>
      <c r="EUR25" s="64"/>
      <c r="EUS25" s="64"/>
      <c r="EUT25" s="64"/>
      <c r="EUU25" s="64"/>
      <c r="EUV25" s="64"/>
      <c r="EUW25" s="64"/>
      <c r="EUX25" s="64"/>
      <c r="EUY25" s="64"/>
      <c r="EUZ25" s="64"/>
      <c r="EVA25" s="64"/>
      <c r="EVB25" s="64"/>
      <c r="EVC25" s="64"/>
      <c r="EVD25" s="64"/>
      <c r="EVE25" s="64"/>
      <c r="EVF25" s="64"/>
      <c r="EVG25" s="64"/>
      <c r="EVH25" s="64"/>
      <c r="EVI25" s="64"/>
      <c r="EVJ25" s="64"/>
      <c r="EVK25" s="64"/>
      <c r="EVL25" s="64"/>
      <c r="EVM25" s="64"/>
      <c r="EVN25" s="64"/>
      <c r="EVO25" s="64"/>
      <c r="EVP25" s="64"/>
      <c r="EVQ25" s="64"/>
      <c r="EVR25" s="64"/>
      <c r="EVS25" s="64"/>
      <c r="EVT25" s="64"/>
      <c r="EVU25" s="64"/>
      <c r="EVV25" s="64"/>
      <c r="EVW25" s="64"/>
      <c r="EVX25" s="64"/>
      <c r="EVY25" s="64"/>
      <c r="EVZ25" s="64"/>
      <c r="EWA25" s="64"/>
      <c r="EWB25" s="64"/>
      <c r="EWC25" s="64"/>
      <c r="EWD25" s="64"/>
      <c r="EWE25" s="64"/>
      <c r="EWF25" s="64"/>
      <c r="EWG25" s="64"/>
      <c r="EWH25" s="64"/>
      <c r="EWI25" s="64"/>
      <c r="EWJ25" s="64"/>
      <c r="EWK25" s="64"/>
      <c r="EWL25" s="64"/>
      <c r="EWM25" s="64"/>
      <c r="EWN25" s="64"/>
      <c r="EWO25" s="64"/>
      <c r="EWP25" s="64"/>
      <c r="EWQ25" s="64"/>
      <c r="EWR25" s="64"/>
      <c r="EWS25" s="64"/>
      <c r="EWT25" s="64"/>
      <c r="EWU25" s="64"/>
      <c r="EWV25" s="64"/>
      <c r="EWW25" s="64"/>
      <c r="EWX25" s="64"/>
      <c r="EWY25" s="64"/>
      <c r="EWZ25" s="64"/>
      <c r="EXA25" s="64"/>
      <c r="EXB25" s="64"/>
      <c r="EXC25" s="64"/>
      <c r="EXD25" s="64"/>
      <c r="EXE25" s="64"/>
      <c r="EXF25" s="64"/>
      <c r="EXG25" s="64"/>
      <c r="EXH25" s="64"/>
      <c r="EXI25" s="64"/>
      <c r="EXJ25" s="64"/>
      <c r="EXK25" s="64"/>
      <c r="EXL25" s="64"/>
      <c r="EXM25" s="64"/>
      <c r="EXN25" s="64"/>
      <c r="EXO25" s="64"/>
      <c r="EXP25" s="64"/>
      <c r="EXQ25" s="64"/>
      <c r="EXR25" s="64"/>
      <c r="EXS25" s="64"/>
      <c r="EXT25" s="64"/>
      <c r="EXU25" s="64"/>
      <c r="EXV25" s="64"/>
      <c r="EXW25" s="64"/>
      <c r="EXX25" s="64"/>
      <c r="EXY25" s="64"/>
      <c r="EXZ25" s="64"/>
      <c r="EYA25" s="64"/>
      <c r="EYB25" s="64"/>
      <c r="EYC25" s="64"/>
      <c r="EYD25" s="64"/>
      <c r="EYE25" s="64"/>
      <c r="EYF25" s="64"/>
      <c r="EYG25" s="64"/>
      <c r="EYH25" s="64"/>
      <c r="EYI25" s="64"/>
      <c r="EYJ25" s="64"/>
      <c r="EYK25" s="64"/>
      <c r="EYL25" s="64"/>
      <c r="EYM25" s="64"/>
      <c r="EYN25" s="64"/>
      <c r="EYO25" s="64"/>
      <c r="EYP25" s="64"/>
      <c r="EYQ25" s="64"/>
      <c r="EYR25" s="64"/>
      <c r="EYS25" s="64"/>
      <c r="EYT25" s="64"/>
      <c r="EYU25" s="64"/>
      <c r="EYV25" s="64"/>
      <c r="EYW25" s="64"/>
      <c r="EYX25" s="64"/>
      <c r="EYY25" s="64"/>
      <c r="EYZ25" s="64"/>
      <c r="EZA25" s="64"/>
      <c r="EZB25" s="64"/>
      <c r="EZC25" s="64"/>
      <c r="EZD25" s="64"/>
      <c r="EZE25" s="64"/>
      <c r="EZF25" s="64"/>
      <c r="EZG25" s="64"/>
      <c r="EZH25" s="64"/>
      <c r="EZI25" s="64"/>
      <c r="EZJ25" s="64"/>
      <c r="EZK25" s="64"/>
      <c r="EZL25" s="64"/>
      <c r="EZM25" s="64"/>
      <c r="EZN25" s="64"/>
      <c r="EZO25" s="64"/>
      <c r="EZP25" s="64"/>
      <c r="EZQ25" s="64"/>
      <c r="EZR25" s="64"/>
      <c r="EZS25" s="64"/>
      <c r="EZT25" s="64"/>
      <c r="EZU25" s="64"/>
      <c r="EZV25" s="64"/>
      <c r="EZW25" s="64"/>
      <c r="EZX25" s="64"/>
      <c r="EZY25" s="64"/>
      <c r="EZZ25" s="64"/>
      <c r="FAA25" s="64"/>
      <c r="FAB25" s="64"/>
      <c r="FAC25" s="64"/>
      <c r="FAD25" s="64"/>
      <c r="FAE25" s="64"/>
      <c r="FAF25" s="64"/>
      <c r="FAG25" s="64"/>
      <c r="FAH25" s="64"/>
      <c r="FAI25" s="64"/>
      <c r="FAJ25" s="64"/>
      <c r="FAK25" s="64"/>
      <c r="FAL25" s="64"/>
      <c r="FAM25" s="64"/>
      <c r="FAN25" s="64"/>
      <c r="FAO25" s="64"/>
      <c r="FAP25" s="64"/>
      <c r="FAQ25" s="64"/>
      <c r="FAR25" s="64"/>
      <c r="FAS25" s="64"/>
      <c r="FAT25" s="64"/>
      <c r="FAU25" s="64"/>
      <c r="FAV25" s="64"/>
      <c r="FAW25" s="64"/>
      <c r="FAX25" s="64"/>
      <c r="FAY25" s="64"/>
      <c r="FAZ25" s="64"/>
      <c r="FBA25" s="64"/>
      <c r="FBB25" s="64"/>
      <c r="FBC25" s="64"/>
      <c r="FBD25" s="64"/>
      <c r="FBE25" s="64"/>
      <c r="FBF25" s="64"/>
      <c r="FBG25" s="64"/>
      <c r="FBH25" s="64"/>
      <c r="FBI25" s="64"/>
      <c r="FBJ25" s="64"/>
      <c r="FBK25" s="64"/>
      <c r="FBL25" s="64"/>
      <c r="FBM25" s="64"/>
      <c r="FBN25" s="64"/>
      <c r="FBO25" s="64"/>
      <c r="FBP25" s="64"/>
      <c r="FBQ25" s="64"/>
      <c r="FBR25" s="64"/>
      <c r="FBS25" s="64"/>
      <c r="FBT25" s="64"/>
      <c r="FBU25" s="64"/>
      <c r="FBV25" s="64"/>
      <c r="FBW25" s="64"/>
      <c r="FBX25" s="64"/>
      <c r="FBY25" s="64"/>
      <c r="FBZ25" s="64"/>
      <c r="FCA25" s="64"/>
      <c r="FCB25" s="64"/>
      <c r="FCC25" s="64"/>
      <c r="FCD25" s="64"/>
      <c r="FCE25" s="64"/>
      <c r="FCF25" s="64"/>
      <c r="FCG25" s="64"/>
      <c r="FCH25" s="64"/>
      <c r="FCI25" s="64"/>
      <c r="FCJ25" s="64"/>
      <c r="FCK25" s="64"/>
      <c r="FCL25" s="64"/>
      <c r="FCM25" s="64"/>
      <c r="FCN25" s="64"/>
      <c r="FCO25" s="64"/>
      <c r="FCP25" s="64"/>
      <c r="FCQ25" s="64"/>
      <c r="FCR25" s="64"/>
      <c r="FCS25" s="64"/>
      <c r="FCT25" s="64"/>
      <c r="FCU25" s="64"/>
      <c r="FCV25" s="64"/>
      <c r="FCW25" s="64"/>
      <c r="FCX25" s="64"/>
      <c r="FCY25" s="64"/>
      <c r="FCZ25" s="64"/>
      <c r="FDA25" s="64"/>
      <c r="FDB25" s="64"/>
      <c r="FDC25" s="64"/>
      <c r="FDD25" s="64"/>
      <c r="FDE25" s="64"/>
      <c r="FDF25" s="64"/>
      <c r="FDG25" s="64"/>
      <c r="FDH25" s="64"/>
      <c r="FDI25" s="64"/>
      <c r="FDJ25" s="64"/>
      <c r="FDK25" s="64"/>
      <c r="FDL25" s="64"/>
      <c r="FDM25" s="64"/>
      <c r="FDN25" s="64"/>
      <c r="FDO25" s="64"/>
      <c r="FDP25" s="64"/>
      <c r="FDQ25" s="64"/>
      <c r="FDR25" s="64"/>
      <c r="FDS25" s="64"/>
      <c r="FDT25" s="64"/>
      <c r="FDU25" s="64"/>
      <c r="FDV25" s="64"/>
      <c r="FDW25" s="64"/>
      <c r="FDX25" s="64"/>
      <c r="FDY25" s="64"/>
      <c r="FDZ25" s="64"/>
      <c r="FEA25" s="64"/>
      <c r="FEB25" s="64"/>
      <c r="FEC25" s="64"/>
      <c r="FED25" s="64"/>
      <c r="FEE25" s="64"/>
      <c r="FEF25" s="64"/>
      <c r="FEG25" s="64"/>
      <c r="FEH25" s="64"/>
      <c r="FEI25" s="64"/>
      <c r="FEJ25" s="64"/>
      <c r="FEK25" s="64"/>
      <c r="FEL25" s="64"/>
      <c r="FEM25" s="64"/>
      <c r="FEN25" s="64"/>
      <c r="FEO25" s="64"/>
      <c r="FEP25" s="64"/>
      <c r="FEQ25" s="64"/>
      <c r="FER25" s="64"/>
      <c r="FES25" s="64"/>
      <c r="FET25" s="64"/>
      <c r="FEU25" s="64"/>
      <c r="FEV25" s="64"/>
      <c r="FEW25" s="64"/>
      <c r="FEX25" s="64"/>
      <c r="FEY25" s="64"/>
      <c r="FEZ25" s="64"/>
      <c r="FFA25" s="64"/>
      <c r="FFB25" s="64"/>
      <c r="FFC25" s="64"/>
      <c r="FFD25" s="64"/>
      <c r="FFE25" s="64"/>
      <c r="FFF25" s="64"/>
      <c r="FFG25" s="64"/>
      <c r="FFH25" s="64"/>
      <c r="FFI25" s="64"/>
      <c r="FFJ25" s="64"/>
      <c r="FFK25" s="64"/>
      <c r="FFL25" s="64"/>
      <c r="FFM25" s="64"/>
      <c r="FFN25" s="64"/>
      <c r="FFO25" s="64"/>
      <c r="FFP25" s="64"/>
      <c r="FFQ25" s="64"/>
      <c r="FFR25" s="64"/>
      <c r="FFS25" s="64"/>
      <c r="FFT25" s="64"/>
      <c r="FFU25" s="64"/>
      <c r="FFV25" s="64"/>
      <c r="FFW25" s="64"/>
      <c r="FFX25" s="64"/>
      <c r="FFY25" s="64"/>
      <c r="FFZ25" s="64"/>
      <c r="FGA25" s="64"/>
      <c r="FGB25" s="64"/>
      <c r="FGC25" s="64"/>
      <c r="FGD25" s="64"/>
      <c r="FGE25" s="64"/>
      <c r="FGF25" s="64"/>
      <c r="FGG25" s="64"/>
      <c r="FGH25" s="64"/>
      <c r="FGI25" s="64"/>
      <c r="FGJ25" s="64"/>
      <c r="FGK25" s="64"/>
      <c r="FGL25" s="64"/>
      <c r="FGM25" s="64"/>
      <c r="FGN25" s="64"/>
      <c r="FGO25" s="64"/>
      <c r="FGP25" s="64"/>
      <c r="FGQ25" s="64"/>
      <c r="FGR25" s="64"/>
      <c r="FGS25" s="64"/>
      <c r="FGT25" s="64"/>
      <c r="FGU25" s="64"/>
      <c r="FGV25" s="64"/>
      <c r="FGW25" s="64"/>
      <c r="FGX25" s="64"/>
      <c r="FGY25" s="64"/>
      <c r="FGZ25" s="64"/>
      <c r="FHA25" s="64"/>
      <c r="FHB25" s="64"/>
      <c r="FHC25" s="64"/>
      <c r="FHD25" s="64"/>
      <c r="FHE25" s="64"/>
      <c r="FHF25" s="64"/>
      <c r="FHG25" s="64"/>
      <c r="FHH25" s="64"/>
      <c r="FHI25" s="64"/>
      <c r="FHJ25" s="64"/>
      <c r="FHK25" s="64"/>
      <c r="FHL25" s="64"/>
      <c r="FHM25" s="64"/>
      <c r="FHN25" s="64"/>
      <c r="FHO25" s="64"/>
      <c r="FHP25" s="64"/>
      <c r="FHQ25" s="64"/>
      <c r="FHR25" s="64"/>
      <c r="FHS25" s="64"/>
      <c r="FHT25" s="64"/>
      <c r="FHU25" s="64"/>
      <c r="FHV25" s="64"/>
      <c r="FHW25" s="64"/>
      <c r="FHX25" s="64"/>
      <c r="FHY25" s="64"/>
      <c r="FHZ25" s="64"/>
      <c r="FIA25" s="64"/>
      <c r="FIB25" s="64"/>
      <c r="FIC25" s="64"/>
      <c r="FID25" s="64"/>
      <c r="FIE25" s="64"/>
      <c r="FIF25" s="64"/>
      <c r="FIG25" s="64"/>
      <c r="FIH25" s="64"/>
      <c r="FII25" s="64"/>
      <c r="FIJ25" s="64"/>
      <c r="FIK25" s="64"/>
      <c r="FIL25" s="64"/>
      <c r="FIM25" s="64"/>
      <c r="FIN25" s="64"/>
      <c r="FIO25" s="64"/>
      <c r="FIP25" s="64"/>
      <c r="FIQ25" s="64"/>
      <c r="FIR25" s="64"/>
      <c r="FIS25" s="64"/>
      <c r="FIT25" s="64"/>
      <c r="FIU25" s="64"/>
      <c r="FIV25" s="64"/>
      <c r="FIW25" s="64"/>
      <c r="FIX25" s="64"/>
      <c r="FIY25" s="64"/>
      <c r="FIZ25" s="64"/>
      <c r="FJA25" s="64"/>
      <c r="FJB25" s="64"/>
      <c r="FJC25" s="64"/>
      <c r="FJD25" s="64"/>
      <c r="FJE25" s="64"/>
      <c r="FJF25" s="64"/>
      <c r="FJG25" s="64"/>
      <c r="FJH25" s="64"/>
      <c r="FJI25" s="64"/>
      <c r="FJJ25" s="64"/>
      <c r="FJK25" s="64"/>
      <c r="FJL25" s="64"/>
      <c r="FJM25" s="64"/>
      <c r="FJN25" s="64"/>
      <c r="FJO25" s="64"/>
      <c r="FJP25" s="64"/>
      <c r="FJQ25" s="64"/>
      <c r="FJR25" s="64"/>
      <c r="FJS25" s="64"/>
      <c r="FJT25" s="64"/>
      <c r="FJU25" s="64"/>
      <c r="FJV25" s="64"/>
      <c r="FJW25" s="64"/>
      <c r="FJX25" s="64"/>
      <c r="FJY25" s="64"/>
      <c r="FJZ25" s="64"/>
      <c r="FKA25" s="64"/>
      <c r="FKB25" s="64"/>
      <c r="FKC25" s="64"/>
      <c r="FKD25" s="64"/>
      <c r="FKE25" s="64"/>
      <c r="FKF25" s="64"/>
      <c r="FKG25" s="64"/>
      <c r="FKH25" s="64"/>
      <c r="FKI25" s="64"/>
      <c r="FKJ25" s="64"/>
      <c r="FKK25" s="64"/>
      <c r="FKL25" s="64"/>
      <c r="FKM25" s="64"/>
      <c r="FKN25" s="64"/>
      <c r="FKO25" s="64"/>
      <c r="FKP25" s="64"/>
      <c r="FKQ25" s="64"/>
      <c r="FKR25" s="64"/>
      <c r="FKS25" s="64"/>
      <c r="FKT25" s="64"/>
      <c r="FKU25" s="64"/>
      <c r="FKV25" s="64"/>
      <c r="FKW25" s="64"/>
      <c r="FKX25" s="64"/>
      <c r="FKY25" s="64"/>
      <c r="FKZ25" s="64"/>
      <c r="FLA25" s="64"/>
      <c r="FLB25" s="64"/>
      <c r="FLC25" s="64"/>
      <c r="FLD25" s="64"/>
      <c r="FLE25" s="64"/>
      <c r="FLF25" s="64"/>
      <c r="FLG25" s="64"/>
      <c r="FLH25" s="64"/>
      <c r="FLI25" s="64"/>
      <c r="FLJ25" s="64"/>
      <c r="FLK25" s="64"/>
      <c r="FLL25" s="64"/>
      <c r="FLM25" s="64"/>
      <c r="FLN25" s="64"/>
      <c r="FLO25" s="64"/>
      <c r="FLP25" s="64"/>
      <c r="FLQ25" s="64"/>
      <c r="FLR25" s="64"/>
      <c r="FLS25" s="64"/>
      <c r="FLT25" s="64"/>
      <c r="FLU25" s="64"/>
      <c r="FLV25" s="64"/>
      <c r="FLW25" s="64"/>
      <c r="FLX25" s="64"/>
      <c r="FLY25" s="64"/>
      <c r="FLZ25" s="64"/>
      <c r="FMA25" s="64"/>
      <c r="FMB25" s="64"/>
      <c r="FMC25" s="64"/>
      <c r="FMD25" s="64"/>
      <c r="FME25" s="64"/>
      <c r="FMF25" s="64"/>
      <c r="FMG25" s="64"/>
      <c r="FMH25" s="64"/>
      <c r="FMI25" s="64"/>
      <c r="FMJ25" s="64"/>
      <c r="FMK25" s="64"/>
      <c r="FML25" s="64"/>
      <c r="FMM25" s="64"/>
      <c r="FMN25" s="64"/>
      <c r="FMO25" s="64"/>
      <c r="FMP25" s="64"/>
      <c r="FMQ25" s="64"/>
      <c r="FMR25" s="64"/>
      <c r="FMS25" s="64"/>
      <c r="FMT25" s="64"/>
      <c r="FMU25" s="64"/>
      <c r="FMV25" s="64"/>
      <c r="FMW25" s="64"/>
      <c r="FMX25" s="64"/>
      <c r="FMY25" s="64"/>
      <c r="FMZ25" s="64"/>
      <c r="FNA25" s="64"/>
      <c r="FNB25" s="64"/>
      <c r="FNC25" s="64"/>
      <c r="FND25" s="64"/>
      <c r="FNE25" s="64"/>
      <c r="FNF25" s="64"/>
      <c r="FNG25" s="64"/>
      <c r="FNH25" s="64"/>
      <c r="FNI25" s="64"/>
      <c r="FNJ25" s="64"/>
      <c r="FNK25" s="64"/>
      <c r="FNL25" s="64"/>
      <c r="FNM25" s="64"/>
      <c r="FNN25" s="64"/>
      <c r="FNO25" s="64"/>
      <c r="FNP25" s="64"/>
      <c r="FNQ25" s="64"/>
      <c r="FNR25" s="64"/>
      <c r="FNS25" s="64"/>
      <c r="FNT25" s="64"/>
      <c r="FNU25" s="64"/>
      <c r="FNV25" s="64"/>
      <c r="FNW25" s="64"/>
      <c r="FNX25" s="64"/>
      <c r="FNY25" s="64"/>
      <c r="FNZ25" s="64"/>
      <c r="FOA25" s="64"/>
      <c r="FOB25" s="64"/>
      <c r="FOC25" s="64"/>
      <c r="FOD25" s="64"/>
      <c r="FOE25" s="64"/>
      <c r="FOF25" s="64"/>
      <c r="FOG25" s="64"/>
      <c r="FOH25" s="64"/>
      <c r="FOI25" s="64"/>
      <c r="FOJ25" s="64"/>
      <c r="FOK25" s="64"/>
      <c r="FOL25" s="64"/>
      <c r="FOM25" s="64"/>
      <c r="FON25" s="64"/>
      <c r="FOO25" s="64"/>
      <c r="FOP25" s="64"/>
      <c r="FOQ25" s="64"/>
      <c r="FOR25" s="64"/>
      <c r="FOS25" s="64"/>
      <c r="FOT25" s="64"/>
      <c r="FOU25" s="64"/>
      <c r="FOV25" s="64"/>
      <c r="FOW25" s="64"/>
      <c r="FOX25" s="64"/>
      <c r="FOY25" s="64"/>
      <c r="FOZ25" s="64"/>
      <c r="FPA25" s="64"/>
      <c r="FPB25" s="64"/>
      <c r="FPC25" s="64"/>
      <c r="FPD25" s="64"/>
      <c r="FPE25" s="64"/>
      <c r="FPF25" s="64"/>
      <c r="FPG25" s="64"/>
      <c r="FPH25" s="64"/>
      <c r="FPI25" s="64"/>
      <c r="FPJ25" s="64"/>
      <c r="FPK25" s="64"/>
      <c r="FPL25" s="64"/>
      <c r="FPM25" s="64"/>
      <c r="FPN25" s="64"/>
      <c r="FPO25" s="64"/>
      <c r="FPP25" s="64"/>
      <c r="FPQ25" s="64"/>
      <c r="FPR25" s="64"/>
      <c r="FPS25" s="64"/>
      <c r="FPT25" s="64"/>
      <c r="FPU25" s="64"/>
      <c r="FPV25" s="64"/>
      <c r="FPW25" s="64"/>
      <c r="FPX25" s="64"/>
      <c r="FPY25" s="64"/>
      <c r="FPZ25" s="64"/>
      <c r="FQA25" s="64"/>
      <c r="FQB25" s="64"/>
      <c r="FQC25" s="64"/>
      <c r="FQD25" s="64"/>
      <c r="FQE25" s="64"/>
      <c r="FQF25" s="64"/>
      <c r="FQG25" s="64"/>
      <c r="FQH25" s="64"/>
      <c r="FQI25" s="64"/>
      <c r="FQJ25" s="64"/>
      <c r="FQK25" s="64"/>
      <c r="FQL25" s="64"/>
      <c r="FQM25" s="64"/>
      <c r="FQN25" s="64"/>
      <c r="FQO25" s="64"/>
      <c r="FQP25" s="64"/>
      <c r="FQQ25" s="64"/>
      <c r="FQR25" s="64"/>
      <c r="FQS25" s="64"/>
      <c r="FQT25" s="64"/>
      <c r="FQU25" s="64"/>
      <c r="FQV25" s="64"/>
      <c r="FQW25" s="64"/>
      <c r="FQX25" s="64"/>
      <c r="FQY25" s="64"/>
      <c r="FQZ25" s="64"/>
      <c r="FRA25" s="64"/>
      <c r="FRB25" s="64"/>
      <c r="FRC25" s="64"/>
      <c r="FRD25" s="64"/>
      <c r="FRE25" s="64"/>
      <c r="FRF25" s="64"/>
      <c r="FRG25" s="64"/>
      <c r="FRH25" s="64"/>
      <c r="FRI25" s="64"/>
      <c r="FRJ25" s="64"/>
      <c r="FRK25" s="64"/>
      <c r="FRL25" s="64"/>
      <c r="FRM25" s="64"/>
      <c r="FRN25" s="64"/>
      <c r="FRO25" s="64"/>
      <c r="FRP25" s="64"/>
      <c r="FRQ25" s="64"/>
      <c r="FRR25" s="64"/>
      <c r="FRS25" s="64"/>
      <c r="FRT25" s="64"/>
      <c r="FRU25" s="64"/>
      <c r="FRV25" s="64"/>
      <c r="FRW25" s="64"/>
      <c r="FRX25" s="64"/>
      <c r="FRY25" s="64"/>
      <c r="FRZ25" s="64"/>
      <c r="FSA25" s="64"/>
      <c r="FSB25" s="64"/>
      <c r="FSC25" s="64"/>
      <c r="FSD25" s="64"/>
      <c r="FSE25" s="64"/>
      <c r="FSF25" s="64"/>
      <c r="FSG25" s="64"/>
      <c r="FSH25" s="64"/>
      <c r="FSI25" s="64"/>
      <c r="FSJ25" s="64"/>
      <c r="FSK25" s="64"/>
      <c r="FSL25" s="64"/>
      <c r="FSM25" s="64"/>
      <c r="FSN25" s="64"/>
      <c r="FSO25" s="64"/>
      <c r="FSP25" s="64"/>
      <c r="FSQ25" s="64"/>
      <c r="FSR25" s="64"/>
      <c r="FSS25" s="64"/>
      <c r="FST25" s="64"/>
      <c r="FSU25" s="64"/>
      <c r="FSV25" s="64"/>
      <c r="FSW25" s="64"/>
      <c r="FSX25" s="64"/>
      <c r="FSY25" s="64"/>
      <c r="FSZ25" s="64"/>
      <c r="FTA25" s="64"/>
      <c r="FTB25" s="64"/>
      <c r="FTC25" s="64"/>
      <c r="FTD25" s="64"/>
      <c r="FTE25" s="64"/>
      <c r="FTF25" s="64"/>
      <c r="FTG25" s="64"/>
      <c r="FTH25" s="64"/>
      <c r="FTI25" s="64"/>
      <c r="FTJ25" s="64"/>
      <c r="FTK25" s="64"/>
      <c r="FTL25" s="64"/>
      <c r="FTM25" s="64"/>
      <c r="FTN25" s="64"/>
      <c r="FTO25" s="64"/>
      <c r="FTP25" s="64"/>
      <c r="FTQ25" s="64"/>
      <c r="FTR25" s="64"/>
      <c r="FTS25" s="64"/>
      <c r="FTT25" s="64"/>
      <c r="FTU25" s="64"/>
      <c r="FTV25" s="64"/>
      <c r="FTW25" s="64"/>
      <c r="FTX25" s="64"/>
      <c r="FTY25" s="64"/>
      <c r="FTZ25" s="64"/>
      <c r="FUA25" s="64"/>
      <c r="FUB25" s="64"/>
      <c r="FUC25" s="64"/>
      <c r="FUD25" s="64"/>
      <c r="FUE25" s="64"/>
      <c r="FUF25" s="64"/>
      <c r="FUG25" s="64"/>
      <c r="FUH25" s="64"/>
      <c r="FUI25" s="64"/>
      <c r="FUJ25" s="64"/>
      <c r="FUK25" s="64"/>
      <c r="FUL25" s="64"/>
      <c r="FUM25" s="64"/>
      <c r="FUN25" s="64"/>
      <c r="FUO25" s="64"/>
      <c r="FUP25" s="64"/>
      <c r="FUQ25" s="64"/>
      <c r="FUR25" s="64"/>
      <c r="FUS25" s="64"/>
      <c r="FUT25" s="64"/>
      <c r="FUU25" s="64"/>
      <c r="FUV25" s="64"/>
      <c r="FUW25" s="64"/>
      <c r="FUX25" s="64"/>
      <c r="FUY25" s="64"/>
      <c r="FUZ25" s="64"/>
      <c r="FVA25" s="64"/>
      <c r="FVB25" s="64"/>
      <c r="FVC25" s="64"/>
      <c r="FVD25" s="64"/>
      <c r="FVE25" s="64"/>
      <c r="FVF25" s="64"/>
      <c r="FVG25" s="64"/>
      <c r="FVH25" s="64"/>
      <c r="FVI25" s="64"/>
      <c r="FVJ25" s="64"/>
      <c r="FVK25" s="64"/>
      <c r="FVL25" s="64"/>
      <c r="FVM25" s="64"/>
      <c r="FVN25" s="64"/>
      <c r="FVO25" s="64"/>
      <c r="FVP25" s="64"/>
      <c r="FVQ25" s="64"/>
      <c r="FVR25" s="64"/>
      <c r="FVS25" s="64"/>
      <c r="FVT25" s="64"/>
      <c r="FVU25" s="64"/>
      <c r="FVV25" s="64"/>
      <c r="FVW25" s="64"/>
      <c r="FVX25" s="64"/>
      <c r="FVY25" s="64"/>
      <c r="FVZ25" s="64"/>
      <c r="FWA25" s="64"/>
      <c r="FWB25" s="64"/>
      <c r="FWC25" s="64"/>
      <c r="FWD25" s="64"/>
      <c r="FWE25" s="64"/>
      <c r="FWF25" s="64"/>
      <c r="FWG25" s="64"/>
      <c r="FWH25" s="64"/>
      <c r="FWI25" s="64"/>
      <c r="FWJ25" s="64"/>
      <c r="FWK25" s="64"/>
      <c r="FWL25" s="64"/>
      <c r="FWM25" s="64"/>
      <c r="FWN25" s="64"/>
      <c r="FWO25" s="64"/>
      <c r="FWP25" s="64"/>
      <c r="FWQ25" s="64"/>
      <c r="FWR25" s="64"/>
      <c r="FWS25" s="64"/>
      <c r="FWT25" s="64"/>
      <c r="FWU25" s="64"/>
      <c r="FWV25" s="64"/>
      <c r="FWW25" s="64"/>
      <c r="FWX25" s="64"/>
      <c r="FWY25" s="64"/>
      <c r="FWZ25" s="64"/>
      <c r="FXA25" s="64"/>
      <c r="FXB25" s="64"/>
      <c r="FXC25" s="64"/>
      <c r="FXD25" s="64"/>
      <c r="FXE25" s="64"/>
      <c r="FXF25" s="64"/>
      <c r="FXG25" s="64"/>
      <c r="FXH25" s="64"/>
      <c r="FXI25" s="64"/>
      <c r="FXJ25" s="64"/>
      <c r="FXK25" s="64"/>
      <c r="FXL25" s="64"/>
      <c r="FXM25" s="64"/>
      <c r="FXN25" s="64"/>
      <c r="FXO25" s="64"/>
      <c r="FXP25" s="64"/>
      <c r="FXQ25" s="64"/>
      <c r="FXR25" s="64"/>
      <c r="FXS25" s="64"/>
      <c r="FXT25" s="64"/>
      <c r="FXU25" s="64"/>
      <c r="FXV25" s="64"/>
      <c r="FXW25" s="64"/>
      <c r="FXX25" s="64"/>
      <c r="FXY25" s="64"/>
      <c r="FXZ25" s="64"/>
      <c r="FYA25" s="64"/>
      <c r="FYB25" s="64"/>
      <c r="FYC25" s="64"/>
      <c r="FYD25" s="64"/>
      <c r="FYE25" s="64"/>
      <c r="FYF25" s="64"/>
      <c r="FYG25" s="64"/>
      <c r="FYH25" s="64"/>
      <c r="FYI25" s="64"/>
      <c r="FYJ25" s="64"/>
      <c r="FYK25" s="64"/>
      <c r="FYL25" s="64"/>
      <c r="FYM25" s="64"/>
      <c r="FYN25" s="64"/>
      <c r="FYO25" s="64"/>
      <c r="FYP25" s="64"/>
      <c r="FYQ25" s="64"/>
      <c r="FYR25" s="64"/>
      <c r="FYS25" s="64"/>
      <c r="FYT25" s="64"/>
      <c r="FYU25" s="64"/>
      <c r="FYV25" s="64"/>
      <c r="FYW25" s="64"/>
      <c r="FYX25" s="64"/>
      <c r="FYY25" s="64"/>
      <c r="FYZ25" s="64"/>
      <c r="FZA25" s="64"/>
      <c r="FZB25" s="64"/>
      <c r="FZC25" s="64"/>
      <c r="FZD25" s="64"/>
      <c r="FZE25" s="64"/>
      <c r="FZF25" s="64"/>
      <c r="FZG25" s="64"/>
      <c r="FZH25" s="64"/>
      <c r="FZI25" s="64"/>
      <c r="FZJ25" s="64"/>
      <c r="FZK25" s="64"/>
      <c r="FZL25" s="64"/>
      <c r="FZM25" s="64"/>
      <c r="FZN25" s="64"/>
      <c r="FZO25" s="64"/>
      <c r="FZP25" s="64"/>
      <c r="FZQ25" s="64"/>
      <c r="FZR25" s="64"/>
      <c r="FZS25" s="64"/>
      <c r="FZT25" s="64"/>
      <c r="FZU25" s="64"/>
      <c r="FZV25" s="64"/>
      <c r="FZW25" s="64"/>
      <c r="FZX25" s="64"/>
      <c r="FZY25" s="64"/>
      <c r="FZZ25" s="64"/>
      <c r="GAA25" s="64"/>
      <c r="GAB25" s="64"/>
      <c r="GAC25" s="64"/>
      <c r="GAD25" s="64"/>
      <c r="GAE25" s="64"/>
      <c r="GAF25" s="64"/>
      <c r="GAG25" s="64"/>
      <c r="GAH25" s="64"/>
      <c r="GAI25" s="64"/>
      <c r="GAJ25" s="64"/>
      <c r="GAK25" s="64"/>
      <c r="GAL25" s="64"/>
      <c r="GAM25" s="64"/>
      <c r="GAN25" s="64"/>
      <c r="GAO25" s="64"/>
      <c r="GAP25" s="64"/>
      <c r="GAQ25" s="64"/>
      <c r="GAR25" s="64"/>
      <c r="GAS25" s="64"/>
      <c r="GAT25" s="64"/>
      <c r="GAU25" s="64"/>
      <c r="GAV25" s="64"/>
      <c r="GAW25" s="64"/>
      <c r="GAX25" s="64"/>
      <c r="GAY25" s="64"/>
      <c r="GAZ25" s="64"/>
      <c r="GBA25" s="64"/>
      <c r="GBB25" s="64"/>
      <c r="GBC25" s="64"/>
      <c r="GBD25" s="64"/>
      <c r="GBE25" s="64"/>
      <c r="GBF25" s="64"/>
      <c r="GBG25" s="64"/>
      <c r="GBH25" s="64"/>
      <c r="GBI25" s="64"/>
      <c r="GBJ25" s="64"/>
      <c r="GBK25" s="64"/>
      <c r="GBL25" s="64"/>
      <c r="GBM25" s="64"/>
      <c r="GBN25" s="64"/>
      <c r="GBO25" s="64"/>
      <c r="GBP25" s="64"/>
      <c r="GBQ25" s="64"/>
      <c r="GBR25" s="64"/>
      <c r="GBS25" s="64"/>
      <c r="GBT25" s="64"/>
      <c r="GBU25" s="64"/>
      <c r="GBV25" s="64"/>
      <c r="GBW25" s="64"/>
      <c r="GBX25" s="64"/>
      <c r="GBY25" s="64"/>
      <c r="GBZ25" s="64"/>
      <c r="GCA25" s="64"/>
      <c r="GCB25" s="64"/>
      <c r="GCC25" s="64"/>
      <c r="GCD25" s="64"/>
      <c r="GCE25" s="64"/>
      <c r="GCF25" s="64"/>
      <c r="GCG25" s="64"/>
      <c r="GCH25" s="64"/>
      <c r="GCI25" s="64"/>
      <c r="GCJ25" s="64"/>
      <c r="GCK25" s="64"/>
      <c r="GCL25" s="64"/>
      <c r="GCM25" s="64"/>
      <c r="GCN25" s="64"/>
      <c r="GCO25" s="64"/>
      <c r="GCP25" s="64"/>
      <c r="GCQ25" s="64"/>
      <c r="GCR25" s="64"/>
      <c r="GCS25" s="64"/>
      <c r="GCT25" s="64"/>
      <c r="GCU25" s="64"/>
      <c r="GCV25" s="64"/>
      <c r="GCW25" s="64"/>
      <c r="GCX25" s="64"/>
      <c r="GCY25" s="64"/>
      <c r="GCZ25" s="64"/>
      <c r="GDA25" s="64"/>
      <c r="GDB25" s="64"/>
      <c r="GDC25" s="64"/>
      <c r="GDD25" s="64"/>
      <c r="GDE25" s="64"/>
      <c r="GDF25" s="64"/>
      <c r="GDG25" s="64"/>
      <c r="GDH25" s="64"/>
      <c r="GDI25" s="64"/>
      <c r="GDJ25" s="64"/>
      <c r="GDK25" s="64"/>
      <c r="GDL25" s="64"/>
      <c r="GDM25" s="64"/>
      <c r="GDN25" s="64"/>
      <c r="GDO25" s="64"/>
      <c r="GDP25" s="64"/>
      <c r="GDQ25" s="64"/>
      <c r="GDR25" s="64"/>
      <c r="GDS25" s="64"/>
      <c r="GDT25" s="64"/>
      <c r="GDU25" s="64"/>
      <c r="GDV25" s="64"/>
      <c r="GDW25" s="64"/>
      <c r="GDX25" s="64"/>
      <c r="GDY25" s="64"/>
      <c r="GDZ25" s="64"/>
      <c r="GEA25" s="64"/>
      <c r="GEB25" s="64"/>
      <c r="GEC25" s="64"/>
      <c r="GED25" s="64"/>
      <c r="GEE25" s="64"/>
      <c r="GEF25" s="64"/>
      <c r="GEG25" s="64"/>
      <c r="GEH25" s="64"/>
      <c r="GEI25" s="64"/>
      <c r="GEJ25" s="64"/>
      <c r="GEK25" s="64"/>
      <c r="GEL25" s="64"/>
      <c r="GEM25" s="64"/>
      <c r="GEN25" s="64"/>
      <c r="GEO25" s="64"/>
      <c r="GEP25" s="64"/>
      <c r="GEQ25" s="64"/>
      <c r="GER25" s="64"/>
      <c r="GES25" s="64"/>
      <c r="GET25" s="64"/>
      <c r="GEU25" s="64"/>
      <c r="GEV25" s="64"/>
      <c r="GEW25" s="64"/>
      <c r="GEX25" s="64"/>
      <c r="GEY25" s="64"/>
      <c r="GEZ25" s="64"/>
      <c r="GFA25" s="64"/>
      <c r="GFB25" s="64"/>
      <c r="GFC25" s="64"/>
      <c r="GFD25" s="64"/>
      <c r="GFE25" s="64"/>
      <c r="GFF25" s="64"/>
      <c r="GFG25" s="64"/>
      <c r="GFH25" s="64"/>
      <c r="GFI25" s="64"/>
      <c r="GFJ25" s="64"/>
      <c r="GFK25" s="64"/>
      <c r="GFL25" s="64"/>
      <c r="GFM25" s="64"/>
      <c r="GFN25" s="64"/>
      <c r="GFO25" s="64"/>
      <c r="GFP25" s="64"/>
      <c r="GFQ25" s="64"/>
      <c r="GFR25" s="64"/>
      <c r="GFS25" s="64"/>
      <c r="GFT25" s="64"/>
      <c r="GFU25" s="64"/>
      <c r="GFV25" s="64"/>
      <c r="GFW25" s="64"/>
      <c r="GFX25" s="64"/>
      <c r="GFY25" s="64"/>
      <c r="GFZ25" s="64"/>
      <c r="GGA25" s="64"/>
      <c r="GGB25" s="64"/>
      <c r="GGC25" s="64"/>
      <c r="GGD25" s="64"/>
      <c r="GGE25" s="64"/>
      <c r="GGF25" s="64"/>
      <c r="GGG25" s="64"/>
      <c r="GGH25" s="64"/>
      <c r="GGI25" s="64"/>
      <c r="GGJ25" s="64"/>
      <c r="GGK25" s="64"/>
      <c r="GGL25" s="64"/>
      <c r="GGM25" s="64"/>
      <c r="GGN25" s="64"/>
      <c r="GGO25" s="64"/>
      <c r="GGP25" s="64"/>
      <c r="GGQ25" s="64"/>
      <c r="GGR25" s="64"/>
      <c r="GGS25" s="64"/>
      <c r="GGT25" s="64"/>
      <c r="GGU25" s="64"/>
      <c r="GGV25" s="64"/>
      <c r="GGW25" s="64"/>
      <c r="GGX25" s="64"/>
      <c r="GGY25" s="64"/>
      <c r="GGZ25" s="64"/>
      <c r="GHA25" s="64"/>
      <c r="GHB25" s="64"/>
      <c r="GHC25" s="64"/>
      <c r="GHD25" s="64"/>
      <c r="GHE25" s="64"/>
      <c r="GHF25" s="64"/>
      <c r="GHG25" s="64"/>
      <c r="GHH25" s="64"/>
      <c r="GHI25" s="64"/>
      <c r="GHJ25" s="64"/>
      <c r="GHK25" s="64"/>
      <c r="GHL25" s="64"/>
      <c r="GHM25" s="64"/>
      <c r="GHN25" s="64"/>
      <c r="GHO25" s="64"/>
      <c r="GHP25" s="64"/>
      <c r="GHQ25" s="64"/>
      <c r="GHR25" s="64"/>
      <c r="GHS25" s="64"/>
      <c r="GHT25" s="64"/>
      <c r="GHU25" s="64"/>
      <c r="GHV25" s="64"/>
      <c r="GHW25" s="64"/>
      <c r="GHX25" s="64"/>
      <c r="GHY25" s="64"/>
      <c r="GHZ25" s="64"/>
      <c r="GIA25" s="64"/>
      <c r="GIB25" s="64"/>
      <c r="GIC25" s="64"/>
      <c r="GID25" s="64"/>
      <c r="GIE25" s="64"/>
      <c r="GIF25" s="64"/>
      <c r="GIG25" s="64"/>
      <c r="GIH25" s="64"/>
      <c r="GII25" s="64"/>
      <c r="GIJ25" s="64"/>
      <c r="GIK25" s="64"/>
      <c r="GIL25" s="64"/>
      <c r="GIM25" s="64"/>
      <c r="GIN25" s="64"/>
      <c r="GIO25" s="64"/>
      <c r="GIP25" s="64"/>
      <c r="GIQ25" s="64"/>
      <c r="GIR25" s="64"/>
      <c r="GIS25" s="64"/>
      <c r="GIT25" s="64"/>
      <c r="GIU25" s="64"/>
      <c r="GIV25" s="64"/>
      <c r="GIW25" s="64"/>
      <c r="GIX25" s="64"/>
      <c r="GIY25" s="64"/>
      <c r="GIZ25" s="64"/>
      <c r="GJA25" s="64"/>
      <c r="GJB25" s="64"/>
      <c r="GJC25" s="64"/>
      <c r="GJD25" s="64"/>
      <c r="GJE25" s="64"/>
      <c r="GJF25" s="64"/>
      <c r="GJG25" s="64"/>
      <c r="GJH25" s="64"/>
      <c r="GJI25" s="64"/>
      <c r="GJJ25" s="64"/>
      <c r="GJK25" s="64"/>
      <c r="GJL25" s="64"/>
      <c r="GJM25" s="64"/>
      <c r="GJN25" s="64"/>
      <c r="GJO25" s="64"/>
      <c r="GJP25" s="64"/>
      <c r="GJQ25" s="64"/>
      <c r="GJR25" s="64"/>
      <c r="GJS25" s="64"/>
      <c r="GJT25" s="64"/>
      <c r="GJU25" s="64"/>
      <c r="GJV25" s="64"/>
      <c r="GJW25" s="64"/>
      <c r="GJX25" s="64"/>
      <c r="GJY25" s="64"/>
      <c r="GJZ25" s="64"/>
      <c r="GKA25" s="64"/>
      <c r="GKB25" s="64"/>
      <c r="GKC25" s="64"/>
      <c r="GKD25" s="64"/>
      <c r="GKE25" s="64"/>
      <c r="GKF25" s="64"/>
      <c r="GKG25" s="64"/>
      <c r="GKH25" s="64"/>
      <c r="GKI25" s="64"/>
      <c r="GKJ25" s="64"/>
      <c r="GKK25" s="64"/>
      <c r="GKL25" s="64"/>
      <c r="GKM25" s="64"/>
      <c r="GKN25" s="64"/>
      <c r="GKO25" s="64"/>
      <c r="GKP25" s="64"/>
      <c r="GKQ25" s="64"/>
      <c r="GKR25" s="64"/>
      <c r="GKS25" s="64"/>
      <c r="GKT25" s="64"/>
      <c r="GKU25" s="64"/>
      <c r="GKV25" s="64"/>
      <c r="GKW25" s="64"/>
      <c r="GKX25" s="64"/>
      <c r="GKY25" s="64"/>
      <c r="GKZ25" s="64"/>
      <c r="GLA25" s="64"/>
      <c r="GLB25" s="64"/>
      <c r="GLC25" s="64"/>
      <c r="GLD25" s="64"/>
      <c r="GLE25" s="64"/>
      <c r="GLF25" s="64"/>
      <c r="GLG25" s="64"/>
      <c r="GLH25" s="64"/>
      <c r="GLI25" s="64"/>
      <c r="GLJ25" s="64"/>
      <c r="GLK25" s="64"/>
      <c r="GLL25" s="64"/>
      <c r="GLM25" s="64"/>
      <c r="GLN25" s="64"/>
      <c r="GLO25" s="64"/>
      <c r="GLP25" s="64"/>
      <c r="GLQ25" s="64"/>
      <c r="GLR25" s="64"/>
      <c r="GLS25" s="64"/>
      <c r="GLT25" s="64"/>
      <c r="GLU25" s="64"/>
      <c r="GLV25" s="64"/>
      <c r="GLW25" s="64"/>
      <c r="GLX25" s="64"/>
      <c r="GLY25" s="64"/>
      <c r="GLZ25" s="64"/>
      <c r="GMA25" s="64"/>
      <c r="GMB25" s="64"/>
      <c r="GMC25" s="64"/>
      <c r="GMD25" s="64"/>
      <c r="GME25" s="64"/>
      <c r="GMF25" s="64"/>
      <c r="GMG25" s="64"/>
      <c r="GMH25" s="64"/>
      <c r="GMI25" s="64"/>
      <c r="GMJ25" s="64"/>
      <c r="GMK25" s="64"/>
      <c r="GML25" s="64"/>
      <c r="GMM25" s="64"/>
      <c r="GMN25" s="64"/>
      <c r="GMO25" s="64"/>
      <c r="GMP25" s="64"/>
      <c r="GMQ25" s="64"/>
      <c r="GMR25" s="64"/>
      <c r="GMS25" s="64"/>
      <c r="GMT25" s="64"/>
      <c r="GMU25" s="64"/>
      <c r="GMV25" s="64"/>
      <c r="GMW25" s="64"/>
      <c r="GMX25" s="64"/>
      <c r="GMY25" s="64"/>
      <c r="GMZ25" s="64"/>
      <c r="GNA25" s="64"/>
      <c r="GNB25" s="64"/>
      <c r="GNC25" s="64"/>
      <c r="GND25" s="64"/>
      <c r="GNE25" s="64"/>
      <c r="GNF25" s="64"/>
      <c r="GNG25" s="64"/>
      <c r="GNH25" s="64"/>
      <c r="GNI25" s="64"/>
      <c r="GNJ25" s="64"/>
      <c r="GNK25" s="64"/>
      <c r="GNL25" s="64"/>
      <c r="GNM25" s="64"/>
      <c r="GNN25" s="64"/>
      <c r="GNO25" s="64"/>
      <c r="GNP25" s="64"/>
      <c r="GNQ25" s="64"/>
      <c r="GNR25" s="64"/>
      <c r="GNS25" s="64"/>
      <c r="GNT25" s="64"/>
      <c r="GNU25" s="64"/>
      <c r="GNV25" s="64"/>
      <c r="GNW25" s="64"/>
      <c r="GNX25" s="64"/>
      <c r="GNY25" s="64"/>
      <c r="GNZ25" s="64"/>
      <c r="GOA25" s="64"/>
      <c r="GOB25" s="64"/>
      <c r="GOC25" s="64"/>
      <c r="GOD25" s="64"/>
      <c r="GOE25" s="64"/>
      <c r="GOF25" s="64"/>
      <c r="GOG25" s="64"/>
      <c r="GOH25" s="64"/>
      <c r="GOI25" s="64"/>
      <c r="GOJ25" s="64"/>
      <c r="GOK25" s="64"/>
      <c r="GOL25" s="64"/>
      <c r="GOM25" s="64"/>
      <c r="GON25" s="64"/>
      <c r="GOO25" s="64"/>
      <c r="GOP25" s="64"/>
      <c r="GOQ25" s="64"/>
      <c r="GOR25" s="64"/>
      <c r="GOS25" s="64"/>
      <c r="GOT25" s="64"/>
      <c r="GOU25" s="64"/>
      <c r="GOV25" s="64"/>
      <c r="GOW25" s="64"/>
      <c r="GOX25" s="64"/>
      <c r="GOY25" s="64"/>
      <c r="GOZ25" s="64"/>
      <c r="GPA25" s="64"/>
      <c r="GPB25" s="64"/>
      <c r="GPC25" s="64"/>
      <c r="GPD25" s="64"/>
      <c r="GPE25" s="64"/>
      <c r="GPF25" s="64"/>
      <c r="GPG25" s="64"/>
      <c r="GPH25" s="64"/>
      <c r="GPI25" s="64"/>
      <c r="GPJ25" s="64"/>
      <c r="GPK25" s="64"/>
      <c r="GPL25" s="64"/>
      <c r="GPM25" s="64"/>
      <c r="GPN25" s="64"/>
      <c r="GPO25" s="64"/>
      <c r="GPP25" s="64"/>
      <c r="GPQ25" s="64"/>
      <c r="GPR25" s="64"/>
      <c r="GPS25" s="64"/>
      <c r="GPT25" s="64"/>
      <c r="GPU25" s="64"/>
      <c r="GPV25" s="64"/>
      <c r="GPW25" s="64"/>
      <c r="GPX25" s="64"/>
      <c r="GPY25" s="64"/>
      <c r="GPZ25" s="64"/>
      <c r="GQA25" s="64"/>
      <c r="GQB25" s="64"/>
      <c r="GQC25" s="64"/>
      <c r="GQD25" s="64"/>
      <c r="GQE25" s="64"/>
      <c r="GQF25" s="64"/>
      <c r="GQG25" s="64"/>
      <c r="GQH25" s="64"/>
      <c r="GQI25" s="64"/>
      <c r="GQJ25" s="64"/>
      <c r="GQK25" s="64"/>
      <c r="GQL25" s="64"/>
      <c r="GQM25" s="64"/>
      <c r="GQN25" s="64"/>
      <c r="GQO25" s="64"/>
      <c r="GQP25" s="64"/>
      <c r="GQQ25" s="64"/>
      <c r="GQR25" s="64"/>
      <c r="GQS25" s="64"/>
      <c r="GQT25" s="64"/>
      <c r="GQU25" s="64"/>
      <c r="GQV25" s="64"/>
      <c r="GQW25" s="64"/>
      <c r="GQX25" s="64"/>
      <c r="GQY25" s="64"/>
      <c r="GQZ25" s="64"/>
      <c r="GRA25" s="64"/>
      <c r="GRB25" s="64"/>
      <c r="GRC25" s="64"/>
      <c r="GRD25" s="64"/>
      <c r="GRE25" s="64"/>
      <c r="GRF25" s="64"/>
      <c r="GRG25" s="64"/>
      <c r="GRH25" s="64"/>
      <c r="GRI25" s="64"/>
      <c r="GRJ25" s="64"/>
      <c r="GRK25" s="64"/>
      <c r="GRL25" s="64"/>
      <c r="GRM25" s="64"/>
      <c r="GRN25" s="64"/>
      <c r="GRO25" s="64"/>
      <c r="GRP25" s="64"/>
      <c r="GRQ25" s="64"/>
      <c r="GRR25" s="64"/>
      <c r="GRS25" s="64"/>
      <c r="GRT25" s="64"/>
      <c r="GRU25" s="64"/>
      <c r="GRV25" s="64"/>
      <c r="GRW25" s="64"/>
      <c r="GRX25" s="64"/>
      <c r="GRY25" s="64"/>
      <c r="GRZ25" s="64"/>
      <c r="GSA25" s="64"/>
      <c r="GSB25" s="64"/>
      <c r="GSC25" s="64"/>
      <c r="GSD25" s="64"/>
      <c r="GSE25" s="64"/>
      <c r="GSF25" s="64"/>
      <c r="GSG25" s="64"/>
      <c r="GSH25" s="64"/>
      <c r="GSI25" s="64"/>
      <c r="GSJ25" s="64"/>
      <c r="GSK25" s="64"/>
      <c r="GSL25" s="64"/>
      <c r="GSM25" s="64"/>
      <c r="GSN25" s="64"/>
      <c r="GSO25" s="64"/>
      <c r="GSP25" s="64"/>
      <c r="GSQ25" s="64"/>
      <c r="GSR25" s="64"/>
      <c r="GSS25" s="64"/>
      <c r="GST25" s="64"/>
      <c r="GSU25" s="64"/>
      <c r="GSV25" s="64"/>
      <c r="GSW25" s="64"/>
      <c r="GSX25" s="64"/>
      <c r="GSY25" s="64"/>
      <c r="GSZ25" s="64"/>
      <c r="GTA25" s="64"/>
      <c r="GTB25" s="64"/>
      <c r="GTC25" s="64"/>
      <c r="GTD25" s="64"/>
      <c r="GTE25" s="64"/>
      <c r="GTF25" s="64"/>
      <c r="GTG25" s="64"/>
      <c r="GTH25" s="64"/>
      <c r="GTI25" s="64"/>
      <c r="GTJ25" s="64"/>
      <c r="GTK25" s="64"/>
      <c r="GTL25" s="64"/>
      <c r="GTM25" s="64"/>
      <c r="GTN25" s="64"/>
      <c r="GTO25" s="64"/>
      <c r="GTP25" s="64"/>
      <c r="GTQ25" s="64"/>
      <c r="GTR25" s="64"/>
      <c r="GTS25" s="64"/>
      <c r="GTT25" s="64"/>
      <c r="GTU25" s="64"/>
      <c r="GTV25" s="64"/>
      <c r="GTW25" s="64"/>
      <c r="GTX25" s="64"/>
      <c r="GTY25" s="64"/>
      <c r="GTZ25" s="64"/>
      <c r="GUA25" s="64"/>
      <c r="GUB25" s="64"/>
      <c r="GUC25" s="64"/>
      <c r="GUD25" s="64"/>
      <c r="GUE25" s="64"/>
      <c r="GUF25" s="64"/>
      <c r="GUG25" s="64"/>
      <c r="GUH25" s="64"/>
      <c r="GUI25" s="64"/>
      <c r="GUJ25" s="64"/>
      <c r="GUK25" s="64"/>
      <c r="GUL25" s="64"/>
      <c r="GUM25" s="64"/>
      <c r="GUN25" s="64"/>
      <c r="GUO25" s="64"/>
      <c r="GUP25" s="64"/>
      <c r="GUQ25" s="64"/>
      <c r="GUR25" s="64"/>
      <c r="GUS25" s="64"/>
      <c r="GUT25" s="64"/>
      <c r="GUU25" s="64"/>
      <c r="GUV25" s="64"/>
      <c r="GUW25" s="64"/>
      <c r="GUX25" s="64"/>
      <c r="GUY25" s="64"/>
      <c r="GUZ25" s="64"/>
      <c r="GVA25" s="64"/>
      <c r="GVB25" s="64"/>
      <c r="GVC25" s="64"/>
      <c r="GVD25" s="64"/>
      <c r="GVE25" s="64"/>
      <c r="GVF25" s="64"/>
      <c r="GVG25" s="64"/>
      <c r="GVH25" s="64"/>
      <c r="GVI25" s="64"/>
      <c r="GVJ25" s="64"/>
      <c r="GVK25" s="64"/>
      <c r="GVL25" s="64"/>
      <c r="GVM25" s="64"/>
      <c r="GVN25" s="64"/>
      <c r="GVO25" s="64"/>
      <c r="GVP25" s="64"/>
      <c r="GVQ25" s="64"/>
      <c r="GVR25" s="64"/>
      <c r="GVS25" s="64"/>
      <c r="GVT25" s="64"/>
      <c r="GVU25" s="64"/>
      <c r="GVV25" s="64"/>
      <c r="GVW25" s="64"/>
      <c r="GVX25" s="64"/>
      <c r="GVY25" s="64"/>
      <c r="GVZ25" s="64"/>
      <c r="GWA25" s="64"/>
      <c r="GWB25" s="64"/>
      <c r="GWC25" s="64"/>
      <c r="GWD25" s="64"/>
      <c r="GWE25" s="64"/>
      <c r="GWF25" s="64"/>
      <c r="GWG25" s="64"/>
      <c r="GWH25" s="64"/>
      <c r="GWI25" s="64"/>
      <c r="GWJ25" s="64"/>
      <c r="GWK25" s="64"/>
      <c r="GWL25" s="64"/>
      <c r="GWM25" s="64"/>
      <c r="GWN25" s="64"/>
      <c r="GWO25" s="64"/>
      <c r="GWP25" s="64"/>
      <c r="GWQ25" s="64"/>
      <c r="GWR25" s="64"/>
      <c r="GWS25" s="64"/>
      <c r="GWT25" s="64"/>
      <c r="GWU25" s="64"/>
      <c r="GWV25" s="64"/>
      <c r="GWW25" s="64"/>
      <c r="GWX25" s="64"/>
      <c r="GWY25" s="64"/>
      <c r="GWZ25" s="64"/>
      <c r="GXA25" s="64"/>
      <c r="GXB25" s="64"/>
      <c r="GXC25" s="64"/>
      <c r="GXD25" s="64"/>
      <c r="GXE25" s="64"/>
      <c r="GXF25" s="64"/>
      <c r="GXG25" s="64"/>
      <c r="GXH25" s="64"/>
      <c r="GXI25" s="64"/>
      <c r="GXJ25" s="64"/>
      <c r="GXK25" s="64"/>
      <c r="GXL25" s="64"/>
      <c r="GXM25" s="64"/>
      <c r="GXN25" s="64"/>
      <c r="GXO25" s="64"/>
      <c r="GXP25" s="64"/>
      <c r="GXQ25" s="64"/>
      <c r="GXR25" s="64"/>
      <c r="GXS25" s="64"/>
      <c r="GXT25" s="64"/>
      <c r="GXU25" s="64"/>
      <c r="GXV25" s="64"/>
      <c r="GXW25" s="64"/>
      <c r="GXX25" s="64"/>
      <c r="GXY25" s="64"/>
      <c r="GXZ25" s="64"/>
      <c r="GYA25" s="64"/>
      <c r="GYB25" s="64"/>
      <c r="GYC25" s="64"/>
      <c r="GYD25" s="64"/>
      <c r="GYE25" s="64"/>
      <c r="GYF25" s="64"/>
      <c r="GYG25" s="64"/>
      <c r="GYH25" s="64"/>
      <c r="GYI25" s="64"/>
      <c r="GYJ25" s="64"/>
      <c r="GYK25" s="64"/>
      <c r="GYL25" s="64"/>
      <c r="GYM25" s="64"/>
      <c r="GYN25" s="64"/>
      <c r="GYO25" s="64"/>
      <c r="GYP25" s="64"/>
      <c r="GYQ25" s="64"/>
      <c r="GYR25" s="64"/>
      <c r="GYS25" s="64"/>
      <c r="GYT25" s="64"/>
      <c r="GYU25" s="64"/>
      <c r="GYV25" s="64"/>
      <c r="GYW25" s="64"/>
      <c r="GYX25" s="64"/>
      <c r="GYY25" s="64"/>
      <c r="GYZ25" s="64"/>
      <c r="GZA25" s="64"/>
      <c r="GZB25" s="64"/>
      <c r="GZC25" s="64"/>
      <c r="GZD25" s="64"/>
      <c r="GZE25" s="64"/>
      <c r="GZF25" s="64"/>
      <c r="GZG25" s="64"/>
      <c r="GZH25" s="64"/>
      <c r="GZI25" s="64"/>
      <c r="GZJ25" s="64"/>
      <c r="GZK25" s="64"/>
      <c r="GZL25" s="64"/>
      <c r="GZM25" s="64"/>
      <c r="GZN25" s="64"/>
      <c r="GZO25" s="64"/>
      <c r="GZP25" s="64"/>
      <c r="GZQ25" s="64"/>
      <c r="GZR25" s="64"/>
      <c r="GZS25" s="64"/>
      <c r="GZT25" s="64"/>
      <c r="GZU25" s="64"/>
      <c r="GZV25" s="64"/>
      <c r="GZW25" s="64"/>
      <c r="GZX25" s="64"/>
      <c r="GZY25" s="64"/>
      <c r="GZZ25" s="64"/>
      <c r="HAA25" s="64"/>
      <c r="HAB25" s="64"/>
      <c r="HAC25" s="64"/>
      <c r="HAD25" s="64"/>
      <c r="HAE25" s="64"/>
      <c r="HAF25" s="64"/>
      <c r="HAG25" s="64"/>
      <c r="HAH25" s="64"/>
      <c r="HAI25" s="64"/>
      <c r="HAJ25" s="64"/>
      <c r="HAK25" s="64"/>
      <c r="HAL25" s="64"/>
      <c r="HAM25" s="64"/>
      <c r="HAN25" s="64"/>
      <c r="HAO25" s="64"/>
      <c r="HAP25" s="64"/>
      <c r="HAQ25" s="64"/>
      <c r="HAR25" s="64"/>
      <c r="HAS25" s="64"/>
      <c r="HAT25" s="64"/>
      <c r="HAU25" s="64"/>
      <c r="HAV25" s="64"/>
      <c r="HAW25" s="64"/>
      <c r="HAX25" s="64"/>
      <c r="HAY25" s="64"/>
      <c r="HAZ25" s="64"/>
      <c r="HBA25" s="64"/>
      <c r="HBB25" s="64"/>
      <c r="HBC25" s="64"/>
      <c r="HBD25" s="64"/>
      <c r="HBE25" s="64"/>
      <c r="HBF25" s="64"/>
      <c r="HBG25" s="64"/>
      <c r="HBH25" s="64"/>
      <c r="HBI25" s="64"/>
      <c r="HBJ25" s="64"/>
      <c r="HBK25" s="64"/>
      <c r="HBL25" s="64"/>
      <c r="HBM25" s="64"/>
      <c r="HBN25" s="64"/>
      <c r="HBO25" s="64"/>
      <c r="HBP25" s="64"/>
      <c r="HBQ25" s="64"/>
      <c r="HBR25" s="64"/>
      <c r="HBS25" s="64"/>
      <c r="HBT25" s="64"/>
      <c r="HBU25" s="64"/>
      <c r="HBV25" s="64"/>
      <c r="HBW25" s="64"/>
      <c r="HBX25" s="64"/>
      <c r="HBY25" s="64"/>
      <c r="HBZ25" s="64"/>
      <c r="HCA25" s="64"/>
      <c r="HCB25" s="64"/>
      <c r="HCC25" s="64"/>
      <c r="HCD25" s="64"/>
      <c r="HCE25" s="64"/>
      <c r="HCF25" s="64"/>
      <c r="HCG25" s="64"/>
      <c r="HCH25" s="64"/>
      <c r="HCI25" s="64"/>
      <c r="HCJ25" s="64"/>
      <c r="HCK25" s="64"/>
      <c r="HCL25" s="64"/>
      <c r="HCM25" s="64"/>
      <c r="HCN25" s="64"/>
      <c r="HCO25" s="64"/>
      <c r="HCP25" s="64"/>
      <c r="HCQ25" s="64"/>
      <c r="HCR25" s="64"/>
      <c r="HCS25" s="64"/>
      <c r="HCT25" s="64"/>
      <c r="HCU25" s="64"/>
      <c r="HCV25" s="64"/>
      <c r="HCW25" s="64"/>
      <c r="HCX25" s="64"/>
      <c r="HCY25" s="64"/>
      <c r="HCZ25" s="64"/>
      <c r="HDA25" s="64"/>
      <c r="HDB25" s="64"/>
      <c r="HDC25" s="64"/>
      <c r="HDD25" s="64"/>
      <c r="HDE25" s="64"/>
      <c r="HDF25" s="64"/>
      <c r="HDG25" s="64"/>
      <c r="HDH25" s="64"/>
      <c r="HDI25" s="64"/>
      <c r="HDJ25" s="64"/>
      <c r="HDK25" s="64"/>
      <c r="HDL25" s="64"/>
      <c r="HDM25" s="64"/>
      <c r="HDN25" s="64"/>
      <c r="HDO25" s="64"/>
      <c r="HDP25" s="64"/>
      <c r="HDQ25" s="64"/>
      <c r="HDR25" s="64"/>
      <c r="HDS25" s="64"/>
      <c r="HDT25" s="64"/>
      <c r="HDU25" s="64"/>
      <c r="HDV25" s="64"/>
      <c r="HDW25" s="64"/>
      <c r="HDX25" s="64"/>
      <c r="HDY25" s="64"/>
      <c r="HDZ25" s="64"/>
      <c r="HEA25" s="64"/>
      <c r="HEB25" s="64"/>
      <c r="HEC25" s="64"/>
      <c r="HED25" s="64"/>
      <c r="HEE25" s="64"/>
      <c r="HEF25" s="64"/>
      <c r="HEG25" s="64"/>
      <c r="HEH25" s="64"/>
      <c r="HEI25" s="64"/>
      <c r="HEJ25" s="64"/>
      <c r="HEK25" s="64"/>
      <c r="HEL25" s="64"/>
      <c r="HEM25" s="64"/>
      <c r="HEN25" s="64"/>
      <c r="HEO25" s="64"/>
      <c r="HEP25" s="64"/>
      <c r="HEQ25" s="64"/>
      <c r="HER25" s="64"/>
      <c r="HES25" s="64"/>
      <c r="HET25" s="64"/>
      <c r="HEU25" s="64"/>
      <c r="HEV25" s="64"/>
      <c r="HEW25" s="64"/>
      <c r="HEX25" s="64"/>
      <c r="HEY25" s="64"/>
      <c r="HEZ25" s="64"/>
      <c r="HFA25" s="64"/>
      <c r="HFB25" s="64"/>
      <c r="HFC25" s="64"/>
      <c r="HFD25" s="64"/>
      <c r="HFE25" s="64"/>
      <c r="HFF25" s="64"/>
      <c r="HFG25" s="64"/>
      <c r="HFH25" s="64"/>
      <c r="HFI25" s="64"/>
      <c r="HFJ25" s="64"/>
      <c r="HFK25" s="64"/>
      <c r="HFL25" s="64"/>
      <c r="HFM25" s="64"/>
      <c r="HFN25" s="64"/>
      <c r="HFO25" s="64"/>
      <c r="HFP25" s="64"/>
      <c r="HFQ25" s="64"/>
      <c r="HFR25" s="64"/>
      <c r="HFS25" s="64"/>
      <c r="HFT25" s="64"/>
      <c r="HFU25" s="64"/>
      <c r="HFV25" s="64"/>
      <c r="HFW25" s="64"/>
      <c r="HFX25" s="64"/>
      <c r="HFY25" s="64"/>
      <c r="HFZ25" s="64"/>
      <c r="HGA25" s="64"/>
      <c r="HGB25" s="64"/>
      <c r="HGC25" s="64"/>
      <c r="HGD25" s="64"/>
      <c r="HGE25" s="64"/>
      <c r="HGF25" s="64"/>
      <c r="HGG25" s="64"/>
      <c r="HGH25" s="64"/>
      <c r="HGI25" s="64"/>
      <c r="HGJ25" s="64"/>
      <c r="HGK25" s="64"/>
      <c r="HGL25" s="64"/>
      <c r="HGM25" s="64"/>
      <c r="HGN25" s="64"/>
      <c r="HGO25" s="64"/>
      <c r="HGP25" s="64"/>
      <c r="HGQ25" s="64"/>
      <c r="HGR25" s="64"/>
      <c r="HGS25" s="64"/>
      <c r="HGT25" s="64"/>
      <c r="HGU25" s="64"/>
      <c r="HGV25" s="64"/>
      <c r="HGW25" s="64"/>
      <c r="HGX25" s="64"/>
      <c r="HGY25" s="64"/>
      <c r="HGZ25" s="64"/>
      <c r="HHA25" s="64"/>
      <c r="HHB25" s="64"/>
      <c r="HHC25" s="64"/>
      <c r="HHD25" s="64"/>
      <c r="HHE25" s="64"/>
      <c r="HHF25" s="64"/>
      <c r="HHG25" s="64"/>
      <c r="HHH25" s="64"/>
      <c r="HHI25" s="64"/>
      <c r="HHJ25" s="64"/>
      <c r="HHK25" s="64"/>
      <c r="HHL25" s="64"/>
      <c r="HHM25" s="64"/>
      <c r="HHN25" s="64"/>
      <c r="HHO25" s="64"/>
      <c r="HHP25" s="64"/>
      <c r="HHQ25" s="64"/>
      <c r="HHR25" s="64"/>
      <c r="HHS25" s="64"/>
      <c r="HHT25" s="64"/>
      <c r="HHU25" s="64"/>
      <c r="HHV25" s="64"/>
      <c r="HHW25" s="64"/>
      <c r="HHX25" s="64"/>
      <c r="HHY25" s="64"/>
      <c r="HHZ25" s="64"/>
      <c r="HIA25" s="64"/>
      <c r="HIB25" s="64"/>
      <c r="HIC25" s="64"/>
      <c r="HID25" s="64"/>
      <c r="HIE25" s="64"/>
      <c r="HIF25" s="64"/>
      <c r="HIG25" s="64"/>
      <c r="HIH25" s="64"/>
      <c r="HII25" s="64"/>
      <c r="HIJ25" s="64"/>
      <c r="HIK25" s="64"/>
      <c r="HIL25" s="64"/>
      <c r="HIM25" s="64"/>
      <c r="HIN25" s="64"/>
      <c r="HIO25" s="64"/>
      <c r="HIP25" s="64"/>
      <c r="HIQ25" s="64"/>
      <c r="HIR25" s="64"/>
      <c r="HIS25" s="64"/>
      <c r="HIT25" s="64"/>
      <c r="HIU25" s="64"/>
      <c r="HIV25" s="64"/>
      <c r="HIW25" s="64"/>
      <c r="HIX25" s="64"/>
      <c r="HIY25" s="64"/>
      <c r="HIZ25" s="64"/>
      <c r="HJA25" s="64"/>
      <c r="HJB25" s="64"/>
      <c r="HJC25" s="64"/>
      <c r="HJD25" s="64"/>
      <c r="HJE25" s="64"/>
      <c r="HJF25" s="64"/>
      <c r="HJG25" s="64"/>
      <c r="HJH25" s="64"/>
      <c r="HJI25" s="64"/>
      <c r="HJJ25" s="64"/>
      <c r="HJK25" s="64"/>
      <c r="HJL25" s="64"/>
      <c r="HJM25" s="64"/>
      <c r="HJN25" s="64"/>
      <c r="HJO25" s="64"/>
      <c r="HJP25" s="64"/>
      <c r="HJQ25" s="64"/>
      <c r="HJR25" s="64"/>
      <c r="HJS25" s="64"/>
      <c r="HJT25" s="64"/>
      <c r="HJU25" s="64"/>
      <c r="HJV25" s="64"/>
      <c r="HJW25" s="64"/>
      <c r="HJX25" s="64"/>
      <c r="HJY25" s="64"/>
      <c r="HJZ25" s="64"/>
      <c r="HKA25" s="64"/>
      <c r="HKB25" s="64"/>
      <c r="HKC25" s="64"/>
      <c r="HKD25" s="64"/>
      <c r="HKE25" s="64"/>
      <c r="HKF25" s="64"/>
      <c r="HKG25" s="64"/>
      <c r="HKH25" s="64"/>
      <c r="HKI25" s="64"/>
      <c r="HKJ25" s="64"/>
      <c r="HKK25" s="64"/>
      <c r="HKL25" s="64"/>
      <c r="HKM25" s="64"/>
      <c r="HKN25" s="64"/>
      <c r="HKO25" s="64"/>
      <c r="HKP25" s="64"/>
      <c r="HKQ25" s="64"/>
      <c r="HKR25" s="64"/>
      <c r="HKS25" s="64"/>
      <c r="HKT25" s="64"/>
      <c r="HKU25" s="64"/>
      <c r="HKV25" s="64"/>
      <c r="HKW25" s="64"/>
      <c r="HKX25" s="64"/>
      <c r="HKY25" s="64"/>
      <c r="HKZ25" s="64"/>
      <c r="HLA25" s="64"/>
      <c r="HLB25" s="64"/>
      <c r="HLC25" s="64"/>
      <c r="HLD25" s="64"/>
      <c r="HLE25" s="64"/>
      <c r="HLF25" s="64"/>
      <c r="HLG25" s="64"/>
      <c r="HLH25" s="64"/>
      <c r="HLI25" s="64"/>
      <c r="HLJ25" s="64"/>
      <c r="HLK25" s="64"/>
      <c r="HLL25" s="64"/>
      <c r="HLM25" s="64"/>
      <c r="HLN25" s="64"/>
      <c r="HLO25" s="64"/>
      <c r="HLP25" s="64"/>
      <c r="HLQ25" s="64"/>
      <c r="HLR25" s="64"/>
      <c r="HLS25" s="64"/>
      <c r="HLT25" s="64"/>
      <c r="HLU25" s="64"/>
      <c r="HLV25" s="64"/>
      <c r="HLW25" s="64"/>
      <c r="HLX25" s="64"/>
      <c r="HLY25" s="64"/>
      <c r="HLZ25" s="64"/>
      <c r="HMA25" s="64"/>
      <c r="HMB25" s="64"/>
      <c r="HMC25" s="64"/>
      <c r="HMD25" s="64"/>
      <c r="HME25" s="64"/>
      <c r="HMF25" s="64"/>
      <c r="HMG25" s="64"/>
      <c r="HMH25" s="64"/>
      <c r="HMI25" s="64"/>
      <c r="HMJ25" s="64"/>
      <c r="HMK25" s="64"/>
      <c r="HML25" s="64"/>
      <c r="HMM25" s="64"/>
      <c r="HMN25" s="64"/>
      <c r="HMO25" s="64"/>
      <c r="HMP25" s="64"/>
      <c r="HMQ25" s="64"/>
      <c r="HMR25" s="64"/>
      <c r="HMS25" s="64"/>
      <c r="HMT25" s="64"/>
      <c r="HMU25" s="64"/>
      <c r="HMV25" s="64"/>
      <c r="HMW25" s="64"/>
      <c r="HMX25" s="64"/>
      <c r="HMY25" s="64"/>
      <c r="HMZ25" s="64"/>
      <c r="HNA25" s="64"/>
      <c r="HNB25" s="64"/>
      <c r="HNC25" s="64"/>
      <c r="HND25" s="64"/>
      <c r="HNE25" s="64"/>
      <c r="HNF25" s="64"/>
      <c r="HNG25" s="64"/>
      <c r="HNH25" s="64"/>
      <c r="HNI25" s="64"/>
      <c r="HNJ25" s="64"/>
      <c r="HNK25" s="64"/>
      <c r="HNL25" s="64"/>
      <c r="HNM25" s="64"/>
      <c r="HNN25" s="64"/>
      <c r="HNO25" s="64"/>
      <c r="HNP25" s="64"/>
      <c r="HNQ25" s="64"/>
      <c r="HNR25" s="64"/>
      <c r="HNS25" s="64"/>
      <c r="HNT25" s="64"/>
      <c r="HNU25" s="64"/>
      <c r="HNV25" s="64"/>
      <c r="HNW25" s="64"/>
      <c r="HNX25" s="64"/>
      <c r="HNY25" s="64"/>
      <c r="HNZ25" s="64"/>
      <c r="HOA25" s="64"/>
      <c r="HOB25" s="64"/>
      <c r="HOC25" s="64"/>
      <c r="HOD25" s="64"/>
      <c r="HOE25" s="64"/>
      <c r="HOF25" s="64"/>
      <c r="HOG25" s="64"/>
      <c r="HOH25" s="64"/>
      <c r="HOI25" s="64"/>
      <c r="HOJ25" s="64"/>
      <c r="HOK25" s="64"/>
      <c r="HOL25" s="64"/>
      <c r="HOM25" s="64"/>
      <c r="HON25" s="64"/>
      <c r="HOO25" s="64"/>
      <c r="HOP25" s="64"/>
      <c r="HOQ25" s="64"/>
      <c r="HOR25" s="64"/>
      <c r="HOS25" s="64"/>
      <c r="HOT25" s="64"/>
      <c r="HOU25" s="64"/>
      <c r="HOV25" s="64"/>
      <c r="HOW25" s="64"/>
      <c r="HOX25" s="64"/>
      <c r="HOY25" s="64"/>
      <c r="HOZ25" s="64"/>
      <c r="HPA25" s="64"/>
      <c r="HPB25" s="64"/>
      <c r="HPC25" s="64"/>
      <c r="HPD25" s="64"/>
      <c r="HPE25" s="64"/>
      <c r="HPF25" s="64"/>
      <c r="HPG25" s="64"/>
      <c r="HPH25" s="64"/>
      <c r="HPI25" s="64"/>
      <c r="HPJ25" s="64"/>
      <c r="HPK25" s="64"/>
      <c r="HPL25" s="64"/>
      <c r="HPM25" s="64"/>
      <c r="HPN25" s="64"/>
      <c r="HPO25" s="64"/>
      <c r="HPP25" s="64"/>
      <c r="HPQ25" s="64"/>
      <c r="HPR25" s="64"/>
      <c r="HPS25" s="64"/>
      <c r="HPT25" s="64"/>
      <c r="HPU25" s="64"/>
      <c r="HPV25" s="64"/>
      <c r="HPW25" s="64"/>
      <c r="HPX25" s="64"/>
      <c r="HPY25" s="64"/>
      <c r="HPZ25" s="64"/>
      <c r="HQA25" s="64"/>
      <c r="HQB25" s="64"/>
      <c r="HQC25" s="64"/>
      <c r="HQD25" s="64"/>
      <c r="HQE25" s="64"/>
      <c r="HQF25" s="64"/>
      <c r="HQG25" s="64"/>
      <c r="HQH25" s="64"/>
      <c r="HQI25" s="64"/>
      <c r="HQJ25" s="64"/>
      <c r="HQK25" s="64"/>
      <c r="HQL25" s="64"/>
      <c r="HQM25" s="64"/>
      <c r="HQN25" s="64"/>
      <c r="HQO25" s="64"/>
      <c r="HQP25" s="64"/>
      <c r="HQQ25" s="64"/>
      <c r="HQR25" s="64"/>
      <c r="HQS25" s="64"/>
      <c r="HQT25" s="64"/>
      <c r="HQU25" s="64"/>
      <c r="HQV25" s="64"/>
      <c r="HQW25" s="64"/>
      <c r="HQX25" s="64"/>
      <c r="HQY25" s="64"/>
      <c r="HQZ25" s="64"/>
      <c r="HRA25" s="64"/>
      <c r="HRB25" s="64"/>
      <c r="HRC25" s="64"/>
      <c r="HRD25" s="64"/>
      <c r="HRE25" s="64"/>
      <c r="HRF25" s="64"/>
      <c r="HRG25" s="64"/>
      <c r="HRH25" s="64"/>
      <c r="HRI25" s="64"/>
      <c r="HRJ25" s="64"/>
      <c r="HRK25" s="64"/>
      <c r="HRL25" s="64"/>
      <c r="HRM25" s="64"/>
      <c r="HRN25" s="64"/>
      <c r="HRO25" s="64"/>
      <c r="HRP25" s="64"/>
      <c r="HRQ25" s="64"/>
      <c r="HRR25" s="64"/>
      <c r="HRS25" s="64"/>
      <c r="HRT25" s="64"/>
      <c r="HRU25" s="64"/>
      <c r="HRV25" s="64"/>
      <c r="HRW25" s="64"/>
      <c r="HRX25" s="64"/>
      <c r="HRY25" s="64"/>
      <c r="HRZ25" s="64"/>
      <c r="HSA25" s="64"/>
      <c r="HSB25" s="64"/>
      <c r="HSC25" s="64"/>
      <c r="HSD25" s="64"/>
      <c r="HSE25" s="64"/>
      <c r="HSF25" s="64"/>
      <c r="HSG25" s="64"/>
      <c r="HSH25" s="64"/>
      <c r="HSI25" s="64"/>
      <c r="HSJ25" s="64"/>
      <c r="HSK25" s="64"/>
      <c r="HSL25" s="64"/>
      <c r="HSM25" s="64"/>
      <c r="HSN25" s="64"/>
      <c r="HSO25" s="64"/>
      <c r="HSP25" s="64"/>
      <c r="HSQ25" s="64"/>
      <c r="HSR25" s="64"/>
      <c r="HSS25" s="64"/>
      <c r="HST25" s="64"/>
      <c r="HSU25" s="64"/>
      <c r="HSV25" s="64"/>
      <c r="HSW25" s="64"/>
      <c r="HSX25" s="64"/>
      <c r="HSY25" s="64"/>
      <c r="HSZ25" s="64"/>
      <c r="HTA25" s="64"/>
      <c r="HTB25" s="64"/>
      <c r="HTC25" s="64"/>
      <c r="HTD25" s="64"/>
      <c r="HTE25" s="64"/>
      <c r="HTF25" s="64"/>
      <c r="HTG25" s="64"/>
      <c r="HTH25" s="64"/>
      <c r="HTI25" s="64"/>
      <c r="HTJ25" s="64"/>
      <c r="HTK25" s="64"/>
      <c r="HTL25" s="64"/>
      <c r="HTM25" s="64"/>
      <c r="HTN25" s="64"/>
      <c r="HTO25" s="64"/>
      <c r="HTP25" s="64"/>
      <c r="HTQ25" s="64"/>
      <c r="HTR25" s="64"/>
      <c r="HTS25" s="64"/>
      <c r="HTT25" s="64"/>
      <c r="HTU25" s="64"/>
      <c r="HTV25" s="64"/>
      <c r="HTW25" s="64"/>
      <c r="HTX25" s="64"/>
      <c r="HTY25" s="64"/>
      <c r="HTZ25" s="64"/>
      <c r="HUA25" s="64"/>
      <c r="HUB25" s="64"/>
      <c r="HUC25" s="64"/>
      <c r="HUD25" s="64"/>
      <c r="HUE25" s="64"/>
      <c r="HUF25" s="64"/>
      <c r="HUG25" s="64"/>
      <c r="HUH25" s="64"/>
      <c r="HUI25" s="64"/>
      <c r="HUJ25" s="64"/>
      <c r="HUK25" s="64"/>
      <c r="HUL25" s="64"/>
      <c r="HUM25" s="64"/>
      <c r="HUN25" s="64"/>
      <c r="HUO25" s="64"/>
      <c r="HUP25" s="64"/>
      <c r="HUQ25" s="64"/>
      <c r="HUR25" s="64"/>
      <c r="HUS25" s="64"/>
      <c r="HUT25" s="64"/>
      <c r="HUU25" s="64"/>
      <c r="HUV25" s="64"/>
      <c r="HUW25" s="64"/>
      <c r="HUX25" s="64"/>
      <c r="HUY25" s="64"/>
      <c r="HUZ25" s="64"/>
      <c r="HVA25" s="64"/>
      <c r="HVB25" s="64"/>
      <c r="HVC25" s="64"/>
      <c r="HVD25" s="64"/>
      <c r="HVE25" s="64"/>
      <c r="HVF25" s="64"/>
      <c r="HVG25" s="64"/>
      <c r="HVH25" s="64"/>
      <c r="HVI25" s="64"/>
      <c r="HVJ25" s="64"/>
      <c r="HVK25" s="64"/>
      <c r="HVL25" s="64"/>
      <c r="HVM25" s="64"/>
      <c r="HVN25" s="64"/>
      <c r="HVO25" s="64"/>
      <c r="HVP25" s="64"/>
      <c r="HVQ25" s="64"/>
      <c r="HVR25" s="64"/>
      <c r="HVS25" s="64"/>
      <c r="HVT25" s="64"/>
      <c r="HVU25" s="64"/>
      <c r="HVV25" s="64"/>
      <c r="HVW25" s="64"/>
      <c r="HVX25" s="64"/>
      <c r="HVY25" s="64"/>
      <c r="HVZ25" s="64"/>
      <c r="HWA25" s="64"/>
      <c r="HWB25" s="64"/>
      <c r="HWC25" s="64"/>
      <c r="HWD25" s="64"/>
      <c r="HWE25" s="64"/>
      <c r="HWF25" s="64"/>
      <c r="HWG25" s="64"/>
      <c r="HWH25" s="64"/>
      <c r="HWI25" s="64"/>
      <c r="HWJ25" s="64"/>
      <c r="HWK25" s="64"/>
      <c r="HWL25" s="64"/>
      <c r="HWM25" s="64"/>
      <c r="HWN25" s="64"/>
      <c r="HWO25" s="64"/>
      <c r="HWP25" s="64"/>
      <c r="HWQ25" s="64"/>
      <c r="HWR25" s="64"/>
      <c r="HWS25" s="64"/>
      <c r="HWT25" s="64"/>
      <c r="HWU25" s="64"/>
      <c r="HWV25" s="64"/>
      <c r="HWW25" s="64"/>
      <c r="HWX25" s="64"/>
      <c r="HWY25" s="64"/>
      <c r="HWZ25" s="64"/>
      <c r="HXA25" s="64"/>
      <c r="HXB25" s="64"/>
      <c r="HXC25" s="64"/>
      <c r="HXD25" s="64"/>
      <c r="HXE25" s="64"/>
      <c r="HXF25" s="64"/>
      <c r="HXG25" s="64"/>
      <c r="HXH25" s="64"/>
      <c r="HXI25" s="64"/>
      <c r="HXJ25" s="64"/>
      <c r="HXK25" s="64"/>
      <c r="HXL25" s="64"/>
      <c r="HXM25" s="64"/>
      <c r="HXN25" s="64"/>
      <c r="HXO25" s="64"/>
      <c r="HXP25" s="64"/>
      <c r="HXQ25" s="64"/>
      <c r="HXR25" s="64"/>
      <c r="HXS25" s="64"/>
      <c r="HXT25" s="64"/>
      <c r="HXU25" s="64"/>
      <c r="HXV25" s="64"/>
      <c r="HXW25" s="64"/>
      <c r="HXX25" s="64"/>
      <c r="HXY25" s="64"/>
      <c r="HXZ25" s="64"/>
      <c r="HYA25" s="64"/>
      <c r="HYB25" s="64"/>
      <c r="HYC25" s="64"/>
      <c r="HYD25" s="64"/>
      <c r="HYE25" s="64"/>
      <c r="HYF25" s="64"/>
      <c r="HYG25" s="64"/>
      <c r="HYH25" s="64"/>
      <c r="HYI25" s="64"/>
      <c r="HYJ25" s="64"/>
      <c r="HYK25" s="64"/>
      <c r="HYL25" s="64"/>
      <c r="HYM25" s="64"/>
      <c r="HYN25" s="64"/>
      <c r="HYO25" s="64"/>
      <c r="HYP25" s="64"/>
      <c r="HYQ25" s="64"/>
      <c r="HYR25" s="64"/>
      <c r="HYS25" s="64"/>
      <c r="HYT25" s="64"/>
      <c r="HYU25" s="64"/>
      <c r="HYV25" s="64"/>
      <c r="HYW25" s="64"/>
      <c r="HYX25" s="64"/>
      <c r="HYY25" s="64"/>
      <c r="HYZ25" s="64"/>
      <c r="HZA25" s="64"/>
      <c r="HZB25" s="64"/>
      <c r="HZC25" s="64"/>
      <c r="HZD25" s="64"/>
      <c r="HZE25" s="64"/>
      <c r="HZF25" s="64"/>
      <c r="HZG25" s="64"/>
      <c r="HZH25" s="64"/>
      <c r="HZI25" s="64"/>
      <c r="HZJ25" s="64"/>
      <c r="HZK25" s="64"/>
      <c r="HZL25" s="64"/>
      <c r="HZM25" s="64"/>
      <c r="HZN25" s="64"/>
      <c r="HZO25" s="64"/>
      <c r="HZP25" s="64"/>
      <c r="HZQ25" s="64"/>
      <c r="HZR25" s="64"/>
      <c r="HZS25" s="64"/>
      <c r="HZT25" s="64"/>
      <c r="HZU25" s="64"/>
      <c r="HZV25" s="64"/>
      <c r="HZW25" s="64"/>
      <c r="HZX25" s="64"/>
      <c r="HZY25" s="64"/>
      <c r="HZZ25" s="64"/>
      <c r="IAA25" s="64"/>
      <c r="IAB25" s="64"/>
      <c r="IAC25" s="64"/>
      <c r="IAD25" s="64"/>
      <c r="IAE25" s="64"/>
      <c r="IAF25" s="64"/>
      <c r="IAG25" s="64"/>
      <c r="IAH25" s="64"/>
      <c r="IAI25" s="64"/>
      <c r="IAJ25" s="64"/>
      <c r="IAK25" s="64"/>
      <c r="IAL25" s="64"/>
      <c r="IAM25" s="64"/>
      <c r="IAN25" s="64"/>
      <c r="IAO25" s="64"/>
      <c r="IAP25" s="64"/>
      <c r="IAQ25" s="64"/>
      <c r="IAR25" s="64"/>
      <c r="IAS25" s="64"/>
      <c r="IAT25" s="64"/>
      <c r="IAU25" s="64"/>
      <c r="IAV25" s="64"/>
      <c r="IAW25" s="64"/>
      <c r="IAX25" s="64"/>
      <c r="IAY25" s="64"/>
      <c r="IAZ25" s="64"/>
      <c r="IBA25" s="64"/>
      <c r="IBB25" s="64"/>
      <c r="IBC25" s="64"/>
      <c r="IBD25" s="64"/>
      <c r="IBE25" s="64"/>
      <c r="IBF25" s="64"/>
      <c r="IBG25" s="64"/>
      <c r="IBH25" s="64"/>
      <c r="IBI25" s="64"/>
      <c r="IBJ25" s="64"/>
      <c r="IBK25" s="64"/>
      <c r="IBL25" s="64"/>
      <c r="IBM25" s="64"/>
      <c r="IBN25" s="64"/>
      <c r="IBO25" s="64"/>
      <c r="IBP25" s="64"/>
      <c r="IBQ25" s="64"/>
      <c r="IBR25" s="64"/>
      <c r="IBS25" s="64"/>
      <c r="IBT25" s="64"/>
      <c r="IBU25" s="64"/>
      <c r="IBV25" s="64"/>
      <c r="IBW25" s="64"/>
      <c r="IBX25" s="64"/>
      <c r="IBY25" s="64"/>
      <c r="IBZ25" s="64"/>
      <c r="ICA25" s="64"/>
      <c r="ICB25" s="64"/>
      <c r="ICC25" s="64"/>
      <c r="ICD25" s="64"/>
      <c r="ICE25" s="64"/>
      <c r="ICF25" s="64"/>
      <c r="ICG25" s="64"/>
      <c r="ICH25" s="64"/>
      <c r="ICI25" s="64"/>
      <c r="ICJ25" s="64"/>
      <c r="ICK25" s="64"/>
      <c r="ICL25" s="64"/>
      <c r="ICM25" s="64"/>
      <c r="ICN25" s="64"/>
      <c r="ICO25" s="64"/>
      <c r="ICP25" s="64"/>
      <c r="ICQ25" s="64"/>
      <c r="ICR25" s="64"/>
      <c r="ICS25" s="64"/>
      <c r="ICT25" s="64"/>
      <c r="ICU25" s="64"/>
      <c r="ICV25" s="64"/>
      <c r="ICW25" s="64"/>
      <c r="ICX25" s="64"/>
      <c r="ICY25" s="64"/>
      <c r="ICZ25" s="64"/>
      <c r="IDA25" s="64"/>
      <c r="IDB25" s="64"/>
      <c r="IDC25" s="64"/>
      <c r="IDD25" s="64"/>
      <c r="IDE25" s="64"/>
      <c r="IDF25" s="64"/>
      <c r="IDG25" s="64"/>
      <c r="IDH25" s="64"/>
      <c r="IDI25" s="64"/>
      <c r="IDJ25" s="64"/>
      <c r="IDK25" s="64"/>
      <c r="IDL25" s="64"/>
      <c r="IDM25" s="64"/>
      <c r="IDN25" s="64"/>
      <c r="IDO25" s="64"/>
      <c r="IDP25" s="64"/>
      <c r="IDQ25" s="64"/>
      <c r="IDR25" s="64"/>
      <c r="IDS25" s="64"/>
      <c r="IDT25" s="64"/>
      <c r="IDU25" s="64"/>
      <c r="IDV25" s="64"/>
      <c r="IDW25" s="64"/>
      <c r="IDX25" s="64"/>
      <c r="IDY25" s="64"/>
      <c r="IDZ25" s="64"/>
      <c r="IEA25" s="64"/>
      <c r="IEB25" s="64"/>
      <c r="IEC25" s="64"/>
      <c r="IED25" s="64"/>
      <c r="IEE25" s="64"/>
      <c r="IEF25" s="64"/>
      <c r="IEG25" s="64"/>
      <c r="IEH25" s="64"/>
      <c r="IEI25" s="64"/>
      <c r="IEJ25" s="64"/>
      <c r="IEK25" s="64"/>
      <c r="IEL25" s="64"/>
      <c r="IEM25" s="64"/>
      <c r="IEN25" s="64"/>
      <c r="IEO25" s="64"/>
      <c r="IEP25" s="64"/>
      <c r="IEQ25" s="64"/>
      <c r="IER25" s="64"/>
      <c r="IES25" s="64"/>
      <c r="IET25" s="64"/>
      <c r="IEU25" s="64"/>
      <c r="IEV25" s="64"/>
      <c r="IEW25" s="64"/>
      <c r="IEX25" s="64"/>
      <c r="IEY25" s="64"/>
      <c r="IEZ25" s="64"/>
      <c r="IFA25" s="64"/>
      <c r="IFB25" s="64"/>
      <c r="IFC25" s="64"/>
      <c r="IFD25" s="64"/>
      <c r="IFE25" s="64"/>
      <c r="IFF25" s="64"/>
      <c r="IFG25" s="64"/>
      <c r="IFH25" s="64"/>
      <c r="IFI25" s="64"/>
      <c r="IFJ25" s="64"/>
      <c r="IFK25" s="64"/>
      <c r="IFL25" s="64"/>
      <c r="IFM25" s="64"/>
      <c r="IFN25" s="64"/>
      <c r="IFO25" s="64"/>
      <c r="IFP25" s="64"/>
      <c r="IFQ25" s="64"/>
      <c r="IFR25" s="64"/>
      <c r="IFS25" s="64"/>
      <c r="IFT25" s="64"/>
      <c r="IFU25" s="64"/>
      <c r="IFV25" s="64"/>
      <c r="IFW25" s="64"/>
      <c r="IFX25" s="64"/>
      <c r="IFY25" s="64"/>
      <c r="IFZ25" s="64"/>
      <c r="IGA25" s="64"/>
      <c r="IGB25" s="64"/>
      <c r="IGC25" s="64"/>
      <c r="IGD25" s="64"/>
      <c r="IGE25" s="64"/>
      <c r="IGF25" s="64"/>
      <c r="IGG25" s="64"/>
      <c r="IGH25" s="64"/>
      <c r="IGI25" s="64"/>
      <c r="IGJ25" s="64"/>
      <c r="IGK25" s="64"/>
      <c r="IGL25" s="64"/>
      <c r="IGM25" s="64"/>
      <c r="IGN25" s="64"/>
      <c r="IGO25" s="64"/>
      <c r="IGP25" s="64"/>
      <c r="IGQ25" s="64"/>
      <c r="IGR25" s="64"/>
      <c r="IGS25" s="64"/>
      <c r="IGT25" s="64"/>
      <c r="IGU25" s="64"/>
      <c r="IGV25" s="64"/>
      <c r="IGW25" s="64"/>
      <c r="IGX25" s="64"/>
      <c r="IGY25" s="64"/>
      <c r="IGZ25" s="64"/>
      <c r="IHA25" s="64"/>
      <c r="IHB25" s="64"/>
      <c r="IHC25" s="64"/>
      <c r="IHD25" s="64"/>
      <c r="IHE25" s="64"/>
      <c r="IHF25" s="64"/>
      <c r="IHG25" s="64"/>
      <c r="IHH25" s="64"/>
      <c r="IHI25" s="64"/>
      <c r="IHJ25" s="64"/>
      <c r="IHK25" s="64"/>
      <c r="IHL25" s="64"/>
      <c r="IHM25" s="64"/>
      <c r="IHN25" s="64"/>
      <c r="IHO25" s="64"/>
      <c r="IHP25" s="64"/>
      <c r="IHQ25" s="64"/>
      <c r="IHR25" s="64"/>
      <c r="IHS25" s="64"/>
      <c r="IHT25" s="64"/>
      <c r="IHU25" s="64"/>
      <c r="IHV25" s="64"/>
      <c r="IHW25" s="64"/>
      <c r="IHX25" s="64"/>
      <c r="IHY25" s="64"/>
      <c r="IHZ25" s="64"/>
      <c r="IIA25" s="64"/>
      <c r="IIB25" s="64"/>
      <c r="IIC25" s="64"/>
      <c r="IID25" s="64"/>
      <c r="IIE25" s="64"/>
      <c r="IIF25" s="64"/>
      <c r="IIG25" s="64"/>
      <c r="IIH25" s="64"/>
      <c r="III25" s="64"/>
      <c r="IIJ25" s="64"/>
      <c r="IIK25" s="64"/>
      <c r="IIL25" s="64"/>
      <c r="IIM25" s="64"/>
      <c r="IIN25" s="64"/>
      <c r="IIO25" s="64"/>
      <c r="IIP25" s="64"/>
      <c r="IIQ25" s="64"/>
      <c r="IIR25" s="64"/>
      <c r="IIS25" s="64"/>
      <c r="IIT25" s="64"/>
      <c r="IIU25" s="64"/>
      <c r="IIV25" s="64"/>
      <c r="IIW25" s="64"/>
      <c r="IIX25" s="64"/>
      <c r="IIY25" s="64"/>
      <c r="IIZ25" s="64"/>
      <c r="IJA25" s="64"/>
      <c r="IJB25" s="64"/>
      <c r="IJC25" s="64"/>
      <c r="IJD25" s="64"/>
      <c r="IJE25" s="64"/>
      <c r="IJF25" s="64"/>
      <c r="IJG25" s="64"/>
      <c r="IJH25" s="64"/>
      <c r="IJI25" s="64"/>
      <c r="IJJ25" s="64"/>
      <c r="IJK25" s="64"/>
      <c r="IJL25" s="64"/>
      <c r="IJM25" s="64"/>
      <c r="IJN25" s="64"/>
      <c r="IJO25" s="64"/>
      <c r="IJP25" s="64"/>
      <c r="IJQ25" s="64"/>
      <c r="IJR25" s="64"/>
      <c r="IJS25" s="64"/>
      <c r="IJT25" s="64"/>
      <c r="IJU25" s="64"/>
      <c r="IJV25" s="64"/>
      <c r="IJW25" s="64"/>
      <c r="IJX25" s="64"/>
      <c r="IJY25" s="64"/>
      <c r="IJZ25" s="64"/>
      <c r="IKA25" s="64"/>
      <c r="IKB25" s="64"/>
      <c r="IKC25" s="64"/>
      <c r="IKD25" s="64"/>
      <c r="IKE25" s="64"/>
      <c r="IKF25" s="64"/>
      <c r="IKG25" s="64"/>
      <c r="IKH25" s="64"/>
      <c r="IKI25" s="64"/>
      <c r="IKJ25" s="64"/>
      <c r="IKK25" s="64"/>
      <c r="IKL25" s="64"/>
      <c r="IKM25" s="64"/>
      <c r="IKN25" s="64"/>
      <c r="IKO25" s="64"/>
      <c r="IKP25" s="64"/>
      <c r="IKQ25" s="64"/>
      <c r="IKR25" s="64"/>
      <c r="IKS25" s="64"/>
      <c r="IKT25" s="64"/>
      <c r="IKU25" s="64"/>
      <c r="IKV25" s="64"/>
      <c r="IKW25" s="64"/>
      <c r="IKX25" s="64"/>
      <c r="IKY25" s="64"/>
      <c r="IKZ25" s="64"/>
      <c r="ILA25" s="64"/>
      <c r="ILB25" s="64"/>
      <c r="ILC25" s="64"/>
      <c r="ILD25" s="64"/>
      <c r="ILE25" s="64"/>
      <c r="ILF25" s="64"/>
      <c r="ILG25" s="64"/>
      <c r="ILH25" s="64"/>
      <c r="ILI25" s="64"/>
      <c r="ILJ25" s="64"/>
      <c r="ILK25" s="64"/>
      <c r="ILL25" s="64"/>
      <c r="ILM25" s="64"/>
      <c r="ILN25" s="64"/>
      <c r="ILO25" s="64"/>
      <c r="ILP25" s="64"/>
      <c r="ILQ25" s="64"/>
      <c r="ILR25" s="64"/>
      <c r="ILS25" s="64"/>
      <c r="ILT25" s="64"/>
      <c r="ILU25" s="64"/>
      <c r="ILV25" s="64"/>
      <c r="ILW25" s="64"/>
      <c r="ILX25" s="64"/>
      <c r="ILY25" s="64"/>
      <c r="ILZ25" s="64"/>
      <c r="IMA25" s="64"/>
      <c r="IMB25" s="64"/>
      <c r="IMC25" s="64"/>
      <c r="IMD25" s="64"/>
      <c r="IME25" s="64"/>
      <c r="IMF25" s="64"/>
      <c r="IMG25" s="64"/>
      <c r="IMH25" s="64"/>
      <c r="IMI25" s="64"/>
      <c r="IMJ25" s="64"/>
      <c r="IMK25" s="64"/>
      <c r="IML25" s="64"/>
      <c r="IMM25" s="64"/>
      <c r="IMN25" s="64"/>
      <c r="IMO25" s="64"/>
      <c r="IMP25" s="64"/>
      <c r="IMQ25" s="64"/>
      <c r="IMR25" s="64"/>
      <c r="IMS25" s="64"/>
      <c r="IMT25" s="64"/>
      <c r="IMU25" s="64"/>
      <c r="IMV25" s="64"/>
      <c r="IMW25" s="64"/>
      <c r="IMX25" s="64"/>
      <c r="IMY25" s="64"/>
      <c r="IMZ25" s="64"/>
      <c r="INA25" s="64"/>
      <c r="INB25" s="64"/>
      <c r="INC25" s="64"/>
      <c r="IND25" s="64"/>
      <c r="INE25" s="64"/>
      <c r="INF25" s="64"/>
      <c r="ING25" s="64"/>
      <c r="INH25" s="64"/>
      <c r="INI25" s="64"/>
      <c r="INJ25" s="64"/>
      <c r="INK25" s="64"/>
      <c r="INL25" s="64"/>
      <c r="INM25" s="64"/>
      <c r="INN25" s="64"/>
      <c r="INO25" s="64"/>
      <c r="INP25" s="64"/>
      <c r="INQ25" s="64"/>
      <c r="INR25" s="64"/>
      <c r="INS25" s="64"/>
      <c r="INT25" s="64"/>
      <c r="INU25" s="64"/>
      <c r="INV25" s="64"/>
      <c r="INW25" s="64"/>
      <c r="INX25" s="64"/>
      <c r="INY25" s="64"/>
      <c r="INZ25" s="64"/>
      <c r="IOA25" s="64"/>
      <c r="IOB25" s="64"/>
      <c r="IOC25" s="64"/>
      <c r="IOD25" s="64"/>
      <c r="IOE25" s="64"/>
      <c r="IOF25" s="64"/>
      <c r="IOG25" s="64"/>
      <c r="IOH25" s="64"/>
      <c r="IOI25" s="64"/>
      <c r="IOJ25" s="64"/>
      <c r="IOK25" s="64"/>
      <c r="IOL25" s="64"/>
      <c r="IOM25" s="64"/>
      <c r="ION25" s="64"/>
      <c r="IOO25" s="64"/>
      <c r="IOP25" s="64"/>
      <c r="IOQ25" s="64"/>
      <c r="IOR25" s="64"/>
      <c r="IOS25" s="64"/>
      <c r="IOT25" s="64"/>
      <c r="IOU25" s="64"/>
      <c r="IOV25" s="64"/>
      <c r="IOW25" s="64"/>
      <c r="IOX25" s="64"/>
      <c r="IOY25" s="64"/>
      <c r="IOZ25" s="64"/>
      <c r="IPA25" s="64"/>
      <c r="IPB25" s="64"/>
      <c r="IPC25" s="64"/>
      <c r="IPD25" s="64"/>
      <c r="IPE25" s="64"/>
      <c r="IPF25" s="64"/>
      <c r="IPG25" s="64"/>
      <c r="IPH25" s="64"/>
      <c r="IPI25" s="64"/>
      <c r="IPJ25" s="64"/>
      <c r="IPK25" s="64"/>
      <c r="IPL25" s="64"/>
      <c r="IPM25" s="64"/>
      <c r="IPN25" s="64"/>
      <c r="IPO25" s="64"/>
      <c r="IPP25" s="64"/>
      <c r="IPQ25" s="64"/>
      <c r="IPR25" s="64"/>
      <c r="IPS25" s="64"/>
      <c r="IPT25" s="64"/>
      <c r="IPU25" s="64"/>
      <c r="IPV25" s="64"/>
      <c r="IPW25" s="64"/>
      <c r="IPX25" s="64"/>
      <c r="IPY25" s="64"/>
      <c r="IPZ25" s="64"/>
      <c r="IQA25" s="64"/>
      <c r="IQB25" s="64"/>
      <c r="IQC25" s="64"/>
      <c r="IQD25" s="64"/>
      <c r="IQE25" s="64"/>
      <c r="IQF25" s="64"/>
      <c r="IQG25" s="64"/>
      <c r="IQH25" s="64"/>
      <c r="IQI25" s="64"/>
      <c r="IQJ25" s="64"/>
      <c r="IQK25" s="64"/>
      <c r="IQL25" s="64"/>
      <c r="IQM25" s="64"/>
      <c r="IQN25" s="64"/>
      <c r="IQO25" s="64"/>
      <c r="IQP25" s="64"/>
      <c r="IQQ25" s="64"/>
      <c r="IQR25" s="64"/>
      <c r="IQS25" s="64"/>
      <c r="IQT25" s="64"/>
      <c r="IQU25" s="64"/>
      <c r="IQV25" s="64"/>
      <c r="IQW25" s="64"/>
      <c r="IQX25" s="64"/>
      <c r="IQY25" s="64"/>
      <c r="IQZ25" s="64"/>
      <c r="IRA25" s="64"/>
      <c r="IRB25" s="64"/>
      <c r="IRC25" s="64"/>
      <c r="IRD25" s="64"/>
      <c r="IRE25" s="64"/>
      <c r="IRF25" s="64"/>
      <c r="IRG25" s="64"/>
      <c r="IRH25" s="64"/>
      <c r="IRI25" s="64"/>
      <c r="IRJ25" s="64"/>
      <c r="IRK25" s="64"/>
      <c r="IRL25" s="64"/>
      <c r="IRM25" s="64"/>
      <c r="IRN25" s="64"/>
      <c r="IRO25" s="64"/>
      <c r="IRP25" s="64"/>
      <c r="IRQ25" s="64"/>
      <c r="IRR25" s="64"/>
      <c r="IRS25" s="64"/>
      <c r="IRT25" s="64"/>
      <c r="IRU25" s="64"/>
      <c r="IRV25" s="64"/>
      <c r="IRW25" s="64"/>
      <c r="IRX25" s="64"/>
      <c r="IRY25" s="64"/>
      <c r="IRZ25" s="64"/>
      <c r="ISA25" s="64"/>
      <c r="ISB25" s="64"/>
      <c r="ISC25" s="64"/>
      <c r="ISD25" s="64"/>
      <c r="ISE25" s="64"/>
      <c r="ISF25" s="64"/>
      <c r="ISG25" s="64"/>
      <c r="ISH25" s="64"/>
      <c r="ISI25" s="64"/>
      <c r="ISJ25" s="64"/>
      <c r="ISK25" s="64"/>
      <c r="ISL25" s="64"/>
      <c r="ISM25" s="64"/>
      <c r="ISN25" s="64"/>
      <c r="ISO25" s="64"/>
      <c r="ISP25" s="64"/>
      <c r="ISQ25" s="64"/>
      <c r="ISR25" s="64"/>
      <c r="ISS25" s="64"/>
      <c r="IST25" s="64"/>
      <c r="ISU25" s="64"/>
      <c r="ISV25" s="64"/>
      <c r="ISW25" s="64"/>
      <c r="ISX25" s="64"/>
      <c r="ISY25" s="64"/>
      <c r="ISZ25" s="64"/>
      <c r="ITA25" s="64"/>
      <c r="ITB25" s="64"/>
      <c r="ITC25" s="64"/>
      <c r="ITD25" s="64"/>
      <c r="ITE25" s="64"/>
      <c r="ITF25" s="64"/>
      <c r="ITG25" s="64"/>
      <c r="ITH25" s="64"/>
      <c r="ITI25" s="64"/>
      <c r="ITJ25" s="64"/>
      <c r="ITK25" s="64"/>
      <c r="ITL25" s="64"/>
      <c r="ITM25" s="64"/>
      <c r="ITN25" s="64"/>
      <c r="ITO25" s="64"/>
      <c r="ITP25" s="64"/>
      <c r="ITQ25" s="64"/>
      <c r="ITR25" s="64"/>
      <c r="ITS25" s="64"/>
      <c r="ITT25" s="64"/>
      <c r="ITU25" s="64"/>
      <c r="ITV25" s="64"/>
      <c r="ITW25" s="64"/>
      <c r="ITX25" s="64"/>
      <c r="ITY25" s="64"/>
      <c r="ITZ25" s="64"/>
      <c r="IUA25" s="64"/>
      <c r="IUB25" s="64"/>
      <c r="IUC25" s="64"/>
      <c r="IUD25" s="64"/>
      <c r="IUE25" s="64"/>
      <c r="IUF25" s="64"/>
      <c r="IUG25" s="64"/>
      <c r="IUH25" s="64"/>
      <c r="IUI25" s="64"/>
      <c r="IUJ25" s="64"/>
      <c r="IUK25" s="64"/>
      <c r="IUL25" s="64"/>
      <c r="IUM25" s="64"/>
      <c r="IUN25" s="64"/>
      <c r="IUO25" s="64"/>
      <c r="IUP25" s="64"/>
      <c r="IUQ25" s="64"/>
      <c r="IUR25" s="64"/>
      <c r="IUS25" s="64"/>
      <c r="IUT25" s="64"/>
      <c r="IUU25" s="64"/>
      <c r="IUV25" s="64"/>
      <c r="IUW25" s="64"/>
      <c r="IUX25" s="64"/>
      <c r="IUY25" s="64"/>
      <c r="IUZ25" s="64"/>
      <c r="IVA25" s="64"/>
      <c r="IVB25" s="64"/>
      <c r="IVC25" s="64"/>
      <c r="IVD25" s="64"/>
      <c r="IVE25" s="64"/>
      <c r="IVF25" s="64"/>
      <c r="IVG25" s="64"/>
      <c r="IVH25" s="64"/>
      <c r="IVI25" s="64"/>
      <c r="IVJ25" s="64"/>
      <c r="IVK25" s="64"/>
      <c r="IVL25" s="64"/>
      <c r="IVM25" s="64"/>
      <c r="IVN25" s="64"/>
      <c r="IVO25" s="64"/>
      <c r="IVP25" s="64"/>
      <c r="IVQ25" s="64"/>
      <c r="IVR25" s="64"/>
      <c r="IVS25" s="64"/>
      <c r="IVT25" s="64"/>
      <c r="IVU25" s="64"/>
      <c r="IVV25" s="64"/>
      <c r="IVW25" s="64"/>
      <c r="IVX25" s="64"/>
      <c r="IVY25" s="64"/>
      <c r="IVZ25" s="64"/>
      <c r="IWA25" s="64"/>
      <c r="IWB25" s="64"/>
      <c r="IWC25" s="64"/>
      <c r="IWD25" s="64"/>
      <c r="IWE25" s="64"/>
      <c r="IWF25" s="64"/>
      <c r="IWG25" s="64"/>
      <c r="IWH25" s="64"/>
      <c r="IWI25" s="64"/>
      <c r="IWJ25" s="64"/>
      <c r="IWK25" s="64"/>
      <c r="IWL25" s="64"/>
      <c r="IWM25" s="64"/>
      <c r="IWN25" s="64"/>
      <c r="IWO25" s="64"/>
      <c r="IWP25" s="64"/>
      <c r="IWQ25" s="64"/>
      <c r="IWR25" s="64"/>
      <c r="IWS25" s="64"/>
      <c r="IWT25" s="64"/>
      <c r="IWU25" s="64"/>
      <c r="IWV25" s="64"/>
      <c r="IWW25" s="64"/>
      <c r="IWX25" s="64"/>
      <c r="IWY25" s="64"/>
      <c r="IWZ25" s="64"/>
      <c r="IXA25" s="64"/>
      <c r="IXB25" s="64"/>
      <c r="IXC25" s="64"/>
      <c r="IXD25" s="64"/>
      <c r="IXE25" s="64"/>
      <c r="IXF25" s="64"/>
      <c r="IXG25" s="64"/>
      <c r="IXH25" s="64"/>
      <c r="IXI25" s="64"/>
      <c r="IXJ25" s="64"/>
      <c r="IXK25" s="64"/>
      <c r="IXL25" s="64"/>
      <c r="IXM25" s="64"/>
      <c r="IXN25" s="64"/>
      <c r="IXO25" s="64"/>
      <c r="IXP25" s="64"/>
      <c r="IXQ25" s="64"/>
      <c r="IXR25" s="64"/>
      <c r="IXS25" s="64"/>
      <c r="IXT25" s="64"/>
      <c r="IXU25" s="64"/>
      <c r="IXV25" s="64"/>
      <c r="IXW25" s="64"/>
      <c r="IXX25" s="64"/>
      <c r="IXY25" s="64"/>
      <c r="IXZ25" s="64"/>
      <c r="IYA25" s="64"/>
      <c r="IYB25" s="64"/>
      <c r="IYC25" s="64"/>
      <c r="IYD25" s="64"/>
      <c r="IYE25" s="64"/>
      <c r="IYF25" s="64"/>
      <c r="IYG25" s="64"/>
      <c r="IYH25" s="64"/>
      <c r="IYI25" s="64"/>
      <c r="IYJ25" s="64"/>
      <c r="IYK25" s="64"/>
      <c r="IYL25" s="64"/>
      <c r="IYM25" s="64"/>
      <c r="IYN25" s="64"/>
      <c r="IYO25" s="64"/>
      <c r="IYP25" s="64"/>
      <c r="IYQ25" s="64"/>
      <c r="IYR25" s="64"/>
      <c r="IYS25" s="64"/>
      <c r="IYT25" s="64"/>
      <c r="IYU25" s="64"/>
      <c r="IYV25" s="64"/>
      <c r="IYW25" s="64"/>
      <c r="IYX25" s="64"/>
      <c r="IYY25" s="64"/>
      <c r="IYZ25" s="64"/>
      <c r="IZA25" s="64"/>
      <c r="IZB25" s="64"/>
      <c r="IZC25" s="64"/>
      <c r="IZD25" s="64"/>
      <c r="IZE25" s="64"/>
      <c r="IZF25" s="64"/>
      <c r="IZG25" s="64"/>
      <c r="IZH25" s="64"/>
      <c r="IZI25" s="64"/>
      <c r="IZJ25" s="64"/>
      <c r="IZK25" s="64"/>
      <c r="IZL25" s="64"/>
      <c r="IZM25" s="64"/>
      <c r="IZN25" s="64"/>
      <c r="IZO25" s="64"/>
      <c r="IZP25" s="64"/>
      <c r="IZQ25" s="64"/>
      <c r="IZR25" s="64"/>
      <c r="IZS25" s="64"/>
      <c r="IZT25" s="64"/>
      <c r="IZU25" s="64"/>
      <c r="IZV25" s="64"/>
      <c r="IZW25" s="64"/>
      <c r="IZX25" s="64"/>
      <c r="IZY25" s="64"/>
      <c r="IZZ25" s="64"/>
      <c r="JAA25" s="64"/>
      <c r="JAB25" s="64"/>
      <c r="JAC25" s="64"/>
      <c r="JAD25" s="64"/>
      <c r="JAE25" s="64"/>
      <c r="JAF25" s="64"/>
      <c r="JAG25" s="64"/>
      <c r="JAH25" s="64"/>
      <c r="JAI25" s="64"/>
      <c r="JAJ25" s="64"/>
      <c r="JAK25" s="64"/>
      <c r="JAL25" s="64"/>
      <c r="JAM25" s="64"/>
      <c r="JAN25" s="64"/>
      <c r="JAO25" s="64"/>
      <c r="JAP25" s="64"/>
      <c r="JAQ25" s="64"/>
      <c r="JAR25" s="64"/>
      <c r="JAS25" s="64"/>
      <c r="JAT25" s="64"/>
      <c r="JAU25" s="64"/>
      <c r="JAV25" s="64"/>
      <c r="JAW25" s="64"/>
      <c r="JAX25" s="64"/>
      <c r="JAY25" s="64"/>
      <c r="JAZ25" s="64"/>
      <c r="JBA25" s="64"/>
      <c r="JBB25" s="64"/>
      <c r="JBC25" s="64"/>
      <c r="JBD25" s="64"/>
      <c r="JBE25" s="64"/>
      <c r="JBF25" s="64"/>
      <c r="JBG25" s="64"/>
      <c r="JBH25" s="64"/>
      <c r="JBI25" s="64"/>
      <c r="JBJ25" s="64"/>
      <c r="JBK25" s="64"/>
      <c r="JBL25" s="64"/>
      <c r="JBM25" s="64"/>
      <c r="JBN25" s="64"/>
      <c r="JBO25" s="64"/>
      <c r="JBP25" s="64"/>
      <c r="JBQ25" s="64"/>
      <c r="JBR25" s="64"/>
      <c r="JBS25" s="64"/>
      <c r="JBT25" s="64"/>
      <c r="JBU25" s="64"/>
      <c r="JBV25" s="64"/>
      <c r="JBW25" s="64"/>
      <c r="JBX25" s="64"/>
      <c r="JBY25" s="64"/>
      <c r="JBZ25" s="64"/>
      <c r="JCA25" s="64"/>
      <c r="JCB25" s="64"/>
      <c r="JCC25" s="64"/>
      <c r="JCD25" s="64"/>
      <c r="JCE25" s="64"/>
      <c r="JCF25" s="64"/>
      <c r="JCG25" s="64"/>
      <c r="JCH25" s="64"/>
      <c r="JCI25" s="64"/>
      <c r="JCJ25" s="64"/>
      <c r="JCK25" s="64"/>
      <c r="JCL25" s="64"/>
      <c r="JCM25" s="64"/>
      <c r="JCN25" s="64"/>
      <c r="JCO25" s="64"/>
      <c r="JCP25" s="64"/>
      <c r="JCQ25" s="64"/>
      <c r="JCR25" s="64"/>
      <c r="JCS25" s="64"/>
      <c r="JCT25" s="64"/>
      <c r="JCU25" s="64"/>
      <c r="JCV25" s="64"/>
      <c r="JCW25" s="64"/>
      <c r="JCX25" s="64"/>
      <c r="JCY25" s="64"/>
      <c r="JCZ25" s="64"/>
      <c r="JDA25" s="64"/>
      <c r="JDB25" s="64"/>
      <c r="JDC25" s="64"/>
      <c r="JDD25" s="64"/>
      <c r="JDE25" s="64"/>
      <c r="JDF25" s="64"/>
      <c r="JDG25" s="64"/>
      <c r="JDH25" s="64"/>
      <c r="JDI25" s="64"/>
      <c r="JDJ25" s="64"/>
      <c r="JDK25" s="64"/>
      <c r="JDL25" s="64"/>
      <c r="JDM25" s="64"/>
      <c r="JDN25" s="64"/>
      <c r="JDO25" s="64"/>
      <c r="JDP25" s="64"/>
      <c r="JDQ25" s="64"/>
      <c r="JDR25" s="64"/>
      <c r="JDS25" s="64"/>
      <c r="JDT25" s="64"/>
      <c r="JDU25" s="64"/>
      <c r="JDV25" s="64"/>
      <c r="JDW25" s="64"/>
      <c r="JDX25" s="64"/>
      <c r="JDY25" s="64"/>
      <c r="JDZ25" s="64"/>
      <c r="JEA25" s="64"/>
      <c r="JEB25" s="64"/>
      <c r="JEC25" s="64"/>
      <c r="JED25" s="64"/>
      <c r="JEE25" s="64"/>
      <c r="JEF25" s="64"/>
      <c r="JEG25" s="64"/>
      <c r="JEH25" s="64"/>
      <c r="JEI25" s="64"/>
      <c r="JEJ25" s="64"/>
      <c r="JEK25" s="64"/>
      <c r="JEL25" s="64"/>
      <c r="JEM25" s="64"/>
      <c r="JEN25" s="64"/>
      <c r="JEO25" s="64"/>
      <c r="JEP25" s="64"/>
      <c r="JEQ25" s="64"/>
      <c r="JER25" s="64"/>
      <c r="JES25" s="64"/>
      <c r="JET25" s="64"/>
      <c r="JEU25" s="64"/>
      <c r="JEV25" s="64"/>
      <c r="JEW25" s="64"/>
      <c r="JEX25" s="64"/>
      <c r="JEY25" s="64"/>
      <c r="JEZ25" s="64"/>
      <c r="JFA25" s="64"/>
      <c r="JFB25" s="64"/>
      <c r="JFC25" s="64"/>
      <c r="JFD25" s="64"/>
      <c r="JFE25" s="64"/>
      <c r="JFF25" s="64"/>
      <c r="JFG25" s="64"/>
      <c r="JFH25" s="64"/>
      <c r="JFI25" s="64"/>
      <c r="JFJ25" s="64"/>
      <c r="JFK25" s="64"/>
      <c r="JFL25" s="64"/>
      <c r="JFM25" s="64"/>
      <c r="JFN25" s="64"/>
      <c r="JFO25" s="64"/>
      <c r="JFP25" s="64"/>
      <c r="JFQ25" s="64"/>
      <c r="JFR25" s="64"/>
      <c r="JFS25" s="64"/>
      <c r="JFT25" s="64"/>
      <c r="JFU25" s="64"/>
      <c r="JFV25" s="64"/>
      <c r="JFW25" s="64"/>
      <c r="JFX25" s="64"/>
      <c r="JFY25" s="64"/>
      <c r="JFZ25" s="64"/>
      <c r="JGA25" s="64"/>
      <c r="JGB25" s="64"/>
      <c r="JGC25" s="64"/>
      <c r="JGD25" s="64"/>
      <c r="JGE25" s="64"/>
      <c r="JGF25" s="64"/>
      <c r="JGG25" s="64"/>
      <c r="JGH25" s="64"/>
      <c r="JGI25" s="64"/>
      <c r="JGJ25" s="64"/>
      <c r="JGK25" s="64"/>
      <c r="JGL25" s="64"/>
      <c r="JGM25" s="64"/>
      <c r="JGN25" s="64"/>
      <c r="JGO25" s="64"/>
      <c r="JGP25" s="64"/>
      <c r="JGQ25" s="64"/>
      <c r="JGR25" s="64"/>
      <c r="JGS25" s="64"/>
      <c r="JGT25" s="64"/>
      <c r="JGU25" s="64"/>
      <c r="JGV25" s="64"/>
      <c r="JGW25" s="64"/>
      <c r="JGX25" s="64"/>
      <c r="JGY25" s="64"/>
      <c r="JGZ25" s="64"/>
      <c r="JHA25" s="64"/>
      <c r="JHB25" s="64"/>
      <c r="JHC25" s="64"/>
      <c r="JHD25" s="64"/>
      <c r="JHE25" s="64"/>
      <c r="JHF25" s="64"/>
      <c r="JHG25" s="64"/>
      <c r="JHH25" s="64"/>
      <c r="JHI25" s="64"/>
      <c r="JHJ25" s="64"/>
      <c r="JHK25" s="64"/>
      <c r="JHL25" s="64"/>
      <c r="JHM25" s="64"/>
      <c r="JHN25" s="64"/>
      <c r="JHO25" s="64"/>
      <c r="JHP25" s="64"/>
      <c r="JHQ25" s="64"/>
      <c r="JHR25" s="64"/>
      <c r="JHS25" s="64"/>
      <c r="JHT25" s="64"/>
      <c r="JHU25" s="64"/>
      <c r="JHV25" s="64"/>
      <c r="JHW25" s="64"/>
      <c r="JHX25" s="64"/>
      <c r="JHY25" s="64"/>
      <c r="JHZ25" s="64"/>
      <c r="JIA25" s="64"/>
      <c r="JIB25" s="64"/>
      <c r="JIC25" s="64"/>
      <c r="JID25" s="64"/>
      <c r="JIE25" s="64"/>
      <c r="JIF25" s="64"/>
      <c r="JIG25" s="64"/>
      <c r="JIH25" s="64"/>
      <c r="JII25" s="64"/>
      <c r="JIJ25" s="64"/>
      <c r="JIK25" s="64"/>
      <c r="JIL25" s="64"/>
      <c r="JIM25" s="64"/>
      <c r="JIN25" s="64"/>
      <c r="JIO25" s="64"/>
      <c r="JIP25" s="64"/>
      <c r="JIQ25" s="64"/>
      <c r="JIR25" s="64"/>
      <c r="JIS25" s="64"/>
      <c r="JIT25" s="64"/>
      <c r="JIU25" s="64"/>
      <c r="JIV25" s="64"/>
      <c r="JIW25" s="64"/>
      <c r="JIX25" s="64"/>
      <c r="JIY25" s="64"/>
      <c r="JIZ25" s="64"/>
      <c r="JJA25" s="64"/>
      <c r="JJB25" s="64"/>
      <c r="JJC25" s="64"/>
      <c r="JJD25" s="64"/>
      <c r="JJE25" s="64"/>
      <c r="JJF25" s="64"/>
      <c r="JJG25" s="64"/>
      <c r="JJH25" s="64"/>
      <c r="JJI25" s="64"/>
      <c r="JJJ25" s="64"/>
      <c r="JJK25" s="64"/>
      <c r="JJL25" s="64"/>
      <c r="JJM25" s="64"/>
      <c r="JJN25" s="64"/>
      <c r="JJO25" s="64"/>
      <c r="JJP25" s="64"/>
      <c r="JJQ25" s="64"/>
      <c r="JJR25" s="64"/>
      <c r="JJS25" s="64"/>
      <c r="JJT25" s="64"/>
      <c r="JJU25" s="64"/>
      <c r="JJV25" s="64"/>
      <c r="JJW25" s="64"/>
      <c r="JJX25" s="64"/>
      <c r="JJY25" s="64"/>
      <c r="JJZ25" s="64"/>
      <c r="JKA25" s="64"/>
      <c r="JKB25" s="64"/>
      <c r="JKC25" s="64"/>
      <c r="JKD25" s="64"/>
      <c r="JKE25" s="64"/>
      <c r="JKF25" s="64"/>
      <c r="JKG25" s="64"/>
      <c r="JKH25" s="64"/>
      <c r="JKI25" s="64"/>
      <c r="JKJ25" s="64"/>
      <c r="JKK25" s="64"/>
      <c r="JKL25" s="64"/>
      <c r="JKM25" s="64"/>
      <c r="JKN25" s="64"/>
      <c r="JKO25" s="64"/>
      <c r="JKP25" s="64"/>
      <c r="JKQ25" s="64"/>
      <c r="JKR25" s="64"/>
      <c r="JKS25" s="64"/>
      <c r="JKT25" s="64"/>
      <c r="JKU25" s="64"/>
      <c r="JKV25" s="64"/>
      <c r="JKW25" s="64"/>
      <c r="JKX25" s="64"/>
      <c r="JKY25" s="64"/>
      <c r="JKZ25" s="64"/>
      <c r="JLA25" s="64"/>
      <c r="JLB25" s="64"/>
      <c r="JLC25" s="64"/>
      <c r="JLD25" s="64"/>
      <c r="JLE25" s="64"/>
      <c r="JLF25" s="64"/>
      <c r="JLG25" s="64"/>
      <c r="JLH25" s="64"/>
      <c r="JLI25" s="64"/>
      <c r="JLJ25" s="64"/>
      <c r="JLK25" s="64"/>
      <c r="JLL25" s="64"/>
      <c r="JLM25" s="64"/>
      <c r="JLN25" s="64"/>
      <c r="JLO25" s="64"/>
      <c r="JLP25" s="64"/>
      <c r="JLQ25" s="64"/>
      <c r="JLR25" s="64"/>
      <c r="JLS25" s="64"/>
      <c r="JLT25" s="64"/>
      <c r="JLU25" s="64"/>
      <c r="JLV25" s="64"/>
      <c r="JLW25" s="64"/>
      <c r="JLX25" s="64"/>
      <c r="JLY25" s="64"/>
      <c r="JLZ25" s="64"/>
      <c r="JMA25" s="64"/>
      <c r="JMB25" s="64"/>
      <c r="JMC25" s="64"/>
      <c r="JMD25" s="64"/>
      <c r="JME25" s="64"/>
      <c r="JMF25" s="64"/>
      <c r="JMG25" s="64"/>
      <c r="JMH25" s="64"/>
      <c r="JMI25" s="64"/>
      <c r="JMJ25" s="64"/>
      <c r="JMK25" s="64"/>
      <c r="JML25" s="64"/>
      <c r="JMM25" s="64"/>
      <c r="JMN25" s="64"/>
      <c r="JMO25" s="64"/>
      <c r="JMP25" s="64"/>
      <c r="JMQ25" s="64"/>
      <c r="JMR25" s="64"/>
      <c r="JMS25" s="64"/>
      <c r="JMT25" s="64"/>
      <c r="JMU25" s="64"/>
      <c r="JMV25" s="64"/>
      <c r="JMW25" s="64"/>
      <c r="JMX25" s="64"/>
      <c r="JMY25" s="64"/>
      <c r="JMZ25" s="64"/>
      <c r="JNA25" s="64"/>
      <c r="JNB25" s="64"/>
      <c r="JNC25" s="64"/>
      <c r="JND25" s="64"/>
      <c r="JNE25" s="64"/>
      <c r="JNF25" s="64"/>
      <c r="JNG25" s="64"/>
      <c r="JNH25" s="64"/>
      <c r="JNI25" s="64"/>
      <c r="JNJ25" s="64"/>
      <c r="JNK25" s="64"/>
      <c r="JNL25" s="64"/>
      <c r="JNM25" s="64"/>
      <c r="JNN25" s="64"/>
      <c r="JNO25" s="64"/>
      <c r="JNP25" s="64"/>
      <c r="JNQ25" s="64"/>
      <c r="JNR25" s="64"/>
      <c r="JNS25" s="64"/>
      <c r="JNT25" s="64"/>
      <c r="JNU25" s="64"/>
      <c r="JNV25" s="64"/>
      <c r="JNW25" s="64"/>
      <c r="JNX25" s="64"/>
      <c r="JNY25" s="64"/>
      <c r="JNZ25" s="64"/>
      <c r="JOA25" s="64"/>
      <c r="JOB25" s="64"/>
      <c r="JOC25" s="64"/>
      <c r="JOD25" s="64"/>
      <c r="JOE25" s="64"/>
      <c r="JOF25" s="64"/>
      <c r="JOG25" s="64"/>
      <c r="JOH25" s="64"/>
      <c r="JOI25" s="64"/>
      <c r="JOJ25" s="64"/>
      <c r="JOK25" s="64"/>
      <c r="JOL25" s="64"/>
      <c r="JOM25" s="64"/>
      <c r="JON25" s="64"/>
      <c r="JOO25" s="64"/>
      <c r="JOP25" s="64"/>
      <c r="JOQ25" s="64"/>
      <c r="JOR25" s="64"/>
      <c r="JOS25" s="64"/>
      <c r="JOT25" s="64"/>
      <c r="JOU25" s="64"/>
      <c r="JOV25" s="64"/>
      <c r="JOW25" s="64"/>
      <c r="JOX25" s="64"/>
      <c r="JOY25" s="64"/>
      <c r="JOZ25" s="64"/>
      <c r="JPA25" s="64"/>
      <c r="JPB25" s="64"/>
      <c r="JPC25" s="64"/>
      <c r="JPD25" s="64"/>
      <c r="JPE25" s="64"/>
      <c r="JPF25" s="64"/>
      <c r="JPG25" s="64"/>
      <c r="JPH25" s="64"/>
      <c r="JPI25" s="64"/>
      <c r="JPJ25" s="64"/>
      <c r="JPK25" s="64"/>
      <c r="JPL25" s="64"/>
      <c r="JPM25" s="64"/>
      <c r="JPN25" s="64"/>
      <c r="JPO25" s="64"/>
      <c r="JPP25" s="64"/>
      <c r="JPQ25" s="64"/>
      <c r="JPR25" s="64"/>
      <c r="JPS25" s="64"/>
      <c r="JPT25" s="64"/>
      <c r="JPU25" s="64"/>
      <c r="JPV25" s="64"/>
      <c r="JPW25" s="64"/>
      <c r="JPX25" s="64"/>
      <c r="JPY25" s="64"/>
      <c r="JPZ25" s="64"/>
      <c r="JQA25" s="64"/>
      <c r="JQB25" s="64"/>
      <c r="JQC25" s="64"/>
      <c r="JQD25" s="64"/>
      <c r="JQE25" s="64"/>
      <c r="JQF25" s="64"/>
      <c r="JQG25" s="64"/>
      <c r="JQH25" s="64"/>
      <c r="JQI25" s="64"/>
      <c r="JQJ25" s="64"/>
      <c r="JQK25" s="64"/>
      <c r="JQL25" s="64"/>
      <c r="JQM25" s="64"/>
      <c r="JQN25" s="64"/>
      <c r="JQO25" s="64"/>
      <c r="JQP25" s="64"/>
      <c r="JQQ25" s="64"/>
      <c r="JQR25" s="64"/>
      <c r="JQS25" s="64"/>
      <c r="JQT25" s="64"/>
      <c r="JQU25" s="64"/>
      <c r="JQV25" s="64"/>
      <c r="JQW25" s="64"/>
      <c r="JQX25" s="64"/>
      <c r="JQY25" s="64"/>
      <c r="JQZ25" s="64"/>
      <c r="JRA25" s="64"/>
      <c r="JRB25" s="64"/>
      <c r="JRC25" s="64"/>
      <c r="JRD25" s="64"/>
      <c r="JRE25" s="64"/>
      <c r="JRF25" s="64"/>
      <c r="JRG25" s="64"/>
      <c r="JRH25" s="64"/>
      <c r="JRI25" s="64"/>
      <c r="JRJ25" s="64"/>
      <c r="JRK25" s="64"/>
      <c r="JRL25" s="64"/>
      <c r="JRM25" s="64"/>
      <c r="JRN25" s="64"/>
      <c r="JRO25" s="64"/>
      <c r="JRP25" s="64"/>
      <c r="JRQ25" s="64"/>
      <c r="JRR25" s="64"/>
      <c r="JRS25" s="64"/>
      <c r="JRT25" s="64"/>
      <c r="JRU25" s="64"/>
      <c r="JRV25" s="64"/>
      <c r="JRW25" s="64"/>
      <c r="JRX25" s="64"/>
      <c r="JRY25" s="64"/>
      <c r="JRZ25" s="64"/>
      <c r="JSA25" s="64"/>
      <c r="JSB25" s="64"/>
      <c r="JSC25" s="64"/>
      <c r="JSD25" s="64"/>
      <c r="JSE25" s="64"/>
      <c r="JSF25" s="64"/>
      <c r="JSG25" s="64"/>
      <c r="JSH25" s="64"/>
      <c r="JSI25" s="64"/>
      <c r="JSJ25" s="64"/>
      <c r="JSK25" s="64"/>
      <c r="JSL25" s="64"/>
      <c r="JSM25" s="64"/>
      <c r="JSN25" s="64"/>
      <c r="JSO25" s="64"/>
      <c r="JSP25" s="64"/>
      <c r="JSQ25" s="64"/>
      <c r="JSR25" s="64"/>
      <c r="JSS25" s="64"/>
      <c r="JST25" s="64"/>
      <c r="JSU25" s="64"/>
      <c r="JSV25" s="64"/>
      <c r="JSW25" s="64"/>
      <c r="JSX25" s="64"/>
      <c r="JSY25" s="64"/>
      <c r="JSZ25" s="64"/>
      <c r="JTA25" s="64"/>
      <c r="JTB25" s="64"/>
      <c r="JTC25" s="64"/>
      <c r="JTD25" s="64"/>
      <c r="JTE25" s="64"/>
      <c r="JTF25" s="64"/>
      <c r="JTG25" s="64"/>
      <c r="JTH25" s="64"/>
      <c r="JTI25" s="64"/>
      <c r="JTJ25" s="64"/>
      <c r="JTK25" s="64"/>
      <c r="JTL25" s="64"/>
      <c r="JTM25" s="64"/>
      <c r="JTN25" s="64"/>
      <c r="JTO25" s="64"/>
      <c r="JTP25" s="64"/>
      <c r="JTQ25" s="64"/>
      <c r="JTR25" s="64"/>
      <c r="JTS25" s="64"/>
      <c r="JTT25" s="64"/>
      <c r="JTU25" s="64"/>
      <c r="JTV25" s="64"/>
      <c r="JTW25" s="64"/>
      <c r="JTX25" s="64"/>
      <c r="JTY25" s="64"/>
      <c r="JTZ25" s="64"/>
      <c r="JUA25" s="64"/>
      <c r="JUB25" s="64"/>
      <c r="JUC25" s="64"/>
      <c r="JUD25" s="64"/>
      <c r="JUE25" s="64"/>
      <c r="JUF25" s="64"/>
      <c r="JUG25" s="64"/>
      <c r="JUH25" s="64"/>
      <c r="JUI25" s="64"/>
      <c r="JUJ25" s="64"/>
      <c r="JUK25" s="64"/>
      <c r="JUL25" s="64"/>
      <c r="JUM25" s="64"/>
      <c r="JUN25" s="64"/>
      <c r="JUO25" s="64"/>
      <c r="JUP25" s="64"/>
      <c r="JUQ25" s="64"/>
      <c r="JUR25" s="64"/>
      <c r="JUS25" s="64"/>
      <c r="JUT25" s="64"/>
      <c r="JUU25" s="64"/>
      <c r="JUV25" s="64"/>
      <c r="JUW25" s="64"/>
      <c r="JUX25" s="64"/>
      <c r="JUY25" s="64"/>
      <c r="JUZ25" s="64"/>
      <c r="JVA25" s="64"/>
      <c r="JVB25" s="64"/>
      <c r="JVC25" s="64"/>
      <c r="JVD25" s="64"/>
      <c r="JVE25" s="64"/>
      <c r="JVF25" s="64"/>
      <c r="JVG25" s="64"/>
      <c r="JVH25" s="64"/>
      <c r="JVI25" s="64"/>
      <c r="JVJ25" s="64"/>
      <c r="JVK25" s="64"/>
      <c r="JVL25" s="64"/>
      <c r="JVM25" s="64"/>
      <c r="JVN25" s="64"/>
      <c r="JVO25" s="64"/>
      <c r="JVP25" s="64"/>
      <c r="JVQ25" s="64"/>
      <c r="JVR25" s="64"/>
      <c r="JVS25" s="64"/>
      <c r="JVT25" s="64"/>
      <c r="JVU25" s="64"/>
      <c r="JVV25" s="64"/>
      <c r="JVW25" s="64"/>
      <c r="JVX25" s="64"/>
      <c r="JVY25" s="64"/>
      <c r="JVZ25" s="64"/>
      <c r="JWA25" s="64"/>
      <c r="JWB25" s="64"/>
      <c r="JWC25" s="64"/>
      <c r="JWD25" s="64"/>
      <c r="JWE25" s="64"/>
      <c r="JWF25" s="64"/>
      <c r="JWG25" s="64"/>
      <c r="JWH25" s="64"/>
      <c r="JWI25" s="64"/>
      <c r="JWJ25" s="64"/>
      <c r="JWK25" s="64"/>
      <c r="JWL25" s="64"/>
      <c r="JWM25" s="64"/>
      <c r="JWN25" s="64"/>
      <c r="JWO25" s="64"/>
      <c r="JWP25" s="64"/>
      <c r="JWQ25" s="64"/>
      <c r="JWR25" s="64"/>
      <c r="JWS25" s="64"/>
      <c r="JWT25" s="64"/>
      <c r="JWU25" s="64"/>
      <c r="JWV25" s="64"/>
      <c r="JWW25" s="64"/>
      <c r="JWX25" s="64"/>
      <c r="JWY25" s="64"/>
      <c r="JWZ25" s="64"/>
      <c r="JXA25" s="64"/>
      <c r="JXB25" s="64"/>
      <c r="JXC25" s="64"/>
      <c r="JXD25" s="64"/>
      <c r="JXE25" s="64"/>
      <c r="JXF25" s="64"/>
      <c r="JXG25" s="64"/>
      <c r="JXH25" s="64"/>
      <c r="JXI25" s="64"/>
      <c r="JXJ25" s="64"/>
      <c r="JXK25" s="64"/>
      <c r="JXL25" s="64"/>
      <c r="JXM25" s="64"/>
      <c r="JXN25" s="64"/>
      <c r="JXO25" s="64"/>
      <c r="JXP25" s="64"/>
      <c r="JXQ25" s="64"/>
      <c r="JXR25" s="64"/>
      <c r="JXS25" s="64"/>
      <c r="JXT25" s="64"/>
      <c r="JXU25" s="64"/>
      <c r="JXV25" s="64"/>
      <c r="JXW25" s="64"/>
      <c r="JXX25" s="64"/>
      <c r="JXY25" s="64"/>
      <c r="JXZ25" s="64"/>
      <c r="JYA25" s="64"/>
      <c r="JYB25" s="64"/>
      <c r="JYC25" s="64"/>
      <c r="JYD25" s="64"/>
      <c r="JYE25" s="64"/>
      <c r="JYF25" s="64"/>
      <c r="JYG25" s="64"/>
      <c r="JYH25" s="64"/>
      <c r="JYI25" s="64"/>
      <c r="JYJ25" s="64"/>
      <c r="JYK25" s="64"/>
      <c r="JYL25" s="64"/>
      <c r="JYM25" s="64"/>
      <c r="JYN25" s="64"/>
      <c r="JYO25" s="64"/>
      <c r="JYP25" s="64"/>
      <c r="JYQ25" s="64"/>
      <c r="JYR25" s="64"/>
      <c r="JYS25" s="64"/>
      <c r="JYT25" s="64"/>
      <c r="JYU25" s="64"/>
      <c r="JYV25" s="64"/>
      <c r="JYW25" s="64"/>
      <c r="JYX25" s="64"/>
      <c r="JYY25" s="64"/>
      <c r="JYZ25" s="64"/>
      <c r="JZA25" s="64"/>
      <c r="JZB25" s="64"/>
      <c r="JZC25" s="64"/>
      <c r="JZD25" s="64"/>
      <c r="JZE25" s="64"/>
      <c r="JZF25" s="64"/>
      <c r="JZG25" s="64"/>
      <c r="JZH25" s="64"/>
      <c r="JZI25" s="64"/>
      <c r="JZJ25" s="64"/>
      <c r="JZK25" s="64"/>
      <c r="JZL25" s="64"/>
      <c r="JZM25" s="64"/>
      <c r="JZN25" s="64"/>
      <c r="JZO25" s="64"/>
      <c r="JZP25" s="64"/>
      <c r="JZQ25" s="64"/>
      <c r="JZR25" s="64"/>
      <c r="JZS25" s="64"/>
      <c r="JZT25" s="64"/>
      <c r="JZU25" s="64"/>
      <c r="JZV25" s="64"/>
      <c r="JZW25" s="64"/>
      <c r="JZX25" s="64"/>
      <c r="JZY25" s="64"/>
      <c r="JZZ25" s="64"/>
      <c r="KAA25" s="64"/>
      <c r="KAB25" s="64"/>
      <c r="KAC25" s="64"/>
      <c r="KAD25" s="64"/>
      <c r="KAE25" s="64"/>
      <c r="KAF25" s="64"/>
      <c r="KAG25" s="64"/>
      <c r="KAH25" s="64"/>
      <c r="KAI25" s="64"/>
      <c r="KAJ25" s="64"/>
      <c r="KAK25" s="64"/>
      <c r="KAL25" s="64"/>
      <c r="KAM25" s="64"/>
      <c r="KAN25" s="64"/>
      <c r="KAO25" s="64"/>
      <c r="KAP25" s="64"/>
      <c r="KAQ25" s="64"/>
      <c r="KAR25" s="64"/>
      <c r="KAS25" s="64"/>
      <c r="KAT25" s="64"/>
      <c r="KAU25" s="64"/>
      <c r="KAV25" s="64"/>
      <c r="KAW25" s="64"/>
      <c r="KAX25" s="64"/>
      <c r="KAY25" s="64"/>
      <c r="KAZ25" s="64"/>
      <c r="KBA25" s="64"/>
      <c r="KBB25" s="64"/>
      <c r="KBC25" s="64"/>
      <c r="KBD25" s="64"/>
      <c r="KBE25" s="64"/>
      <c r="KBF25" s="64"/>
      <c r="KBG25" s="64"/>
      <c r="KBH25" s="64"/>
      <c r="KBI25" s="64"/>
      <c r="KBJ25" s="64"/>
      <c r="KBK25" s="64"/>
      <c r="KBL25" s="64"/>
      <c r="KBM25" s="64"/>
      <c r="KBN25" s="64"/>
      <c r="KBO25" s="64"/>
      <c r="KBP25" s="64"/>
      <c r="KBQ25" s="64"/>
      <c r="KBR25" s="64"/>
      <c r="KBS25" s="64"/>
      <c r="KBT25" s="64"/>
      <c r="KBU25" s="64"/>
      <c r="KBV25" s="64"/>
      <c r="KBW25" s="64"/>
      <c r="KBX25" s="64"/>
      <c r="KBY25" s="64"/>
      <c r="KBZ25" s="64"/>
      <c r="KCA25" s="64"/>
      <c r="KCB25" s="64"/>
      <c r="KCC25" s="64"/>
      <c r="KCD25" s="64"/>
      <c r="KCE25" s="64"/>
      <c r="KCF25" s="64"/>
      <c r="KCG25" s="64"/>
      <c r="KCH25" s="64"/>
      <c r="KCI25" s="64"/>
      <c r="KCJ25" s="64"/>
      <c r="KCK25" s="64"/>
      <c r="KCL25" s="64"/>
      <c r="KCM25" s="64"/>
      <c r="KCN25" s="64"/>
      <c r="KCO25" s="64"/>
      <c r="KCP25" s="64"/>
      <c r="KCQ25" s="64"/>
      <c r="KCR25" s="64"/>
      <c r="KCS25" s="64"/>
      <c r="KCT25" s="64"/>
      <c r="KCU25" s="64"/>
      <c r="KCV25" s="64"/>
      <c r="KCW25" s="64"/>
      <c r="KCX25" s="64"/>
      <c r="KCY25" s="64"/>
      <c r="KCZ25" s="64"/>
      <c r="KDA25" s="64"/>
      <c r="KDB25" s="64"/>
      <c r="KDC25" s="64"/>
      <c r="KDD25" s="64"/>
      <c r="KDE25" s="64"/>
      <c r="KDF25" s="64"/>
      <c r="KDG25" s="64"/>
      <c r="KDH25" s="64"/>
      <c r="KDI25" s="64"/>
      <c r="KDJ25" s="64"/>
      <c r="KDK25" s="64"/>
      <c r="KDL25" s="64"/>
      <c r="KDM25" s="64"/>
      <c r="KDN25" s="64"/>
      <c r="KDO25" s="64"/>
      <c r="KDP25" s="64"/>
      <c r="KDQ25" s="64"/>
      <c r="KDR25" s="64"/>
      <c r="KDS25" s="64"/>
      <c r="KDT25" s="64"/>
      <c r="KDU25" s="64"/>
      <c r="KDV25" s="64"/>
      <c r="KDW25" s="64"/>
      <c r="KDX25" s="64"/>
      <c r="KDY25" s="64"/>
      <c r="KDZ25" s="64"/>
      <c r="KEA25" s="64"/>
      <c r="KEB25" s="64"/>
      <c r="KEC25" s="64"/>
      <c r="KED25" s="64"/>
      <c r="KEE25" s="64"/>
      <c r="KEF25" s="64"/>
      <c r="KEG25" s="64"/>
      <c r="KEH25" s="64"/>
      <c r="KEI25" s="64"/>
      <c r="KEJ25" s="64"/>
      <c r="KEK25" s="64"/>
      <c r="KEL25" s="64"/>
      <c r="KEM25" s="64"/>
      <c r="KEN25" s="64"/>
      <c r="KEO25" s="64"/>
      <c r="KEP25" s="64"/>
      <c r="KEQ25" s="64"/>
      <c r="KER25" s="64"/>
      <c r="KES25" s="64"/>
      <c r="KET25" s="64"/>
      <c r="KEU25" s="64"/>
      <c r="KEV25" s="64"/>
      <c r="KEW25" s="64"/>
      <c r="KEX25" s="64"/>
      <c r="KEY25" s="64"/>
      <c r="KEZ25" s="64"/>
      <c r="KFA25" s="64"/>
      <c r="KFB25" s="64"/>
      <c r="KFC25" s="64"/>
      <c r="KFD25" s="64"/>
      <c r="KFE25" s="64"/>
      <c r="KFF25" s="64"/>
      <c r="KFG25" s="64"/>
      <c r="KFH25" s="64"/>
      <c r="KFI25" s="64"/>
      <c r="KFJ25" s="64"/>
      <c r="KFK25" s="64"/>
      <c r="KFL25" s="64"/>
      <c r="KFM25" s="64"/>
      <c r="KFN25" s="64"/>
      <c r="KFO25" s="64"/>
      <c r="KFP25" s="64"/>
      <c r="KFQ25" s="64"/>
      <c r="KFR25" s="64"/>
      <c r="KFS25" s="64"/>
      <c r="KFT25" s="64"/>
      <c r="KFU25" s="64"/>
      <c r="KFV25" s="64"/>
      <c r="KFW25" s="64"/>
      <c r="KFX25" s="64"/>
      <c r="KFY25" s="64"/>
      <c r="KFZ25" s="64"/>
      <c r="KGA25" s="64"/>
      <c r="KGB25" s="64"/>
      <c r="KGC25" s="64"/>
      <c r="KGD25" s="64"/>
      <c r="KGE25" s="64"/>
      <c r="KGF25" s="64"/>
      <c r="KGG25" s="64"/>
      <c r="KGH25" s="64"/>
      <c r="KGI25" s="64"/>
      <c r="KGJ25" s="64"/>
      <c r="KGK25" s="64"/>
      <c r="KGL25" s="64"/>
      <c r="KGM25" s="64"/>
      <c r="KGN25" s="64"/>
      <c r="KGO25" s="64"/>
      <c r="KGP25" s="64"/>
      <c r="KGQ25" s="64"/>
      <c r="KGR25" s="64"/>
      <c r="KGS25" s="64"/>
      <c r="KGT25" s="64"/>
      <c r="KGU25" s="64"/>
      <c r="KGV25" s="64"/>
      <c r="KGW25" s="64"/>
      <c r="KGX25" s="64"/>
      <c r="KGY25" s="64"/>
      <c r="KGZ25" s="64"/>
      <c r="KHA25" s="64"/>
      <c r="KHB25" s="64"/>
      <c r="KHC25" s="64"/>
      <c r="KHD25" s="64"/>
      <c r="KHE25" s="64"/>
      <c r="KHF25" s="64"/>
      <c r="KHG25" s="64"/>
      <c r="KHH25" s="64"/>
      <c r="KHI25" s="64"/>
      <c r="KHJ25" s="64"/>
      <c r="KHK25" s="64"/>
      <c r="KHL25" s="64"/>
      <c r="KHM25" s="64"/>
      <c r="KHN25" s="64"/>
      <c r="KHO25" s="64"/>
      <c r="KHP25" s="64"/>
      <c r="KHQ25" s="64"/>
      <c r="KHR25" s="64"/>
      <c r="KHS25" s="64"/>
      <c r="KHT25" s="64"/>
      <c r="KHU25" s="64"/>
      <c r="KHV25" s="64"/>
      <c r="KHW25" s="64"/>
      <c r="KHX25" s="64"/>
      <c r="KHY25" s="64"/>
      <c r="KHZ25" s="64"/>
      <c r="KIA25" s="64"/>
      <c r="KIB25" s="64"/>
      <c r="KIC25" s="64"/>
      <c r="KID25" s="64"/>
      <c r="KIE25" s="64"/>
      <c r="KIF25" s="64"/>
      <c r="KIG25" s="64"/>
      <c r="KIH25" s="64"/>
      <c r="KII25" s="64"/>
      <c r="KIJ25" s="64"/>
      <c r="KIK25" s="64"/>
      <c r="KIL25" s="64"/>
      <c r="KIM25" s="64"/>
      <c r="KIN25" s="64"/>
      <c r="KIO25" s="64"/>
      <c r="KIP25" s="64"/>
      <c r="KIQ25" s="64"/>
      <c r="KIR25" s="64"/>
      <c r="KIS25" s="64"/>
      <c r="KIT25" s="64"/>
      <c r="KIU25" s="64"/>
      <c r="KIV25" s="64"/>
      <c r="KIW25" s="64"/>
      <c r="KIX25" s="64"/>
      <c r="KIY25" s="64"/>
      <c r="KIZ25" s="64"/>
      <c r="KJA25" s="64"/>
      <c r="KJB25" s="64"/>
      <c r="KJC25" s="64"/>
      <c r="KJD25" s="64"/>
      <c r="KJE25" s="64"/>
      <c r="KJF25" s="64"/>
      <c r="KJG25" s="64"/>
      <c r="KJH25" s="64"/>
      <c r="KJI25" s="64"/>
      <c r="KJJ25" s="64"/>
      <c r="KJK25" s="64"/>
      <c r="KJL25" s="64"/>
      <c r="KJM25" s="64"/>
      <c r="KJN25" s="64"/>
      <c r="KJO25" s="64"/>
      <c r="KJP25" s="64"/>
      <c r="KJQ25" s="64"/>
      <c r="KJR25" s="64"/>
      <c r="KJS25" s="64"/>
      <c r="KJT25" s="64"/>
      <c r="KJU25" s="64"/>
      <c r="KJV25" s="64"/>
      <c r="KJW25" s="64"/>
      <c r="KJX25" s="64"/>
      <c r="KJY25" s="64"/>
      <c r="KJZ25" s="64"/>
      <c r="KKA25" s="64"/>
      <c r="KKB25" s="64"/>
      <c r="KKC25" s="64"/>
      <c r="KKD25" s="64"/>
      <c r="KKE25" s="64"/>
      <c r="KKF25" s="64"/>
      <c r="KKG25" s="64"/>
      <c r="KKH25" s="64"/>
      <c r="KKI25" s="64"/>
      <c r="KKJ25" s="64"/>
      <c r="KKK25" s="64"/>
      <c r="KKL25" s="64"/>
      <c r="KKM25" s="64"/>
      <c r="KKN25" s="64"/>
      <c r="KKO25" s="64"/>
      <c r="KKP25" s="64"/>
      <c r="KKQ25" s="64"/>
      <c r="KKR25" s="64"/>
      <c r="KKS25" s="64"/>
      <c r="KKT25" s="64"/>
      <c r="KKU25" s="64"/>
      <c r="KKV25" s="64"/>
      <c r="KKW25" s="64"/>
      <c r="KKX25" s="64"/>
      <c r="KKY25" s="64"/>
      <c r="KKZ25" s="64"/>
      <c r="KLA25" s="64"/>
      <c r="KLB25" s="64"/>
      <c r="KLC25" s="64"/>
      <c r="KLD25" s="64"/>
      <c r="KLE25" s="64"/>
      <c r="KLF25" s="64"/>
      <c r="KLG25" s="64"/>
      <c r="KLH25" s="64"/>
      <c r="KLI25" s="64"/>
      <c r="KLJ25" s="64"/>
      <c r="KLK25" s="64"/>
      <c r="KLL25" s="64"/>
      <c r="KLM25" s="64"/>
      <c r="KLN25" s="64"/>
      <c r="KLO25" s="64"/>
      <c r="KLP25" s="64"/>
      <c r="KLQ25" s="64"/>
      <c r="KLR25" s="64"/>
      <c r="KLS25" s="64"/>
      <c r="KLT25" s="64"/>
      <c r="KLU25" s="64"/>
      <c r="KLV25" s="64"/>
      <c r="KLW25" s="64"/>
      <c r="KLX25" s="64"/>
      <c r="KLY25" s="64"/>
      <c r="KLZ25" s="64"/>
      <c r="KMA25" s="64"/>
      <c r="KMB25" s="64"/>
      <c r="KMC25" s="64"/>
      <c r="KMD25" s="64"/>
      <c r="KME25" s="64"/>
      <c r="KMF25" s="64"/>
      <c r="KMG25" s="64"/>
      <c r="KMH25" s="64"/>
      <c r="KMI25" s="64"/>
      <c r="KMJ25" s="64"/>
      <c r="KMK25" s="64"/>
      <c r="KML25" s="64"/>
      <c r="KMM25" s="64"/>
      <c r="KMN25" s="64"/>
      <c r="KMO25" s="64"/>
      <c r="KMP25" s="64"/>
      <c r="KMQ25" s="64"/>
      <c r="KMR25" s="64"/>
      <c r="KMS25" s="64"/>
      <c r="KMT25" s="64"/>
      <c r="KMU25" s="64"/>
      <c r="KMV25" s="64"/>
      <c r="KMW25" s="64"/>
      <c r="KMX25" s="64"/>
      <c r="KMY25" s="64"/>
      <c r="KMZ25" s="64"/>
      <c r="KNA25" s="64"/>
      <c r="KNB25" s="64"/>
      <c r="KNC25" s="64"/>
      <c r="KND25" s="64"/>
      <c r="KNE25" s="64"/>
      <c r="KNF25" s="64"/>
      <c r="KNG25" s="64"/>
      <c r="KNH25" s="64"/>
      <c r="KNI25" s="64"/>
      <c r="KNJ25" s="64"/>
      <c r="KNK25" s="64"/>
      <c r="KNL25" s="64"/>
      <c r="KNM25" s="64"/>
      <c r="KNN25" s="64"/>
      <c r="KNO25" s="64"/>
      <c r="KNP25" s="64"/>
      <c r="KNQ25" s="64"/>
      <c r="KNR25" s="64"/>
      <c r="KNS25" s="64"/>
      <c r="KNT25" s="64"/>
      <c r="KNU25" s="64"/>
      <c r="KNV25" s="64"/>
      <c r="KNW25" s="64"/>
      <c r="KNX25" s="64"/>
      <c r="KNY25" s="64"/>
      <c r="KNZ25" s="64"/>
      <c r="KOA25" s="64"/>
      <c r="KOB25" s="64"/>
      <c r="KOC25" s="64"/>
      <c r="KOD25" s="64"/>
      <c r="KOE25" s="64"/>
      <c r="KOF25" s="64"/>
      <c r="KOG25" s="64"/>
      <c r="KOH25" s="64"/>
      <c r="KOI25" s="64"/>
      <c r="KOJ25" s="64"/>
      <c r="KOK25" s="64"/>
      <c r="KOL25" s="64"/>
      <c r="KOM25" s="64"/>
      <c r="KON25" s="64"/>
      <c r="KOO25" s="64"/>
      <c r="KOP25" s="64"/>
      <c r="KOQ25" s="64"/>
      <c r="KOR25" s="64"/>
      <c r="KOS25" s="64"/>
      <c r="KOT25" s="64"/>
      <c r="KOU25" s="64"/>
      <c r="KOV25" s="64"/>
      <c r="KOW25" s="64"/>
      <c r="KOX25" s="64"/>
      <c r="KOY25" s="64"/>
      <c r="KOZ25" s="64"/>
      <c r="KPA25" s="64"/>
      <c r="KPB25" s="64"/>
      <c r="KPC25" s="64"/>
      <c r="KPD25" s="64"/>
      <c r="KPE25" s="64"/>
      <c r="KPF25" s="64"/>
      <c r="KPG25" s="64"/>
      <c r="KPH25" s="64"/>
      <c r="KPI25" s="64"/>
      <c r="KPJ25" s="64"/>
      <c r="KPK25" s="64"/>
      <c r="KPL25" s="64"/>
      <c r="KPM25" s="64"/>
      <c r="KPN25" s="64"/>
      <c r="KPO25" s="64"/>
      <c r="KPP25" s="64"/>
      <c r="KPQ25" s="64"/>
      <c r="KPR25" s="64"/>
      <c r="KPS25" s="64"/>
      <c r="KPT25" s="64"/>
      <c r="KPU25" s="64"/>
      <c r="KPV25" s="64"/>
      <c r="KPW25" s="64"/>
      <c r="KPX25" s="64"/>
      <c r="KPY25" s="64"/>
      <c r="KPZ25" s="64"/>
      <c r="KQA25" s="64"/>
      <c r="KQB25" s="64"/>
      <c r="KQC25" s="64"/>
      <c r="KQD25" s="64"/>
      <c r="KQE25" s="64"/>
      <c r="KQF25" s="64"/>
      <c r="KQG25" s="64"/>
      <c r="KQH25" s="64"/>
      <c r="KQI25" s="64"/>
      <c r="KQJ25" s="64"/>
      <c r="KQK25" s="64"/>
      <c r="KQL25" s="64"/>
      <c r="KQM25" s="64"/>
      <c r="KQN25" s="64"/>
      <c r="KQO25" s="64"/>
      <c r="KQP25" s="64"/>
      <c r="KQQ25" s="64"/>
      <c r="KQR25" s="64"/>
      <c r="KQS25" s="64"/>
      <c r="KQT25" s="64"/>
      <c r="KQU25" s="64"/>
      <c r="KQV25" s="64"/>
      <c r="KQW25" s="64"/>
      <c r="KQX25" s="64"/>
      <c r="KQY25" s="64"/>
      <c r="KQZ25" s="64"/>
      <c r="KRA25" s="64"/>
      <c r="KRB25" s="64"/>
      <c r="KRC25" s="64"/>
      <c r="KRD25" s="64"/>
      <c r="KRE25" s="64"/>
      <c r="KRF25" s="64"/>
      <c r="KRG25" s="64"/>
      <c r="KRH25" s="64"/>
      <c r="KRI25" s="64"/>
      <c r="KRJ25" s="64"/>
      <c r="KRK25" s="64"/>
      <c r="KRL25" s="64"/>
      <c r="KRM25" s="64"/>
      <c r="KRN25" s="64"/>
      <c r="KRO25" s="64"/>
      <c r="KRP25" s="64"/>
      <c r="KRQ25" s="64"/>
      <c r="KRR25" s="64"/>
      <c r="KRS25" s="64"/>
      <c r="KRT25" s="64"/>
      <c r="KRU25" s="64"/>
      <c r="KRV25" s="64"/>
      <c r="KRW25" s="64"/>
      <c r="KRX25" s="64"/>
      <c r="KRY25" s="64"/>
      <c r="KRZ25" s="64"/>
      <c r="KSA25" s="64"/>
      <c r="KSB25" s="64"/>
      <c r="KSC25" s="64"/>
      <c r="KSD25" s="64"/>
      <c r="KSE25" s="64"/>
      <c r="KSF25" s="64"/>
      <c r="KSG25" s="64"/>
      <c r="KSH25" s="64"/>
      <c r="KSI25" s="64"/>
      <c r="KSJ25" s="64"/>
      <c r="KSK25" s="64"/>
      <c r="KSL25" s="64"/>
      <c r="KSM25" s="64"/>
      <c r="KSN25" s="64"/>
      <c r="KSO25" s="64"/>
      <c r="KSP25" s="64"/>
      <c r="KSQ25" s="64"/>
      <c r="KSR25" s="64"/>
      <c r="KSS25" s="64"/>
      <c r="KST25" s="64"/>
      <c r="KSU25" s="64"/>
      <c r="KSV25" s="64"/>
      <c r="KSW25" s="64"/>
      <c r="KSX25" s="64"/>
      <c r="KSY25" s="64"/>
      <c r="KSZ25" s="64"/>
      <c r="KTA25" s="64"/>
      <c r="KTB25" s="64"/>
      <c r="KTC25" s="64"/>
      <c r="KTD25" s="64"/>
      <c r="KTE25" s="64"/>
      <c r="KTF25" s="64"/>
      <c r="KTG25" s="64"/>
      <c r="KTH25" s="64"/>
      <c r="KTI25" s="64"/>
      <c r="KTJ25" s="64"/>
      <c r="KTK25" s="64"/>
      <c r="KTL25" s="64"/>
      <c r="KTM25" s="64"/>
      <c r="KTN25" s="64"/>
      <c r="KTO25" s="64"/>
      <c r="KTP25" s="64"/>
      <c r="KTQ25" s="64"/>
      <c r="KTR25" s="64"/>
      <c r="KTS25" s="64"/>
      <c r="KTT25" s="64"/>
      <c r="KTU25" s="64"/>
      <c r="KTV25" s="64"/>
      <c r="KTW25" s="64"/>
      <c r="KTX25" s="64"/>
      <c r="KTY25" s="64"/>
      <c r="KTZ25" s="64"/>
      <c r="KUA25" s="64"/>
      <c r="KUB25" s="64"/>
      <c r="KUC25" s="64"/>
      <c r="KUD25" s="64"/>
      <c r="KUE25" s="64"/>
      <c r="KUF25" s="64"/>
      <c r="KUG25" s="64"/>
      <c r="KUH25" s="64"/>
      <c r="KUI25" s="64"/>
      <c r="KUJ25" s="64"/>
      <c r="KUK25" s="64"/>
      <c r="KUL25" s="64"/>
      <c r="KUM25" s="64"/>
      <c r="KUN25" s="64"/>
      <c r="KUO25" s="64"/>
      <c r="KUP25" s="64"/>
      <c r="KUQ25" s="64"/>
      <c r="KUR25" s="64"/>
      <c r="KUS25" s="64"/>
      <c r="KUT25" s="64"/>
      <c r="KUU25" s="64"/>
      <c r="KUV25" s="64"/>
      <c r="KUW25" s="64"/>
      <c r="KUX25" s="64"/>
      <c r="KUY25" s="64"/>
      <c r="KUZ25" s="64"/>
      <c r="KVA25" s="64"/>
      <c r="KVB25" s="64"/>
      <c r="KVC25" s="64"/>
      <c r="KVD25" s="64"/>
      <c r="KVE25" s="64"/>
      <c r="KVF25" s="64"/>
      <c r="KVG25" s="64"/>
      <c r="KVH25" s="64"/>
      <c r="KVI25" s="64"/>
      <c r="KVJ25" s="64"/>
      <c r="KVK25" s="64"/>
      <c r="KVL25" s="64"/>
      <c r="KVM25" s="64"/>
      <c r="KVN25" s="64"/>
      <c r="KVO25" s="64"/>
      <c r="KVP25" s="64"/>
      <c r="KVQ25" s="64"/>
      <c r="KVR25" s="64"/>
      <c r="KVS25" s="64"/>
      <c r="KVT25" s="64"/>
      <c r="KVU25" s="64"/>
      <c r="KVV25" s="64"/>
      <c r="KVW25" s="64"/>
      <c r="KVX25" s="64"/>
      <c r="KVY25" s="64"/>
      <c r="KVZ25" s="64"/>
      <c r="KWA25" s="64"/>
      <c r="KWB25" s="64"/>
      <c r="KWC25" s="64"/>
      <c r="KWD25" s="64"/>
      <c r="KWE25" s="64"/>
      <c r="KWF25" s="64"/>
      <c r="KWG25" s="64"/>
      <c r="KWH25" s="64"/>
      <c r="KWI25" s="64"/>
      <c r="KWJ25" s="64"/>
      <c r="KWK25" s="64"/>
      <c r="KWL25" s="64"/>
      <c r="KWM25" s="64"/>
      <c r="KWN25" s="64"/>
      <c r="KWO25" s="64"/>
      <c r="KWP25" s="64"/>
      <c r="KWQ25" s="64"/>
      <c r="KWR25" s="64"/>
      <c r="KWS25" s="64"/>
      <c r="KWT25" s="64"/>
      <c r="KWU25" s="64"/>
      <c r="KWV25" s="64"/>
      <c r="KWW25" s="64"/>
      <c r="KWX25" s="64"/>
      <c r="KWY25" s="64"/>
      <c r="KWZ25" s="64"/>
      <c r="KXA25" s="64"/>
      <c r="KXB25" s="64"/>
      <c r="KXC25" s="64"/>
      <c r="KXD25" s="64"/>
      <c r="KXE25" s="64"/>
      <c r="KXF25" s="64"/>
      <c r="KXG25" s="64"/>
      <c r="KXH25" s="64"/>
      <c r="KXI25" s="64"/>
      <c r="KXJ25" s="64"/>
      <c r="KXK25" s="64"/>
      <c r="KXL25" s="64"/>
      <c r="KXM25" s="64"/>
      <c r="KXN25" s="64"/>
      <c r="KXO25" s="64"/>
      <c r="KXP25" s="64"/>
      <c r="KXQ25" s="64"/>
      <c r="KXR25" s="64"/>
      <c r="KXS25" s="64"/>
      <c r="KXT25" s="64"/>
      <c r="KXU25" s="64"/>
      <c r="KXV25" s="64"/>
      <c r="KXW25" s="64"/>
      <c r="KXX25" s="64"/>
      <c r="KXY25" s="64"/>
      <c r="KXZ25" s="64"/>
      <c r="KYA25" s="64"/>
      <c r="KYB25" s="64"/>
      <c r="KYC25" s="64"/>
      <c r="KYD25" s="64"/>
      <c r="KYE25" s="64"/>
      <c r="KYF25" s="64"/>
      <c r="KYG25" s="64"/>
      <c r="KYH25" s="64"/>
      <c r="KYI25" s="64"/>
      <c r="KYJ25" s="64"/>
      <c r="KYK25" s="64"/>
      <c r="KYL25" s="64"/>
      <c r="KYM25" s="64"/>
      <c r="KYN25" s="64"/>
      <c r="KYO25" s="64"/>
      <c r="KYP25" s="64"/>
      <c r="KYQ25" s="64"/>
      <c r="KYR25" s="64"/>
      <c r="KYS25" s="64"/>
      <c r="KYT25" s="64"/>
      <c r="KYU25" s="64"/>
      <c r="KYV25" s="64"/>
      <c r="KYW25" s="64"/>
      <c r="KYX25" s="64"/>
      <c r="KYY25" s="64"/>
      <c r="KYZ25" s="64"/>
      <c r="KZA25" s="64"/>
      <c r="KZB25" s="64"/>
      <c r="KZC25" s="64"/>
      <c r="KZD25" s="64"/>
      <c r="KZE25" s="64"/>
      <c r="KZF25" s="64"/>
      <c r="KZG25" s="64"/>
      <c r="KZH25" s="64"/>
      <c r="KZI25" s="64"/>
      <c r="KZJ25" s="64"/>
      <c r="KZK25" s="64"/>
      <c r="KZL25" s="64"/>
      <c r="KZM25" s="64"/>
      <c r="KZN25" s="64"/>
      <c r="KZO25" s="64"/>
      <c r="KZP25" s="64"/>
      <c r="KZQ25" s="64"/>
      <c r="KZR25" s="64"/>
      <c r="KZS25" s="64"/>
      <c r="KZT25" s="64"/>
      <c r="KZU25" s="64"/>
      <c r="KZV25" s="64"/>
      <c r="KZW25" s="64"/>
      <c r="KZX25" s="64"/>
      <c r="KZY25" s="64"/>
      <c r="KZZ25" s="64"/>
      <c r="LAA25" s="64"/>
      <c r="LAB25" s="64"/>
      <c r="LAC25" s="64"/>
      <c r="LAD25" s="64"/>
      <c r="LAE25" s="64"/>
      <c r="LAF25" s="64"/>
      <c r="LAG25" s="64"/>
      <c r="LAH25" s="64"/>
      <c r="LAI25" s="64"/>
      <c r="LAJ25" s="64"/>
      <c r="LAK25" s="64"/>
      <c r="LAL25" s="64"/>
      <c r="LAM25" s="64"/>
      <c r="LAN25" s="64"/>
      <c r="LAO25" s="64"/>
      <c r="LAP25" s="64"/>
      <c r="LAQ25" s="64"/>
      <c r="LAR25" s="64"/>
      <c r="LAS25" s="64"/>
      <c r="LAT25" s="64"/>
      <c r="LAU25" s="64"/>
      <c r="LAV25" s="64"/>
      <c r="LAW25" s="64"/>
      <c r="LAX25" s="64"/>
      <c r="LAY25" s="64"/>
      <c r="LAZ25" s="64"/>
      <c r="LBA25" s="64"/>
      <c r="LBB25" s="64"/>
      <c r="LBC25" s="64"/>
      <c r="LBD25" s="64"/>
      <c r="LBE25" s="64"/>
      <c r="LBF25" s="64"/>
      <c r="LBG25" s="64"/>
      <c r="LBH25" s="64"/>
      <c r="LBI25" s="64"/>
      <c r="LBJ25" s="64"/>
      <c r="LBK25" s="64"/>
      <c r="LBL25" s="64"/>
      <c r="LBM25" s="64"/>
      <c r="LBN25" s="64"/>
      <c r="LBO25" s="64"/>
      <c r="LBP25" s="64"/>
      <c r="LBQ25" s="64"/>
      <c r="LBR25" s="64"/>
      <c r="LBS25" s="64"/>
      <c r="LBT25" s="64"/>
      <c r="LBU25" s="64"/>
      <c r="LBV25" s="64"/>
      <c r="LBW25" s="64"/>
      <c r="LBX25" s="64"/>
      <c r="LBY25" s="64"/>
      <c r="LBZ25" s="64"/>
      <c r="LCA25" s="64"/>
      <c r="LCB25" s="64"/>
      <c r="LCC25" s="64"/>
      <c r="LCD25" s="64"/>
      <c r="LCE25" s="64"/>
      <c r="LCF25" s="64"/>
      <c r="LCG25" s="64"/>
      <c r="LCH25" s="64"/>
      <c r="LCI25" s="64"/>
      <c r="LCJ25" s="64"/>
      <c r="LCK25" s="64"/>
      <c r="LCL25" s="64"/>
      <c r="LCM25" s="64"/>
      <c r="LCN25" s="64"/>
      <c r="LCO25" s="64"/>
      <c r="LCP25" s="64"/>
      <c r="LCQ25" s="64"/>
      <c r="LCR25" s="64"/>
      <c r="LCS25" s="64"/>
      <c r="LCT25" s="64"/>
      <c r="LCU25" s="64"/>
      <c r="LCV25" s="64"/>
      <c r="LCW25" s="64"/>
      <c r="LCX25" s="64"/>
      <c r="LCY25" s="64"/>
      <c r="LCZ25" s="64"/>
      <c r="LDA25" s="64"/>
      <c r="LDB25" s="64"/>
      <c r="LDC25" s="64"/>
      <c r="LDD25" s="64"/>
      <c r="LDE25" s="64"/>
      <c r="LDF25" s="64"/>
      <c r="LDG25" s="64"/>
      <c r="LDH25" s="64"/>
      <c r="LDI25" s="64"/>
      <c r="LDJ25" s="64"/>
      <c r="LDK25" s="64"/>
      <c r="LDL25" s="64"/>
      <c r="LDM25" s="64"/>
      <c r="LDN25" s="64"/>
      <c r="LDO25" s="64"/>
      <c r="LDP25" s="64"/>
      <c r="LDQ25" s="64"/>
      <c r="LDR25" s="64"/>
      <c r="LDS25" s="64"/>
      <c r="LDT25" s="64"/>
      <c r="LDU25" s="64"/>
      <c r="LDV25" s="64"/>
      <c r="LDW25" s="64"/>
      <c r="LDX25" s="64"/>
      <c r="LDY25" s="64"/>
      <c r="LDZ25" s="64"/>
      <c r="LEA25" s="64"/>
      <c r="LEB25" s="64"/>
      <c r="LEC25" s="64"/>
      <c r="LED25" s="64"/>
      <c r="LEE25" s="64"/>
      <c r="LEF25" s="64"/>
      <c r="LEG25" s="64"/>
      <c r="LEH25" s="64"/>
      <c r="LEI25" s="64"/>
      <c r="LEJ25" s="64"/>
      <c r="LEK25" s="64"/>
      <c r="LEL25" s="64"/>
      <c r="LEM25" s="64"/>
      <c r="LEN25" s="64"/>
      <c r="LEO25" s="64"/>
      <c r="LEP25" s="64"/>
      <c r="LEQ25" s="64"/>
      <c r="LER25" s="64"/>
      <c r="LES25" s="64"/>
      <c r="LET25" s="64"/>
      <c r="LEU25" s="64"/>
      <c r="LEV25" s="64"/>
      <c r="LEW25" s="64"/>
      <c r="LEX25" s="64"/>
      <c r="LEY25" s="64"/>
      <c r="LEZ25" s="64"/>
      <c r="LFA25" s="64"/>
      <c r="LFB25" s="64"/>
      <c r="LFC25" s="64"/>
      <c r="LFD25" s="64"/>
      <c r="LFE25" s="64"/>
      <c r="LFF25" s="64"/>
      <c r="LFG25" s="64"/>
      <c r="LFH25" s="64"/>
      <c r="LFI25" s="64"/>
      <c r="LFJ25" s="64"/>
      <c r="LFK25" s="64"/>
      <c r="LFL25" s="64"/>
      <c r="LFM25" s="64"/>
      <c r="LFN25" s="64"/>
      <c r="LFO25" s="64"/>
      <c r="LFP25" s="64"/>
      <c r="LFQ25" s="64"/>
      <c r="LFR25" s="64"/>
      <c r="LFS25" s="64"/>
      <c r="LFT25" s="64"/>
      <c r="LFU25" s="64"/>
      <c r="LFV25" s="64"/>
      <c r="LFW25" s="64"/>
      <c r="LFX25" s="64"/>
      <c r="LFY25" s="64"/>
      <c r="LFZ25" s="64"/>
      <c r="LGA25" s="64"/>
      <c r="LGB25" s="64"/>
      <c r="LGC25" s="64"/>
      <c r="LGD25" s="64"/>
      <c r="LGE25" s="64"/>
      <c r="LGF25" s="64"/>
      <c r="LGG25" s="64"/>
      <c r="LGH25" s="64"/>
      <c r="LGI25" s="64"/>
      <c r="LGJ25" s="64"/>
      <c r="LGK25" s="64"/>
      <c r="LGL25" s="64"/>
      <c r="LGM25" s="64"/>
      <c r="LGN25" s="64"/>
      <c r="LGO25" s="64"/>
      <c r="LGP25" s="64"/>
      <c r="LGQ25" s="64"/>
      <c r="LGR25" s="64"/>
      <c r="LGS25" s="64"/>
      <c r="LGT25" s="64"/>
      <c r="LGU25" s="64"/>
      <c r="LGV25" s="64"/>
      <c r="LGW25" s="64"/>
      <c r="LGX25" s="64"/>
      <c r="LGY25" s="64"/>
      <c r="LGZ25" s="64"/>
      <c r="LHA25" s="64"/>
      <c r="LHB25" s="64"/>
      <c r="LHC25" s="64"/>
      <c r="LHD25" s="64"/>
      <c r="LHE25" s="64"/>
      <c r="LHF25" s="64"/>
      <c r="LHG25" s="64"/>
      <c r="LHH25" s="64"/>
      <c r="LHI25" s="64"/>
      <c r="LHJ25" s="64"/>
      <c r="LHK25" s="64"/>
      <c r="LHL25" s="64"/>
      <c r="LHM25" s="64"/>
      <c r="LHN25" s="64"/>
      <c r="LHO25" s="64"/>
      <c r="LHP25" s="64"/>
      <c r="LHQ25" s="64"/>
      <c r="LHR25" s="64"/>
      <c r="LHS25" s="64"/>
      <c r="LHT25" s="64"/>
      <c r="LHU25" s="64"/>
      <c r="LHV25" s="64"/>
      <c r="LHW25" s="64"/>
      <c r="LHX25" s="64"/>
      <c r="LHY25" s="64"/>
      <c r="LHZ25" s="64"/>
      <c r="LIA25" s="64"/>
      <c r="LIB25" s="64"/>
      <c r="LIC25" s="64"/>
      <c r="LID25" s="64"/>
      <c r="LIE25" s="64"/>
      <c r="LIF25" s="64"/>
      <c r="LIG25" s="64"/>
      <c r="LIH25" s="64"/>
      <c r="LII25" s="64"/>
      <c r="LIJ25" s="64"/>
      <c r="LIK25" s="64"/>
      <c r="LIL25" s="64"/>
      <c r="LIM25" s="64"/>
      <c r="LIN25" s="64"/>
      <c r="LIO25" s="64"/>
      <c r="LIP25" s="64"/>
      <c r="LIQ25" s="64"/>
      <c r="LIR25" s="64"/>
      <c r="LIS25" s="64"/>
      <c r="LIT25" s="64"/>
      <c r="LIU25" s="64"/>
      <c r="LIV25" s="64"/>
      <c r="LIW25" s="64"/>
      <c r="LIX25" s="64"/>
      <c r="LIY25" s="64"/>
      <c r="LIZ25" s="64"/>
      <c r="LJA25" s="64"/>
      <c r="LJB25" s="64"/>
      <c r="LJC25" s="64"/>
      <c r="LJD25" s="64"/>
      <c r="LJE25" s="64"/>
      <c r="LJF25" s="64"/>
      <c r="LJG25" s="64"/>
      <c r="LJH25" s="64"/>
      <c r="LJI25" s="64"/>
      <c r="LJJ25" s="64"/>
      <c r="LJK25" s="64"/>
      <c r="LJL25" s="64"/>
      <c r="LJM25" s="64"/>
      <c r="LJN25" s="64"/>
      <c r="LJO25" s="64"/>
      <c r="LJP25" s="64"/>
      <c r="LJQ25" s="64"/>
      <c r="LJR25" s="64"/>
      <c r="LJS25" s="64"/>
      <c r="LJT25" s="64"/>
      <c r="LJU25" s="64"/>
      <c r="LJV25" s="64"/>
      <c r="LJW25" s="64"/>
      <c r="LJX25" s="64"/>
      <c r="LJY25" s="64"/>
      <c r="LJZ25" s="64"/>
      <c r="LKA25" s="64"/>
      <c r="LKB25" s="64"/>
      <c r="LKC25" s="64"/>
      <c r="LKD25" s="64"/>
      <c r="LKE25" s="64"/>
      <c r="LKF25" s="64"/>
      <c r="LKG25" s="64"/>
      <c r="LKH25" s="64"/>
      <c r="LKI25" s="64"/>
      <c r="LKJ25" s="64"/>
      <c r="LKK25" s="64"/>
      <c r="LKL25" s="64"/>
      <c r="LKM25" s="64"/>
      <c r="LKN25" s="64"/>
      <c r="LKO25" s="64"/>
      <c r="LKP25" s="64"/>
      <c r="LKQ25" s="64"/>
      <c r="LKR25" s="64"/>
      <c r="LKS25" s="64"/>
      <c r="LKT25" s="64"/>
      <c r="LKU25" s="64"/>
      <c r="LKV25" s="64"/>
      <c r="LKW25" s="64"/>
      <c r="LKX25" s="64"/>
      <c r="LKY25" s="64"/>
      <c r="LKZ25" s="64"/>
      <c r="LLA25" s="64"/>
      <c r="LLB25" s="64"/>
      <c r="LLC25" s="64"/>
      <c r="LLD25" s="64"/>
      <c r="LLE25" s="64"/>
      <c r="LLF25" s="64"/>
      <c r="LLG25" s="64"/>
      <c r="LLH25" s="64"/>
      <c r="LLI25" s="64"/>
      <c r="LLJ25" s="64"/>
      <c r="LLK25" s="64"/>
      <c r="LLL25" s="64"/>
      <c r="LLM25" s="64"/>
      <c r="LLN25" s="64"/>
      <c r="LLO25" s="64"/>
      <c r="LLP25" s="64"/>
      <c r="LLQ25" s="64"/>
      <c r="LLR25" s="64"/>
      <c r="LLS25" s="64"/>
      <c r="LLT25" s="64"/>
      <c r="LLU25" s="64"/>
      <c r="LLV25" s="64"/>
      <c r="LLW25" s="64"/>
      <c r="LLX25" s="64"/>
      <c r="LLY25" s="64"/>
      <c r="LLZ25" s="64"/>
      <c r="LMA25" s="64"/>
      <c r="LMB25" s="64"/>
      <c r="LMC25" s="64"/>
      <c r="LMD25" s="64"/>
      <c r="LME25" s="64"/>
      <c r="LMF25" s="64"/>
      <c r="LMG25" s="64"/>
      <c r="LMH25" s="64"/>
      <c r="LMI25" s="64"/>
      <c r="LMJ25" s="64"/>
      <c r="LMK25" s="64"/>
      <c r="LML25" s="64"/>
      <c r="LMM25" s="64"/>
      <c r="LMN25" s="64"/>
      <c r="LMO25" s="64"/>
      <c r="LMP25" s="64"/>
      <c r="LMQ25" s="64"/>
      <c r="LMR25" s="64"/>
      <c r="LMS25" s="64"/>
      <c r="LMT25" s="64"/>
      <c r="LMU25" s="64"/>
      <c r="LMV25" s="64"/>
      <c r="LMW25" s="64"/>
      <c r="LMX25" s="64"/>
      <c r="LMY25" s="64"/>
      <c r="LMZ25" s="64"/>
      <c r="LNA25" s="64"/>
      <c r="LNB25" s="64"/>
      <c r="LNC25" s="64"/>
      <c r="LND25" s="64"/>
      <c r="LNE25" s="64"/>
      <c r="LNF25" s="64"/>
      <c r="LNG25" s="64"/>
      <c r="LNH25" s="64"/>
      <c r="LNI25" s="64"/>
      <c r="LNJ25" s="64"/>
      <c r="LNK25" s="64"/>
      <c r="LNL25" s="64"/>
      <c r="LNM25" s="64"/>
      <c r="LNN25" s="64"/>
      <c r="LNO25" s="64"/>
      <c r="LNP25" s="64"/>
      <c r="LNQ25" s="64"/>
      <c r="LNR25" s="64"/>
      <c r="LNS25" s="64"/>
      <c r="LNT25" s="64"/>
      <c r="LNU25" s="64"/>
      <c r="LNV25" s="64"/>
      <c r="LNW25" s="64"/>
      <c r="LNX25" s="64"/>
      <c r="LNY25" s="64"/>
      <c r="LNZ25" s="64"/>
      <c r="LOA25" s="64"/>
      <c r="LOB25" s="64"/>
      <c r="LOC25" s="64"/>
      <c r="LOD25" s="64"/>
      <c r="LOE25" s="64"/>
      <c r="LOF25" s="64"/>
      <c r="LOG25" s="64"/>
      <c r="LOH25" s="64"/>
      <c r="LOI25" s="64"/>
      <c r="LOJ25" s="64"/>
      <c r="LOK25" s="64"/>
      <c r="LOL25" s="64"/>
      <c r="LOM25" s="64"/>
      <c r="LON25" s="64"/>
      <c r="LOO25" s="64"/>
      <c r="LOP25" s="64"/>
      <c r="LOQ25" s="64"/>
      <c r="LOR25" s="64"/>
      <c r="LOS25" s="64"/>
      <c r="LOT25" s="64"/>
      <c r="LOU25" s="64"/>
      <c r="LOV25" s="64"/>
      <c r="LOW25" s="64"/>
      <c r="LOX25" s="64"/>
      <c r="LOY25" s="64"/>
      <c r="LOZ25" s="64"/>
      <c r="LPA25" s="64"/>
      <c r="LPB25" s="64"/>
      <c r="LPC25" s="64"/>
      <c r="LPD25" s="64"/>
      <c r="LPE25" s="64"/>
      <c r="LPF25" s="64"/>
      <c r="LPG25" s="64"/>
      <c r="LPH25" s="64"/>
      <c r="LPI25" s="64"/>
      <c r="LPJ25" s="64"/>
      <c r="LPK25" s="64"/>
      <c r="LPL25" s="64"/>
      <c r="LPM25" s="64"/>
      <c r="LPN25" s="64"/>
      <c r="LPO25" s="64"/>
      <c r="LPP25" s="64"/>
      <c r="LPQ25" s="64"/>
      <c r="LPR25" s="64"/>
      <c r="LPS25" s="64"/>
      <c r="LPT25" s="64"/>
      <c r="LPU25" s="64"/>
      <c r="LPV25" s="64"/>
      <c r="LPW25" s="64"/>
      <c r="LPX25" s="64"/>
      <c r="LPY25" s="64"/>
      <c r="LPZ25" s="64"/>
      <c r="LQA25" s="64"/>
      <c r="LQB25" s="64"/>
      <c r="LQC25" s="64"/>
      <c r="LQD25" s="64"/>
      <c r="LQE25" s="64"/>
      <c r="LQF25" s="64"/>
      <c r="LQG25" s="64"/>
      <c r="LQH25" s="64"/>
      <c r="LQI25" s="64"/>
      <c r="LQJ25" s="64"/>
      <c r="LQK25" s="64"/>
      <c r="LQL25" s="64"/>
      <c r="LQM25" s="64"/>
      <c r="LQN25" s="64"/>
      <c r="LQO25" s="64"/>
      <c r="LQP25" s="64"/>
      <c r="LQQ25" s="64"/>
      <c r="LQR25" s="64"/>
      <c r="LQS25" s="64"/>
      <c r="LQT25" s="64"/>
      <c r="LQU25" s="64"/>
      <c r="LQV25" s="64"/>
      <c r="LQW25" s="64"/>
      <c r="LQX25" s="64"/>
      <c r="LQY25" s="64"/>
      <c r="LQZ25" s="64"/>
      <c r="LRA25" s="64"/>
      <c r="LRB25" s="64"/>
      <c r="LRC25" s="64"/>
      <c r="LRD25" s="64"/>
      <c r="LRE25" s="64"/>
      <c r="LRF25" s="64"/>
      <c r="LRG25" s="64"/>
      <c r="LRH25" s="64"/>
      <c r="LRI25" s="64"/>
      <c r="LRJ25" s="64"/>
      <c r="LRK25" s="64"/>
      <c r="LRL25" s="64"/>
      <c r="LRM25" s="64"/>
      <c r="LRN25" s="64"/>
      <c r="LRO25" s="64"/>
      <c r="LRP25" s="64"/>
      <c r="LRQ25" s="64"/>
      <c r="LRR25" s="64"/>
      <c r="LRS25" s="64"/>
      <c r="LRT25" s="64"/>
      <c r="LRU25" s="64"/>
      <c r="LRV25" s="64"/>
      <c r="LRW25" s="64"/>
      <c r="LRX25" s="64"/>
      <c r="LRY25" s="64"/>
      <c r="LRZ25" s="64"/>
      <c r="LSA25" s="64"/>
      <c r="LSB25" s="64"/>
      <c r="LSC25" s="64"/>
      <c r="LSD25" s="64"/>
      <c r="LSE25" s="64"/>
      <c r="LSF25" s="64"/>
      <c r="LSG25" s="64"/>
      <c r="LSH25" s="64"/>
      <c r="LSI25" s="64"/>
      <c r="LSJ25" s="64"/>
      <c r="LSK25" s="64"/>
      <c r="LSL25" s="64"/>
      <c r="LSM25" s="64"/>
      <c r="LSN25" s="64"/>
      <c r="LSO25" s="64"/>
      <c r="LSP25" s="64"/>
      <c r="LSQ25" s="64"/>
      <c r="LSR25" s="64"/>
      <c r="LSS25" s="64"/>
      <c r="LST25" s="64"/>
      <c r="LSU25" s="64"/>
      <c r="LSV25" s="64"/>
      <c r="LSW25" s="64"/>
      <c r="LSX25" s="64"/>
      <c r="LSY25" s="64"/>
      <c r="LSZ25" s="64"/>
      <c r="LTA25" s="64"/>
      <c r="LTB25" s="64"/>
      <c r="LTC25" s="64"/>
      <c r="LTD25" s="64"/>
      <c r="LTE25" s="64"/>
      <c r="LTF25" s="64"/>
      <c r="LTG25" s="64"/>
      <c r="LTH25" s="64"/>
      <c r="LTI25" s="64"/>
      <c r="LTJ25" s="64"/>
      <c r="LTK25" s="64"/>
      <c r="LTL25" s="64"/>
      <c r="LTM25" s="64"/>
      <c r="LTN25" s="64"/>
      <c r="LTO25" s="64"/>
      <c r="LTP25" s="64"/>
      <c r="LTQ25" s="64"/>
      <c r="LTR25" s="64"/>
      <c r="LTS25" s="64"/>
      <c r="LTT25" s="64"/>
      <c r="LTU25" s="64"/>
      <c r="LTV25" s="64"/>
      <c r="LTW25" s="64"/>
      <c r="LTX25" s="64"/>
      <c r="LTY25" s="64"/>
      <c r="LTZ25" s="64"/>
      <c r="LUA25" s="64"/>
      <c r="LUB25" s="64"/>
      <c r="LUC25" s="64"/>
      <c r="LUD25" s="64"/>
      <c r="LUE25" s="64"/>
      <c r="LUF25" s="64"/>
      <c r="LUG25" s="64"/>
      <c r="LUH25" s="64"/>
      <c r="LUI25" s="64"/>
      <c r="LUJ25" s="64"/>
      <c r="LUK25" s="64"/>
      <c r="LUL25" s="64"/>
      <c r="LUM25" s="64"/>
      <c r="LUN25" s="64"/>
      <c r="LUO25" s="64"/>
      <c r="LUP25" s="64"/>
      <c r="LUQ25" s="64"/>
      <c r="LUR25" s="64"/>
      <c r="LUS25" s="64"/>
      <c r="LUT25" s="64"/>
      <c r="LUU25" s="64"/>
      <c r="LUV25" s="64"/>
      <c r="LUW25" s="64"/>
      <c r="LUX25" s="64"/>
      <c r="LUY25" s="64"/>
      <c r="LUZ25" s="64"/>
      <c r="LVA25" s="64"/>
      <c r="LVB25" s="64"/>
      <c r="LVC25" s="64"/>
      <c r="LVD25" s="64"/>
      <c r="LVE25" s="64"/>
      <c r="LVF25" s="64"/>
      <c r="LVG25" s="64"/>
      <c r="LVH25" s="64"/>
      <c r="LVI25" s="64"/>
      <c r="LVJ25" s="64"/>
      <c r="LVK25" s="64"/>
      <c r="LVL25" s="64"/>
      <c r="LVM25" s="64"/>
      <c r="LVN25" s="64"/>
      <c r="LVO25" s="64"/>
      <c r="LVP25" s="64"/>
      <c r="LVQ25" s="64"/>
      <c r="LVR25" s="64"/>
      <c r="LVS25" s="64"/>
      <c r="LVT25" s="64"/>
      <c r="LVU25" s="64"/>
      <c r="LVV25" s="64"/>
      <c r="LVW25" s="64"/>
      <c r="LVX25" s="64"/>
      <c r="LVY25" s="64"/>
      <c r="LVZ25" s="64"/>
      <c r="LWA25" s="64"/>
      <c r="LWB25" s="64"/>
      <c r="LWC25" s="64"/>
      <c r="LWD25" s="64"/>
      <c r="LWE25" s="64"/>
      <c r="LWF25" s="64"/>
      <c r="LWG25" s="64"/>
      <c r="LWH25" s="64"/>
      <c r="LWI25" s="64"/>
      <c r="LWJ25" s="64"/>
      <c r="LWK25" s="64"/>
      <c r="LWL25" s="64"/>
      <c r="LWM25" s="64"/>
      <c r="LWN25" s="64"/>
      <c r="LWO25" s="64"/>
      <c r="LWP25" s="64"/>
      <c r="LWQ25" s="64"/>
      <c r="LWR25" s="64"/>
      <c r="LWS25" s="64"/>
      <c r="LWT25" s="64"/>
      <c r="LWU25" s="64"/>
      <c r="LWV25" s="64"/>
      <c r="LWW25" s="64"/>
      <c r="LWX25" s="64"/>
      <c r="LWY25" s="64"/>
      <c r="LWZ25" s="64"/>
      <c r="LXA25" s="64"/>
      <c r="LXB25" s="64"/>
      <c r="LXC25" s="64"/>
      <c r="LXD25" s="64"/>
      <c r="LXE25" s="64"/>
      <c r="LXF25" s="64"/>
      <c r="LXG25" s="64"/>
      <c r="LXH25" s="64"/>
      <c r="LXI25" s="64"/>
      <c r="LXJ25" s="64"/>
      <c r="LXK25" s="64"/>
      <c r="LXL25" s="64"/>
      <c r="LXM25" s="64"/>
      <c r="LXN25" s="64"/>
      <c r="LXO25" s="64"/>
      <c r="LXP25" s="64"/>
      <c r="LXQ25" s="64"/>
      <c r="LXR25" s="64"/>
      <c r="LXS25" s="64"/>
      <c r="LXT25" s="64"/>
      <c r="LXU25" s="64"/>
      <c r="LXV25" s="64"/>
      <c r="LXW25" s="64"/>
      <c r="LXX25" s="64"/>
      <c r="LXY25" s="64"/>
      <c r="LXZ25" s="64"/>
      <c r="LYA25" s="64"/>
      <c r="LYB25" s="64"/>
      <c r="LYC25" s="64"/>
      <c r="LYD25" s="64"/>
      <c r="LYE25" s="64"/>
      <c r="LYF25" s="64"/>
      <c r="LYG25" s="64"/>
      <c r="LYH25" s="64"/>
      <c r="LYI25" s="64"/>
      <c r="LYJ25" s="64"/>
      <c r="LYK25" s="64"/>
      <c r="LYL25" s="64"/>
      <c r="LYM25" s="64"/>
      <c r="LYN25" s="64"/>
      <c r="LYO25" s="64"/>
      <c r="LYP25" s="64"/>
      <c r="LYQ25" s="64"/>
      <c r="LYR25" s="64"/>
      <c r="LYS25" s="64"/>
      <c r="LYT25" s="64"/>
      <c r="LYU25" s="64"/>
      <c r="LYV25" s="64"/>
      <c r="LYW25" s="64"/>
      <c r="LYX25" s="64"/>
      <c r="LYY25" s="64"/>
      <c r="LYZ25" s="64"/>
      <c r="LZA25" s="64"/>
      <c r="LZB25" s="64"/>
      <c r="LZC25" s="64"/>
      <c r="LZD25" s="64"/>
      <c r="LZE25" s="64"/>
      <c r="LZF25" s="64"/>
      <c r="LZG25" s="64"/>
      <c r="LZH25" s="64"/>
      <c r="LZI25" s="64"/>
      <c r="LZJ25" s="64"/>
      <c r="LZK25" s="64"/>
      <c r="LZL25" s="64"/>
      <c r="LZM25" s="64"/>
      <c r="LZN25" s="64"/>
      <c r="LZO25" s="64"/>
      <c r="LZP25" s="64"/>
      <c r="LZQ25" s="64"/>
      <c r="LZR25" s="64"/>
      <c r="LZS25" s="64"/>
      <c r="LZT25" s="64"/>
      <c r="LZU25" s="64"/>
      <c r="LZV25" s="64"/>
      <c r="LZW25" s="64"/>
      <c r="LZX25" s="64"/>
      <c r="LZY25" s="64"/>
      <c r="LZZ25" s="64"/>
      <c r="MAA25" s="64"/>
      <c r="MAB25" s="64"/>
      <c r="MAC25" s="64"/>
      <c r="MAD25" s="64"/>
      <c r="MAE25" s="64"/>
      <c r="MAF25" s="64"/>
      <c r="MAG25" s="64"/>
      <c r="MAH25" s="64"/>
      <c r="MAI25" s="64"/>
      <c r="MAJ25" s="64"/>
      <c r="MAK25" s="64"/>
      <c r="MAL25" s="64"/>
      <c r="MAM25" s="64"/>
      <c r="MAN25" s="64"/>
      <c r="MAO25" s="64"/>
      <c r="MAP25" s="64"/>
      <c r="MAQ25" s="64"/>
      <c r="MAR25" s="64"/>
      <c r="MAS25" s="64"/>
      <c r="MAT25" s="64"/>
      <c r="MAU25" s="64"/>
      <c r="MAV25" s="64"/>
      <c r="MAW25" s="64"/>
      <c r="MAX25" s="64"/>
      <c r="MAY25" s="64"/>
      <c r="MAZ25" s="64"/>
      <c r="MBA25" s="64"/>
      <c r="MBB25" s="64"/>
      <c r="MBC25" s="64"/>
      <c r="MBD25" s="64"/>
      <c r="MBE25" s="64"/>
      <c r="MBF25" s="64"/>
      <c r="MBG25" s="64"/>
      <c r="MBH25" s="64"/>
      <c r="MBI25" s="64"/>
      <c r="MBJ25" s="64"/>
      <c r="MBK25" s="64"/>
      <c r="MBL25" s="64"/>
      <c r="MBM25" s="64"/>
      <c r="MBN25" s="64"/>
      <c r="MBO25" s="64"/>
      <c r="MBP25" s="64"/>
      <c r="MBQ25" s="64"/>
      <c r="MBR25" s="64"/>
      <c r="MBS25" s="64"/>
      <c r="MBT25" s="64"/>
      <c r="MBU25" s="64"/>
      <c r="MBV25" s="64"/>
      <c r="MBW25" s="64"/>
      <c r="MBX25" s="64"/>
      <c r="MBY25" s="64"/>
      <c r="MBZ25" s="64"/>
      <c r="MCA25" s="64"/>
      <c r="MCB25" s="64"/>
      <c r="MCC25" s="64"/>
      <c r="MCD25" s="64"/>
      <c r="MCE25" s="64"/>
      <c r="MCF25" s="64"/>
      <c r="MCG25" s="64"/>
      <c r="MCH25" s="64"/>
      <c r="MCI25" s="64"/>
      <c r="MCJ25" s="64"/>
      <c r="MCK25" s="64"/>
      <c r="MCL25" s="64"/>
      <c r="MCM25" s="64"/>
      <c r="MCN25" s="64"/>
      <c r="MCO25" s="64"/>
      <c r="MCP25" s="64"/>
      <c r="MCQ25" s="64"/>
      <c r="MCR25" s="64"/>
      <c r="MCS25" s="64"/>
      <c r="MCT25" s="64"/>
      <c r="MCU25" s="64"/>
      <c r="MCV25" s="64"/>
      <c r="MCW25" s="64"/>
      <c r="MCX25" s="64"/>
      <c r="MCY25" s="64"/>
      <c r="MCZ25" s="64"/>
      <c r="MDA25" s="64"/>
      <c r="MDB25" s="64"/>
      <c r="MDC25" s="64"/>
      <c r="MDD25" s="64"/>
      <c r="MDE25" s="64"/>
      <c r="MDF25" s="64"/>
      <c r="MDG25" s="64"/>
      <c r="MDH25" s="64"/>
      <c r="MDI25" s="64"/>
      <c r="MDJ25" s="64"/>
      <c r="MDK25" s="64"/>
      <c r="MDL25" s="64"/>
      <c r="MDM25" s="64"/>
      <c r="MDN25" s="64"/>
      <c r="MDO25" s="64"/>
      <c r="MDP25" s="64"/>
      <c r="MDQ25" s="64"/>
      <c r="MDR25" s="64"/>
      <c r="MDS25" s="64"/>
      <c r="MDT25" s="64"/>
      <c r="MDU25" s="64"/>
      <c r="MDV25" s="64"/>
      <c r="MDW25" s="64"/>
      <c r="MDX25" s="64"/>
      <c r="MDY25" s="64"/>
      <c r="MDZ25" s="64"/>
      <c r="MEA25" s="64"/>
      <c r="MEB25" s="64"/>
      <c r="MEC25" s="64"/>
      <c r="MED25" s="64"/>
      <c r="MEE25" s="64"/>
      <c r="MEF25" s="64"/>
      <c r="MEG25" s="64"/>
      <c r="MEH25" s="64"/>
      <c r="MEI25" s="64"/>
      <c r="MEJ25" s="64"/>
      <c r="MEK25" s="64"/>
      <c r="MEL25" s="64"/>
      <c r="MEM25" s="64"/>
      <c r="MEN25" s="64"/>
      <c r="MEO25" s="64"/>
      <c r="MEP25" s="64"/>
      <c r="MEQ25" s="64"/>
      <c r="MER25" s="64"/>
      <c r="MES25" s="64"/>
      <c r="MET25" s="64"/>
      <c r="MEU25" s="64"/>
      <c r="MEV25" s="64"/>
      <c r="MEW25" s="64"/>
      <c r="MEX25" s="64"/>
      <c r="MEY25" s="64"/>
      <c r="MEZ25" s="64"/>
      <c r="MFA25" s="64"/>
      <c r="MFB25" s="64"/>
      <c r="MFC25" s="64"/>
      <c r="MFD25" s="64"/>
      <c r="MFE25" s="64"/>
      <c r="MFF25" s="64"/>
      <c r="MFG25" s="64"/>
      <c r="MFH25" s="64"/>
      <c r="MFI25" s="64"/>
      <c r="MFJ25" s="64"/>
      <c r="MFK25" s="64"/>
      <c r="MFL25" s="64"/>
      <c r="MFM25" s="64"/>
      <c r="MFN25" s="64"/>
      <c r="MFO25" s="64"/>
      <c r="MFP25" s="64"/>
      <c r="MFQ25" s="64"/>
      <c r="MFR25" s="64"/>
      <c r="MFS25" s="64"/>
      <c r="MFT25" s="64"/>
      <c r="MFU25" s="64"/>
      <c r="MFV25" s="64"/>
      <c r="MFW25" s="64"/>
      <c r="MFX25" s="64"/>
      <c r="MFY25" s="64"/>
      <c r="MFZ25" s="64"/>
      <c r="MGA25" s="64"/>
      <c r="MGB25" s="64"/>
      <c r="MGC25" s="64"/>
      <c r="MGD25" s="64"/>
      <c r="MGE25" s="64"/>
      <c r="MGF25" s="64"/>
      <c r="MGG25" s="64"/>
      <c r="MGH25" s="64"/>
      <c r="MGI25" s="64"/>
      <c r="MGJ25" s="64"/>
      <c r="MGK25" s="64"/>
      <c r="MGL25" s="64"/>
      <c r="MGM25" s="64"/>
      <c r="MGN25" s="64"/>
      <c r="MGO25" s="64"/>
      <c r="MGP25" s="64"/>
      <c r="MGQ25" s="64"/>
      <c r="MGR25" s="64"/>
      <c r="MGS25" s="64"/>
      <c r="MGT25" s="64"/>
      <c r="MGU25" s="64"/>
      <c r="MGV25" s="64"/>
      <c r="MGW25" s="64"/>
      <c r="MGX25" s="64"/>
      <c r="MGY25" s="64"/>
      <c r="MGZ25" s="64"/>
      <c r="MHA25" s="64"/>
      <c r="MHB25" s="64"/>
      <c r="MHC25" s="64"/>
      <c r="MHD25" s="64"/>
      <c r="MHE25" s="64"/>
      <c r="MHF25" s="64"/>
      <c r="MHG25" s="64"/>
      <c r="MHH25" s="64"/>
      <c r="MHI25" s="64"/>
      <c r="MHJ25" s="64"/>
      <c r="MHK25" s="64"/>
      <c r="MHL25" s="64"/>
      <c r="MHM25" s="64"/>
      <c r="MHN25" s="64"/>
      <c r="MHO25" s="64"/>
      <c r="MHP25" s="64"/>
      <c r="MHQ25" s="64"/>
      <c r="MHR25" s="64"/>
      <c r="MHS25" s="64"/>
      <c r="MHT25" s="64"/>
      <c r="MHU25" s="64"/>
      <c r="MHV25" s="64"/>
      <c r="MHW25" s="64"/>
      <c r="MHX25" s="64"/>
      <c r="MHY25" s="64"/>
      <c r="MHZ25" s="64"/>
      <c r="MIA25" s="64"/>
      <c r="MIB25" s="64"/>
      <c r="MIC25" s="64"/>
      <c r="MID25" s="64"/>
      <c r="MIE25" s="64"/>
      <c r="MIF25" s="64"/>
      <c r="MIG25" s="64"/>
      <c r="MIH25" s="64"/>
      <c r="MII25" s="64"/>
      <c r="MIJ25" s="64"/>
      <c r="MIK25" s="64"/>
      <c r="MIL25" s="64"/>
      <c r="MIM25" s="64"/>
      <c r="MIN25" s="64"/>
      <c r="MIO25" s="64"/>
      <c r="MIP25" s="64"/>
      <c r="MIQ25" s="64"/>
      <c r="MIR25" s="64"/>
      <c r="MIS25" s="64"/>
      <c r="MIT25" s="64"/>
      <c r="MIU25" s="64"/>
      <c r="MIV25" s="64"/>
      <c r="MIW25" s="64"/>
      <c r="MIX25" s="64"/>
      <c r="MIY25" s="64"/>
      <c r="MIZ25" s="64"/>
      <c r="MJA25" s="64"/>
      <c r="MJB25" s="64"/>
      <c r="MJC25" s="64"/>
      <c r="MJD25" s="64"/>
      <c r="MJE25" s="64"/>
      <c r="MJF25" s="64"/>
      <c r="MJG25" s="64"/>
      <c r="MJH25" s="64"/>
      <c r="MJI25" s="64"/>
      <c r="MJJ25" s="64"/>
      <c r="MJK25" s="64"/>
      <c r="MJL25" s="64"/>
      <c r="MJM25" s="64"/>
      <c r="MJN25" s="64"/>
      <c r="MJO25" s="64"/>
      <c r="MJP25" s="64"/>
      <c r="MJQ25" s="64"/>
      <c r="MJR25" s="64"/>
      <c r="MJS25" s="64"/>
      <c r="MJT25" s="64"/>
      <c r="MJU25" s="64"/>
      <c r="MJV25" s="64"/>
      <c r="MJW25" s="64"/>
      <c r="MJX25" s="64"/>
      <c r="MJY25" s="64"/>
      <c r="MJZ25" s="64"/>
      <c r="MKA25" s="64"/>
      <c r="MKB25" s="64"/>
      <c r="MKC25" s="64"/>
      <c r="MKD25" s="64"/>
      <c r="MKE25" s="64"/>
      <c r="MKF25" s="64"/>
      <c r="MKG25" s="64"/>
      <c r="MKH25" s="64"/>
      <c r="MKI25" s="64"/>
      <c r="MKJ25" s="64"/>
      <c r="MKK25" s="64"/>
      <c r="MKL25" s="64"/>
      <c r="MKM25" s="64"/>
      <c r="MKN25" s="64"/>
      <c r="MKO25" s="64"/>
      <c r="MKP25" s="64"/>
      <c r="MKQ25" s="64"/>
      <c r="MKR25" s="64"/>
      <c r="MKS25" s="64"/>
      <c r="MKT25" s="64"/>
      <c r="MKU25" s="64"/>
      <c r="MKV25" s="64"/>
      <c r="MKW25" s="64"/>
      <c r="MKX25" s="64"/>
      <c r="MKY25" s="64"/>
      <c r="MKZ25" s="64"/>
      <c r="MLA25" s="64"/>
      <c r="MLB25" s="64"/>
      <c r="MLC25" s="64"/>
      <c r="MLD25" s="64"/>
      <c r="MLE25" s="64"/>
      <c r="MLF25" s="64"/>
      <c r="MLG25" s="64"/>
      <c r="MLH25" s="64"/>
      <c r="MLI25" s="64"/>
      <c r="MLJ25" s="64"/>
      <c r="MLK25" s="64"/>
      <c r="MLL25" s="64"/>
      <c r="MLM25" s="64"/>
      <c r="MLN25" s="64"/>
      <c r="MLO25" s="64"/>
      <c r="MLP25" s="64"/>
      <c r="MLQ25" s="64"/>
      <c r="MLR25" s="64"/>
      <c r="MLS25" s="64"/>
      <c r="MLT25" s="64"/>
      <c r="MLU25" s="64"/>
      <c r="MLV25" s="64"/>
      <c r="MLW25" s="64"/>
      <c r="MLX25" s="64"/>
      <c r="MLY25" s="64"/>
      <c r="MLZ25" s="64"/>
      <c r="MMA25" s="64"/>
      <c r="MMB25" s="64"/>
      <c r="MMC25" s="64"/>
      <c r="MMD25" s="64"/>
      <c r="MME25" s="64"/>
      <c r="MMF25" s="64"/>
      <c r="MMG25" s="64"/>
      <c r="MMH25" s="64"/>
      <c r="MMI25" s="64"/>
      <c r="MMJ25" s="64"/>
      <c r="MMK25" s="64"/>
      <c r="MML25" s="64"/>
      <c r="MMM25" s="64"/>
      <c r="MMN25" s="64"/>
      <c r="MMO25" s="64"/>
      <c r="MMP25" s="64"/>
      <c r="MMQ25" s="64"/>
      <c r="MMR25" s="64"/>
      <c r="MMS25" s="64"/>
      <c r="MMT25" s="64"/>
      <c r="MMU25" s="64"/>
      <c r="MMV25" s="64"/>
      <c r="MMW25" s="64"/>
      <c r="MMX25" s="64"/>
      <c r="MMY25" s="64"/>
      <c r="MMZ25" s="64"/>
      <c r="MNA25" s="64"/>
      <c r="MNB25" s="64"/>
      <c r="MNC25" s="64"/>
      <c r="MND25" s="64"/>
      <c r="MNE25" s="64"/>
      <c r="MNF25" s="64"/>
      <c r="MNG25" s="64"/>
      <c r="MNH25" s="64"/>
      <c r="MNI25" s="64"/>
      <c r="MNJ25" s="64"/>
      <c r="MNK25" s="64"/>
      <c r="MNL25" s="64"/>
      <c r="MNM25" s="64"/>
      <c r="MNN25" s="64"/>
      <c r="MNO25" s="64"/>
      <c r="MNP25" s="64"/>
      <c r="MNQ25" s="64"/>
      <c r="MNR25" s="64"/>
      <c r="MNS25" s="64"/>
      <c r="MNT25" s="64"/>
      <c r="MNU25" s="64"/>
      <c r="MNV25" s="64"/>
      <c r="MNW25" s="64"/>
      <c r="MNX25" s="64"/>
      <c r="MNY25" s="64"/>
      <c r="MNZ25" s="64"/>
      <c r="MOA25" s="64"/>
      <c r="MOB25" s="64"/>
      <c r="MOC25" s="64"/>
      <c r="MOD25" s="64"/>
      <c r="MOE25" s="64"/>
      <c r="MOF25" s="64"/>
      <c r="MOG25" s="64"/>
      <c r="MOH25" s="64"/>
      <c r="MOI25" s="64"/>
      <c r="MOJ25" s="64"/>
      <c r="MOK25" s="64"/>
      <c r="MOL25" s="64"/>
      <c r="MOM25" s="64"/>
      <c r="MON25" s="64"/>
      <c r="MOO25" s="64"/>
      <c r="MOP25" s="64"/>
      <c r="MOQ25" s="64"/>
      <c r="MOR25" s="64"/>
      <c r="MOS25" s="64"/>
      <c r="MOT25" s="64"/>
      <c r="MOU25" s="64"/>
      <c r="MOV25" s="64"/>
      <c r="MOW25" s="64"/>
      <c r="MOX25" s="64"/>
      <c r="MOY25" s="64"/>
      <c r="MOZ25" s="64"/>
      <c r="MPA25" s="64"/>
      <c r="MPB25" s="64"/>
      <c r="MPC25" s="64"/>
      <c r="MPD25" s="64"/>
      <c r="MPE25" s="64"/>
      <c r="MPF25" s="64"/>
      <c r="MPG25" s="64"/>
      <c r="MPH25" s="64"/>
      <c r="MPI25" s="64"/>
      <c r="MPJ25" s="64"/>
      <c r="MPK25" s="64"/>
      <c r="MPL25" s="64"/>
      <c r="MPM25" s="64"/>
      <c r="MPN25" s="64"/>
      <c r="MPO25" s="64"/>
      <c r="MPP25" s="64"/>
      <c r="MPQ25" s="64"/>
      <c r="MPR25" s="64"/>
      <c r="MPS25" s="64"/>
      <c r="MPT25" s="64"/>
      <c r="MPU25" s="64"/>
      <c r="MPV25" s="64"/>
      <c r="MPW25" s="64"/>
      <c r="MPX25" s="64"/>
      <c r="MPY25" s="64"/>
      <c r="MPZ25" s="64"/>
      <c r="MQA25" s="64"/>
      <c r="MQB25" s="64"/>
      <c r="MQC25" s="64"/>
      <c r="MQD25" s="64"/>
      <c r="MQE25" s="64"/>
      <c r="MQF25" s="64"/>
      <c r="MQG25" s="64"/>
      <c r="MQH25" s="64"/>
      <c r="MQI25" s="64"/>
      <c r="MQJ25" s="64"/>
      <c r="MQK25" s="64"/>
      <c r="MQL25" s="64"/>
      <c r="MQM25" s="64"/>
      <c r="MQN25" s="64"/>
      <c r="MQO25" s="64"/>
      <c r="MQP25" s="64"/>
      <c r="MQQ25" s="64"/>
      <c r="MQR25" s="64"/>
      <c r="MQS25" s="64"/>
      <c r="MQT25" s="64"/>
      <c r="MQU25" s="64"/>
      <c r="MQV25" s="64"/>
      <c r="MQW25" s="64"/>
      <c r="MQX25" s="64"/>
      <c r="MQY25" s="64"/>
      <c r="MQZ25" s="64"/>
      <c r="MRA25" s="64"/>
      <c r="MRB25" s="64"/>
      <c r="MRC25" s="64"/>
      <c r="MRD25" s="64"/>
      <c r="MRE25" s="64"/>
      <c r="MRF25" s="64"/>
      <c r="MRG25" s="64"/>
      <c r="MRH25" s="64"/>
      <c r="MRI25" s="64"/>
      <c r="MRJ25" s="64"/>
      <c r="MRK25" s="64"/>
      <c r="MRL25" s="64"/>
      <c r="MRM25" s="64"/>
      <c r="MRN25" s="64"/>
      <c r="MRO25" s="64"/>
      <c r="MRP25" s="64"/>
      <c r="MRQ25" s="64"/>
      <c r="MRR25" s="64"/>
      <c r="MRS25" s="64"/>
      <c r="MRT25" s="64"/>
      <c r="MRU25" s="64"/>
      <c r="MRV25" s="64"/>
      <c r="MRW25" s="64"/>
      <c r="MRX25" s="64"/>
      <c r="MRY25" s="64"/>
      <c r="MRZ25" s="64"/>
      <c r="MSA25" s="64"/>
      <c r="MSB25" s="64"/>
      <c r="MSC25" s="64"/>
      <c r="MSD25" s="64"/>
      <c r="MSE25" s="64"/>
      <c r="MSF25" s="64"/>
      <c r="MSG25" s="64"/>
      <c r="MSH25" s="64"/>
      <c r="MSI25" s="64"/>
      <c r="MSJ25" s="64"/>
      <c r="MSK25" s="64"/>
      <c r="MSL25" s="64"/>
      <c r="MSM25" s="64"/>
      <c r="MSN25" s="64"/>
      <c r="MSO25" s="64"/>
      <c r="MSP25" s="64"/>
      <c r="MSQ25" s="64"/>
      <c r="MSR25" s="64"/>
      <c r="MSS25" s="64"/>
      <c r="MST25" s="64"/>
      <c r="MSU25" s="64"/>
      <c r="MSV25" s="64"/>
      <c r="MSW25" s="64"/>
      <c r="MSX25" s="64"/>
      <c r="MSY25" s="64"/>
      <c r="MSZ25" s="64"/>
      <c r="MTA25" s="64"/>
      <c r="MTB25" s="64"/>
      <c r="MTC25" s="64"/>
      <c r="MTD25" s="64"/>
      <c r="MTE25" s="64"/>
      <c r="MTF25" s="64"/>
      <c r="MTG25" s="64"/>
      <c r="MTH25" s="64"/>
      <c r="MTI25" s="64"/>
      <c r="MTJ25" s="64"/>
      <c r="MTK25" s="64"/>
      <c r="MTL25" s="64"/>
      <c r="MTM25" s="64"/>
      <c r="MTN25" s="64"/>
      <c r="MTO25" s="64"/>
      <c r="MTP25" s="64"/>
      <c r="MTQ25" s="64"/>
      <c r="MTR25" s="64"/>
      <c r="MTS25" s="64"/>
      <c r="MTT25" s="64"/>
      <c r="MTU25" s="64"/>
      <c r="MTV25" s="64"/>
      <c r="MTW25" s="64"/>
      <c r="MTX25" s="64"/>
      <c r="MTY25" s="64"/>
      <c r="MTZ25" s="64"/>
      <c r="MUA25" s="64"/>
      <c r="MUB25" s="64"/>
      <c r="MUC25" s="64"/>
      <c r="MUD25" s="64"/>
      <c r="MUE25" s="64"/>
      <c r="MUF25" s="64"/>
      <c r="MUG25" s="64"/>
      <c r="MUH25" s="64"/>
      <c r="MUI25" s="64"/>
      <c r="MUJ25" s="64"/>
      <c r="MUK25" s="64"/>
      <c r="MUL25" s="64"/>
      <c r="MUM25" s="64"/>
      <c r="MUN25" s="64"/>
      <c r="MUO25" s="64"/>
      <c r="MUP25" s="64"/>
      <c r="MUQ25" s="64"/>
      <c r="MUR25" s="64"/>
      <c r="MUS25" s="64"/>
      <c r="MUT25" s="64"/>
      <c r="MUU25" s="64"/>
      <c r="MUV25" s="64"/>
      <c r="MUW25" s="64"/>
      <c r="MUX25" s="64"/>
      <c r="MUY25" s="64"/>
      <c r="MUZ25" s="64"/>
      <c r="MVA25" s="64"/>
      <c r="MVB25" s="64"/>
      <c r="MVC25" s="64"/>
      <c r="MVD25" s="64"/>
      <c r="MVE25" s="64"/>
      <c r="MVF25" s="64"/>
      <c r="MVG25" s="64"/>
      <c r="MVH25" s="64"/>
      <c r="MVI25" s="64"/>
      <c r="MVJ25" s="64"/>
      <c r="MVK25" s="64"/>
      <c r="MVL25" s="64"/>
      <c r="MVM25" s="64"/>
      <c r="MVN25" s="64"/>
      <c r="MVO25" s="64"/>
      <c r="MVP25" s="64"/>
      <c r="MVQ25" s="64"/>
      <c r="MVR25" s="64"/>
      <c r="MVS25" s="64"/>
      <c r="MVT25" s="64"/>
      <c r="MVU25" s="64"/>
      <c r="MVV25" s="64"/>
      <c r="MVW25" s="64"/>
      <c r="MVX25" s="64"/>
      <c r="MVY25" s="64"/>
      <c r="MVZ25" s="64"/>
      <c r="MWA25" s="64"/>
      <c r="MWB25" s="64"/>
      <c r="MWC25" s="64"/>
      <c r="MWD25" s="64"/>
      <c r="MWE25" s="64"/>
      <c r="MWF25" s="64"/>
      <c r="MWG25" s="64"/>
      <c r="MWH25" s="64"/>
      <c r="MWI25" s="64"/>
      <c r="MWJ25" s="64"/>
      <c r="MWK25" s="64"/>
      <c r="MWL25" s="64"/>
      <c r="MWM25" s="64"/>
      <c r="MWN25" s="64"/>
      <c r="MWO25" s="64"/>
      <c r="MWP25" s="64"/>
      <c r="MWQ25" s="64"/>
      <c r="MWR25" s="64"/>
      <c r="MWS25" s="64"/>
      <c r="MWT25" s="64"/>
      <c r="MWU25" s="64"/>
      <c r="MWV25" s="64"/>
      <c r="MWW25" s="64"/>
      <c r="MWX25" s="64"/>
      <c r="MWY25" s="64"/>
      <c r="MWZ25" s="64"/>
      <c r="MXA25" s="64"/>
      <c r="MXB25" s="64"/>
      <c r="MXC25" s="64"/>
      <c r="MXD25" s="64"/>
      <c r="MXE25" s="64"/>
      <c r="MXF25" s="64"/>
      <c r="MXG25" s="64"/>
      <c r="MXH25" s="64"/>
      <c r="MXI25" s="64"/>
      <c r="MXJ25" s="64"/>
      <c r="MXK25" s="64"/>
      <c r="MXL25" s="64"/>
      <c r="MXM25" s="64"/>
      <c r="MXN25" s="64"/>
      <c r="MXO25" s="64"/>
      <c r="MXP25" s="64"/>
      <c r="MXQ25" s="64"/>
      <c r="MXR25" s="64"/>
      <c r="MXS25" s="64"/>
      <c r="MXT25" s="64"/>
      <c r="MXU25" s="64"/>
      <c r="MXV25" s="64"/>
      <c r="MXW25" s="64"/>
      <c r="MXX25" s="64"/>
      <c r="MXY25" s="64"/>
      <c r="MXZ25" s="64"/>
      <c r="MYA25" s="64"/>
      <c r="MYB25" s="64"/>
      <c r="MYC25" s="64"/>
      <c r="MYD25" s="64"/>
      <c r="MYE25" s="64"/>
      <c r="MYF25" s="64"/>
      <c r="MYG25" s="64"/>
      <c r="MYH25" s="64"/>
      <c r="MYI25" s="64"/>
      <c r="MYJ25" s="64"/>
      <c r="MYK25" s="64"/>
      <c r="MYL25" s="64"/>
      <c r="MYM25" s="64"/>
      <c r="MYN25" s="64"/>
      <c r="MYO25" s="64"/>
      <c r="MYP25" s="64"/>
      <c r="MYQ25" s="64"/>
      <c r="MYR25" s="64"/>
      <c r="MYS25" s="64"/>
      <c r="MYT25" s="64"/>
      <c r="MYU25" s="64"/>
      <c r="MYV25" s="64"/>
      <c r="MYW25" s="64"/>
      <c r="MYX25" s="64"/>
      <c r="MYY25" s="64"/>
      <c r="MYZ25" s="64"/>
      <c r="MZA25" s="64"/>
      <c r="MZB25" s="64"/>
      <c r="MZC25" s="64"/>
      <c r="MZD25" s="64"/>
      <c r="MZE25" s="64"/>
      <c r="MZF25" s="64"/>
      <c r="MZG25" s="64"/>
      <c r="MZH25" s="64"/>
      <c r="MZI25" s="64"/>
      <c r="MZJ25" s="64"/>
      <c r="MZK25" s="64"/>
      <c r="MZL25" s="64"/>
      <c r="MZM25" s="64"/>
      <c r="MZN25" s="64"/>
      <c r="MZO25" s="64"/>
      <c r="MZP25" s="64"/>
      <c r="MZQ25" s="64"/>
      <c r="MZR25" s="64"/>
      <c r="MZS25" s="64"/>
      <c r="MZT25" s="64"/>
      <c r="MZU25" s="64"/>
      <c r="MZV25" s="64"/>
      <c r="MZW25" s="64"/>
      <c r="MZX25" s="64"/>
      <c r="MZY25" s="64"/>
      <c r="MZZ25" s="64"/>
      <c r="NAA25" s="64"/>
      <c r="NAB25" s="64"/>
      <c r="NAC25" s="64"/>
      <c r="NAD25" s="64"/>
      <c r="NAE25" s="64"/>
      <c r="NAF25" s="64"/>
      <c r="NAG25" s="64"/>
      <c r="NAH25" s="64"/>
      <c r="NAI25" s="64"/>
      <c r="NAJ25" s="64"/>
      <c r="NAK25" s="64"/>
      <c r="NAL25" s="64"/>
      <c r="NAM25" s="64"/>
      <c r="NAN25" s="64"/>
      <c r="NAO25" s="64"/>
      <c r="NAP25" s="64"/>
      <c r="NAQ25" s="64"/>
      <c r="NAR25" s="64"/>
      <c r="NAS25" s="64"/>
      <c r="NAT25" s="64"/>
      <c r="NAU25" s="64"/>
      <c r="NAV25" s="64"/>
      <c r="NAW25" s="64"/>
      <c r="NAX25" s="64"/>
      <c r="NAY25" s="64"/>
      <c r="NAZ25" s="64"/>
      <c r="NBA25" s="64"/>
      <c r="NBB25" s="64"/>
      <c r="NBC25" s="64"/>
      <c r="NBD25" s="64"/>
      <c r="NBE25" s="64"/>
      <c r="NBF25" s="64"/>
      <c r="NBG25" s="64"/>
      <c r="NBH25" s="64"/>
      <c r="NBI25" s="64"/>
      <c r="NBJ25" s="64"/>
      <c r="NBK25" s="64"/>
      <c r="NBL25" s="64"/>
      <c r="NBM25" s="64"/>
      <c r="NBN25" s="64"/>
      <c r="NBO25" s="64"/>
      <c r="NBP25" s="64"/>
      <c r="NBQ25" s="64"/>
      <c r="NBR25" s="64"/>
      <c r="NBS25" s="64"/>
      <c r="NBT25" s="64"/>
      <c r="NBU25" s="64"/>
      <c r="NBV25" s="64"/>
      <c r="NBW25" s="64"/>
      <c r="NBX25" s="64"/>
      <c r="NBY25" s="64"/>
      <c r="NBZ25" s="64"/>
      <c r="NCA25" s="64"/>
      <c r="NCB25" s="64"/>
      <c r="NCC25" s="64"/>
      <c r="NCD25" s="64"/>
      <c r="NCE25" s="64"/>
      <c r="NCF25" s="64"/>
      <c r="NCG25" s="64"/>
      <c r="NCH25" s="64"/>
      <c r="NCI25" s="64"/>
      <c r="NCJ25" s="64"/>
      <c r="NCK25" s="64"/>
      <c r="NCL25" s="64"/>
      <c r="NCM25" s="64"/>
      <c r="NCN25" s="64"/>
      <c r="NCO25" s="64"/>
      <c r="NCP25" s="64"/>
      <c r="NCQ25" s="64"/>
      <c r="NCR25" s="64"/>
      <c r="NCS25" s="64"/>
      <c r="NCT25" s="64"/>
      <c r="NCU25" s="64"/>
      <c r="NCV25" s="64"/>
      <c r="NCW25" s="64"/>
      <c r="NCX25" s="64"/>
      <c r="NCY25" s="64"/>
      <c r="NCZ25" s="64"/>
      <c r="NDA25" s="64"/>
      <c r="NDB25" s="64"/>
      <c r="NDC25" s="64"/>
      <c r="NDD25" s="64"/>
      <c r="NDE25" s="64"/>
      <c r="NDF25" s="64"/>
      <c r="NDG25" s="64"/>
      <c r="NDH25" s="64"/>
      <c r="NDI25" s="64"/>
      <c r="NDJ25" s="64"/>
      <c r="NDK25" s="64"/>
      <c r="NDL25" s="64"/>
      <c r="NDM25" s="64"/>
      <c r="NDN25" s="64"/>
      <c r="NDO25" s="64"/>
      <c r="NDP25" s="64"/>
      <c r="NDQ25" s="64"/>
      <c r="NDR25" s="64"/>
      <c r="NDS25" s="64"/>
      <c r="NDT25" s="64"/>
      <c r="NDU25" s="64"/>
      <c r="NDV25" s="64"/>
      <c r="NDW25" s="64"/>
      <c r="NDX25" s="64"/>
      <c r="NDY25" s="64"/>
      <c r="NDZ25" s="64"/>
      <c r="NEA25" s="64"/>
      <c r="NEB25" s="64"/>
      <c r="NEC25" s="64"/>
      <c r="NED25" s="64"/>
      <c r="NEE25" s="64"/>
      <c r="NEF25" s="64"/>
      <c r="NEG25" s="64"/>
      <c r="NEH25" s="64"/>
      <c r="NEI25" s="64"/>
      <c r="NEJ25" s="64"/>
      <c r="NEK25" s="64"/>
      <c r="NEL25" s="64"/>
      <c r="NEM25" s="64"/>
      <c r="NEN25" s="64"/>
      <c r="NEO25" s="64"/>
      <c r="NEP25" s="64"/>
      <c r="NEQ25" s="64"/>
      <c r="NER25" s="64"/>
      <c r="NES25" s="64"/>
      <c r="NET25" s="64"/>
      <c r="NEU25" s="64"/>
      <c r="NEV25" s="64"/>
      <c r="NEW25" s="64"/>
      <c r="NEX25" s="64"/>
      <c r="NEY25" s="64"/>
      <c r="NEZ25" s="64"/>
      <c r="NFA25" s="64"/>
      <c r="NFB25" s="64"/>
      <c r="NFC25" s="64"/>
      <c r="NFD25" s="64"/>
      <c r="NFE25" s="64"/>
      <c r="NFF25" s="64"/>
      <c r="NFG25" s="64"/>
      <c r="NFH25" s="64"/>
      <c r="NFI25" s="64"/>
      <c r="NFJ25" s="64"/>
      <c r="NFK25" s="64"/>
      <c r="NFL25" s="64"/>
      <c r="NFM25" s="64"/>
      <c r="NFN25" s="64"/>
      <c r="NFO25" s="64"/>
      <c r="NFP25" s="64"/>
      <c r="NFQ25" s="64"/>
      <c r="NFR25" s="64"/>
      <c r="NFS25" s="64"/>
      <c r="NFT25" s="64"/>
      <c r="NFU25" s="64"/>
      <c r="NFV25" s="64"/>
      <c r="NFW25" s="64"/>
      <c r="NFX25" s="64"/>
      <c r="NFY25" s="64"/>
      <c r="NFZ25" s="64"/>
      <c r="NGA25" s="64"/>
      <c r="NGB25" s="64"/>
      <c r="NGC25" s="64"/>
      <c r="NGD25" s="64"/>
      <c r="NGE25" s="64"/>
      <c r="NGF25" s="64"/>
      <c r="NGG25" s="64"/>
      <c r="NGH25" s="64"/>
      <c r="NGI25" s="64"/>
      <c r="NGJ25" s="64"/>
      <c r="NGK25" s="64"/>
      <c r="NGL25" s="64"/>
      <c r="NGM25" s="64"/>
      <c r="NGN25" s="64"/>
      <c r="NGO25" s="64"/>
      <c r="NGP25" s="64"/>
      <c r="NGQ25" s="64"/>
      <c r="NGR25" s="64"/>
      <c r="NGS25" s="64"/>
      <c r="NGT25" s="64"/>
      <c r="NGU25" s="64"/>
      <c r="NGV25" s="64"/>
      <c r="NGW25" s="64"/>
      <c r="NGX25" s="64"/>
      <c r="NGY25" s="64"/>
      <c r="NGZ25" s="64"/>
      <c r="NHA25" s="64"/>
      <c r="NHB25" s="64"/>
      <c r="NHC25" s="64"/>
      <c r="NHD25" s="64"/>
      <c r="NHE25" s="64"/>
      <c r="NHF25" s="64"/>
      <c r="NHG25" s="64"/>
      <c r="NHH25" s="64"/>
      <c r="NHI25" s="64"/>
      <c r="NHJ25" s="64"/>
      <c r="NHK25" s="64"/>
      <c r="NHL25" s="64"/>
      <c r="NHM25" s="64"/>
      <c r="NHN25" s="64"/>
      <c r="NHO25" s="64"/>
      <c r="NHP25" s="64"/>
      <c r="NHQ25" s="64"/>
      <c r="NHR25" s="64"/>
      <c r="NHS25" s="64"/>
      <c r="NHT25" s="64"/>
      <c r="NHU25" s="64"/>
      <c r="NHV25" s="64"/>
      <c r="NHW25" s="64"/>
      <c r="NHX25" s="64"/>
      <c r="NHY25" s="64"/>
      <c r="NHZ25" s="64"/>
      <c r="NIA25" s="64"/>
      <c r="NIB25" s="64"/>
      <c r="NIC25" s="64"/>
      <c r="NID25" s="64"/>
      <c r="NIE25" s="64"/>
      <c r="NIF25" s="64"/>
      <c r="NIG25" s="64"/>
      <c r="NIH25" s="64"/>
      <c r="NII25" s="64"/>
      <c r="NIJ25" s="64"/>
      <c r="NIK25" s="64"/>
      <c r="NIL25" s="64"/>
      <c r="NIM25" s="64"/>
      <c r="NIN25" s="64"/>
      <c r="NIO25" s="64"/>
      <c r="NIP25" s="64"/>
      <c r="NIQ25" s="64"/>
      <c r="NIR25" s="64"/>
      <c r="NIS25" s="64"/>
      <c r="NIT25" s="64"/>
      <c r="NIU25" s="64"/>
      <c r="NIV25" s="64"/>
      <c r="NIW25" s="64"/>
      <c r="NIX25" s="64"/>
      <c r="NIY25" s="64"/>
      <c r="NIZ25" s="64"/>
      <c r="NJA25" s="64"/>
      <c r="NJB25" s="64"/>
      <c r="NJC25" s="64"/>
      <c r="NJD25" s="64"/>
      <c r="NJE25" s="64"/>
      <c r="NJF25" s="64"/>
      <c r="NJG25" s="64"/>
      <c r="NJH25" s="64"/>
      <c r="NJI25" s="64"/>
      <c r="NJJ25" s="64"/>
      <c r="NJK25" s="64"/>
      <c r="NJL25" s="64"/>
      <c r="NJM25" s="64"/>
      <c r="NJN25" s="64"/>
      <c r="NJO25" s="64"/>
      <c r="NJP25" s="64"/>
      <c r="NJQ25" s="64"/>
      <c r="NJR25" s="64"/>
      <c r="NJS25" s="64"/>
      <c r="NJT25" s="64"/>
      <c r="NJU25" s="64"/>
      <c r="NJV25" s="64"/>
      <c r="NJW25" s="64"/>
      <c r="NJX25" s="64"/>
      <c r="NJY25" s="64"/>
      <c r="NJZ25" s="64"/>
      <c r="NKA25" s="64"/>
      <c r="NKB25" s="64"/>
      <c r="NKC25" s="64"/>
      <c r="NKD25" s="64"/>
      <c r="NKE25" s="64"/>
      <c r="NKF25" s="64"/>
      <c r="NKG25" s="64"/>
      <c r="NKH25" s="64"/>
      <c r="NKI25" s="64"/>
      <c r="NKJ25" s="64"/>
      <c r="NKK25" s="64"/>
      <c r="NKL25" s="64"/>
      <c r="NKM25" s="64"/>
      <c r="NKN25" s="64"/>
      <c r="NKO25" s="64"/>
      <c r="NKP25" s="64"/>
      <c r="NKQ25" s="64"/>
      <c r="NKR25" s="64"/>
      <c r="NKS25" s="64"/>
      <c r="NKT25" s="64"/>
      <c r="NKU25" s="64"/>
      <c r="NKV25" s="64"/>
      <c r="NKW25" s="64"/>
      <c r="NKX25" s="64"/>
      <c r="NKY25" s="64"/>
      <c r="NKZ25" s="64"/>
      <c r="NLA25" s="64"/>
      <c r="NLB25" s="64"/>
      <c r="NLC25" s="64"/>
      <c r="NLD25" s="64"/>
      <c r="NLE25" s="64"/>
      <c r="NLF25" s="64"/>
      <c r="NLG25" s="64"/>
      <c r="NLH25" s="64"/>
      <c r="NLI25" s="64"/>
      <c r="NLJ25" s="64"/>
      <c r="NLK25" s="64"/>
      <c r="NLL25" s="64"/>
      <c r="NLM25" s="64"/>
      <c r="NLN25" s="64"/>
      <c r="NLO25" s="64"/>
      <c r="NLP25" s="64"/>
      <c r="NLQ25" s="64"/>
      <c r="NLR25" s="64"/>
      <c r="NLS25" s="64"/>
      <c r="NLT25" s="64"/>
      <c r="NLU25" s="64"/>
      <c r="NLV25" s="64"/>
      <c r="NLW25" s="64"/>
      <c r="NLX25" s="64"/>
      <c r="NLY25" s="64"/>
      <c r="NLZ25" s="64"/>
      <c r="NMA25" s="64"/>
      <c r="NMB25" s="64"/>
      <c r="NMC25" s="64"/>
      <c r="NMD25" s="64"/>
      <c r="NME25" s="64"/>
      <c r="NMF25" s="64"/>
      <c r="NMG25" s="64"/>
      <c r="NMH25" s="64"/>
      <c r="NMI25" s="64"/>
      <c r="NMJ25" s="64"/>
      <c r="NMK25" s="64"/>
      <c r="NML25" s="64"/>
      <c r="NMM25" s="64"/>
      <c r="NMN25" s="64"/>
      <c r="NMO25" s="64"/>
      <c r="NMP25" s="64"/>
      <c r="NMQ25" s="64"/>
      <c r="NMR25" s="64"/>
      <c r="NMS25" s="64"/>
      <c r="NMT25" s="64"/>
      <c r="NMU25" s="64"/>
      <c r="NMV25" s="64"/>
      <c r="NMW25" s="64"/>
      <c r="NMX25" s="64"/>
      <c r="NMY25" s="64"/>
      <c r="NMZ25" s="64"/>
      <c r="NNA25" s="64"/>
      <c r="NNB25" s="64"/>
      <c r="NNC25" s="64"/>
      <c r="NND25" s="64"/>
      <c r="NNE25" s="64"/>
      <c r="NNF25" s="64"/>
      <c r="NNG25" s="64"/>
      <c r="NNH25" s="64"/>
      <c r="NNI25" s="64"/>
      <c r="NNJ25" s="64"/>
      <c r="NNK25" s="64"/>
      <c r="NNL25" s="64"/>
      <c r="NNM25" s="64"/>
      <c r="NNN25" s="64"/>
      <c r="NNO25" s="64"/>
      <c r="NNP25" s="64"/>
      <c r="NNQ25" s="64"/>
      <c r="NNR25" s="64"/>
      <c r="NNS25" s="64"/>
      <c r="NNT25" s="64"/>
      <c r="NNU25" s="64"/>
      <c r="NNV25" s="64"/>
      <c r="NNW25" s="64"/>
      <c r="NNX25" s="64"/>
      <c r="NNY25" s="64"/>
      <c r="NNZ25" s="64"/>
      <c r="NOA25" s="64"/>
      <c r="NOB25" s="64"/>
      <c r="NOC25" s="64"/>
      <c r="NOD25" s="64"/>
      <c r="NOE25" s="64"/>
      <c r="NOF25" s="64"/>
      <c r="NOG25" s="64"/>
      <c r="NOH25" s="64"/>
      <c r="NOI25" s="64"/>
      <c r="NOJ25" s="64"/>
      <c r="NOK25" s="64"/>
      <c r="NOL25" s="64"/>
      <c r="NOM25" s="64"/>
      <c r="NON25" s="64"/>
      <c r="NOO25" s="64"/>
      <c r="NOP25" s="64"/>
      <c r="NOQ25" s="64"/>
      <c r="NOR25" s="64"/>
      <c r="NOS25" s="64"/>
      <c r="NOT25" s="64"/>
      <c r="NOU25" s="64"/>
      <c r="NOV25" s="64"/>
      <c r="NOW25" s="64"/>
      <c r="NOX25" s="64"/>
      <c r="NOY25" s="64"/>
      <c r="NOZ25" s="64"/>
      <c r="NPA25" s="64"/>
      <c r="NPB25" s="64"/>
      <c r="NPC25" s="64"/>
      <c r="NPD25" s="64"/>
      <c r="NPE25" s="64"/>
      <c r="NPF25" s="64"/>
      <c r="NPG25" s="64"/>
      <c r="NPH25" s="64"/>
      <c r="NPI25" s="64"/>
      <c r="NPJ25" s="64"/>
      <c r="NPK25" s="64"/>
      <c r="NPL25" s="64"/>
      <c r="NPM25" s="64"/>
      <c r="NPN25" s="64"/>
      <c r="NPO25" s="64"/>
      <c r="NPP25" s="64"/>
      <c r="NPQ25" s="64"/>
      <c r="NPR25" s="64"/>
      <c r="NPS25" s="64"/>
      <c r="NPT25" s="64"/>
      <c r="NPU25" s="64"/>
      <c r="NPV25" s="64"/>
      <c r="NPW25" s="64"/>
      <c r="NPX25" s="64"/>
      <c r="NPY25" s="64"/>
      <c r="NPZ25" s="64"/>
      <c r="NQA25" s="64"/>
      <c r="NQB25" s="64"/>
      <c r="NQC25" s="64"/>
      <c r="NQD25" s="64"/>
      <c r="NQE25" s="64"/>
      <c r="NQF25" s="64"/>
      <c r="NQG25" s="64"/>
      <c r="NQH25" s="64"/>
      <c r="NQI25" s="64"/>
      <c r="NQJ25" s="64"/>
      <c r="NQK25" s="64"/>
      <c r="NQL25" s="64"/>
      <c r="NQM25" s="64"/>
      <c r="NQN25" s="64"/>
      <c r="NQO25" s="64"/>
      <c r="NQP25" s="64"/>
      <c r="NQQ25" s="64"/>
      <c r="NQR25" s="64"/>
      <c r="NQS25" s="64"/>
      <c r="NQT25" s="64"/>
      <c r="NQU25" s="64"/>
      <c r="NQV25" s="64"/>
      <c r="NQW25" s="64"/>
      <c r="NQX25" s="64"/>
      <c r="NQY25" s="64"/>
      <c r="NQZ25" s="64"/>
      <c r="NRA25" s="64"/>
      <c r="NRB25" s="64"/>
      <c r="NRC25" s="64"/>
      <c r="NRD25" s="64"/>
      <c r="NRE25" s="64"/>
      <c r="NRF25" s="64"/>
      <c r="NRG25" s="64"/>
      <c r="NRH25" s="64"/>
      <c r="NRI25" s="64"/>
      <c r="NRJ25" s="64"/>
      <c r="NRK25" s="64"/>
      <c r="NRL25" s="64"/>
      <c r="NRM25" s="64"/>
      <c r="NRN25" s="64"/>
      <c r="NRO25" s="64"/>
      <c r="NRP25" s="64"/>
      <c r="NRQ25" s="64"/>
      <c r="NRR25" s="64"/>
      <c r="NRS25" s="64"/>
      <c r="NRT25" s="64"/>
      <c r="NRU25" s="64"/>
      <c r="NRV25" s="64"/>
      <c r="NRW25" s="64"/>
      <c r="NRX25" s="64"/>
      <c r="NRY25" s="64"/>
      <c r="NRZ25" s="64"/>
      <c r="NSA25" s="64"/>
      <c r="NSB25" s="64"/>
      <c r="NSC25" s="64"/>
      <c r="NSD25" s="64"/>
      <c r="NSE25" s="64"/>
      <c r="NSF25" s="64"/>
      <c r="NSG25" s="64"/>
      <c r="NSH25" s="64"/>
      <c r="NSI25" s="64"/>
      <c r="NSJ25" s="64"/>
      <c r="NSK25" s="64"/>
      <c r="NSL25" s="64"/>
      <c r="NSM25" s="64"/>
      <c r="NSN25" s="64"/>
      <c r="NSO25" s="64"/>
      <c r="NSP25" s="64"/>
      <c r="NSQ25" s="64"/>
      <c r="NSR25" s="64"/>
      <c r="NSS25" s="64"/>
      <c r="NST25" s="64"/>
      <c r="NSU25" s="64"/>
      <c r="NSV25" s="64"/>
      <c r="NSW25" s="64"/>
      <c r="NSX25" s="64"/>
      <c r="NSY25" s="64"/>
      <c r="NSZ25" s="64"/>
      <c r="NTA25" s="64"/>
      <c r="NTB25" s="64"/>
      <c r="NTC25" s="64"/>
      <c r="NTD25" s="64"/>
      <c r="NTE25" s="64"/>
      <c r="NTF25" s="64"/>
      <c r="NTG25" s="64"/>
      <c r="NTH25" s="64"/>
      <c r="NTI25" s="64"/>
      <c r="NTJ25" s="64"/>
      <c r="NTK25" s="64"/>
      <c r="NTL25" s="64"/>
      <c r="NTM25" s="64"/>
      <c r="NTN25" s="64"/>
      <c r="NTO25" s="64"/>
      <c r="NTP25" s="64"/>
      <c r="NTQ25" s="64"/>
      <c r="NTR25" s="64"/>
      <c r="NTS25" s="64"/>
      <c r="NTT25" s="64"/>
      <c r="NTU25" s="64"/>
      <c r="NTV25" s="64"/>
      <c r="NTW25" s="64"/>
      <c r="NTX25" s="64"/>
      <c r="NTY25" s="64"/>
      <c r="NTZ25" s="64"/>
      <c r="NUA25" s="64"/>
      <c r="NUB25" s="64"/>
      <c r="NUC25" s="64"/>
      <c r="NUD25" s="64"/>
      <c r="NUE25" s="64"/>
      <c r="NUF25" s="64"/>
      <c r="NUG25" s="64"/>
      <c r="NUH25" s="64"/>
      <c r="NUI25" s="64"/>
      <c r="NUJ25" s="64"/>
      <c r="NUK25" s="64"/>
      <c r="NUL25" s="64"/>
      <c r="NUM25" s="64"/>
      <c r="NUN25" s="64"/>
      <c r="NUO25" s="64"/>
      <c r="NUP25" s="64"/>
      <c r="NUQ25" s="64"/>
      <c r="NUR25" s="64"/>
      <c r="NUS25" s="64"/>
      <c r="NUT25" s="64"/>
      <c r="NUU25" s="64"/>
      <c r="NUV25" s="64"/>
      <c r="NUW25" s="64"/>
      <c r="NUX25" s="64"/>
      <c r="NUY25" s="64"/>
      <c r="NUZ25" s="64"/>
      <c r="NVA25" s="64"/>
      <c r="NVB25" s="64"/>
      <c r="NVC25" s="64"/>
      <c r="NVD25" s="64"/>
      <c r="NVE25" s="64"/>
      <c r="NVF25" s="64"/>
      <c r="NVG25" s="64"/>
      <c r="NVH25" s="64"/>
      <c r="NVI25" s="64"/>
      <c r="NVJ25" s="64"/>
      <c r="NVK25" s="64"/>
      <c r="NVL25" s="64"/>
      <c r="NVM25" s="64"/>
      <c r="NVN25" s="64"/>
      <c r="NVO25" s="64"/>
      <c r="NVP25" s="64"/>
      <c r="NVQ25" s="64"/>
      <c r="NVR25" s="64"/>
      <c r="NVS25" s="64"/>
      <c r="NVT25" s="64"/>
      <c r="NVU25" s="64"/>
      <c r="NVV25" s="64"/>
      <c r="NVW25" s="64"/>
      <c r="NVX25" s="64"/>
      <c r="NVY25" s="64"/>
      <c r="NVZ25" s="64"/>
      <c r="NWA25" s="64"/>
      <c r="NWB25" s="64"/>
      <c r="NWC25" s="64"/>
      <c r="NWD25" s="64"/>
      <c r="NWE25" s="64"/>
      <c r="NWF25" s="64"/>
      <c r="NWG25" s="64"/>
      <c r="NWH25" s="64"/>
      <c r="NWI25" s="64"/>
      <c r="NWJ25" s="64"/>
      <c r="NWK25" s="64"/>
      <c r="NWL25" s="64"/>
      <c r="NWM25" s="64"/>
      <c r="NWN25" s="64"/>
      <c r="NWO25" s="64"/>
      <c r="NWP25" s="64"/>
      <c r="NWQ25" s="64"/>
      <c r="NWR25" s="64"/>
      <c r="NWS25" s="64"/>
      <c r="NWT25" s="64"/>
      <c r="NWU25" s="64"/>
      <c r="NWV25" s="64"/>
      <c r="NWW25" s="64"/>
      <c r="NWX25" s="64"/>
      <c r="NWY25" s="64"/>
      <c r="NWZ25" s="64"/>
      <c r="NXA25" s="64"/>
      <c r="NXB25" s="64"/>
      <c r="NXC25" s="64"/>
      <c r="NXD25" s="64"/>
      <c r="NXE25" s="64"/>
      <c r="NXF25" s="64"/>
      <c r="NXG25" s="64"/>
      <c r="NXH25" s="64"/>
      <c r="NXI25" s="64"/>
      <c r="NXJ25" s="64"/>
      <c r="NXK25" s="64"/>
      <c r="NXL25" s="64"/>
      <c r="NXM25" s="64"/>
      <c r="NXN25" s="64"/>
      <c r="NXO25" s="64"/>
      <c r="NXP25" s="64"/>
      <c r="NXQ25" s="64"/>
      <c r="NXR25" s="64"/>
      <c r="NXS25" s="64"/>
      <c r="NXT25" s="64"/>
      <c r="NXU25" s="64"/>
      <c r="NXV25" s="64"/>
      <c r="NXW25" s="64"/>
      <c r="NXX25" s="64"/>
      <c r="NXY25" s="64"/>
      <c r="NXZ25" s="64"/>
      <c r="NYA25" s="64"/>
      <c r="NYB25" s="64"/>
      <c r="NYC25" s="64"/>
      <c r="NYD25" s="64"/>
      <c r="NYE25" s="64"/>
      <c r="NYF25" s="64"/>
      <c r="NYG25" s="64"/>
      <c r="NYH25" s="64"/>
      <c r="NYI25" s="64"/>
      <c r="NYJ25" s="64"/>
      <c r="NYK25" s="64"/>
      <c r="NYL25" s="64"/>
      <c r="NYM25" s="64"/>
      <c r="NYN25" s="64"/>
      <c r="NYO25" s="64"/>
      <c r="NYP25" s="64"/>
      <c r="NYQ25" s="64"/>
      <c r="NYR25" s="64"/>
      <c r="NYS25" s="64"/>
      <c r="NYT25" s="64"/>
      <c r="NYU25" s="64"/>
      <c r="NYV25" s="64"/>
      <c r="NYW25" s="64"/>
      <c r="NYX25" s="64"/>
      <c r="NYY25" s="64"/>
      <c r="NYZ25" s="64"/>
      <c r="NZA25" s="64"/>
      <c r="NZB25" s="64"/>
      <c r="NZC25" s="64"/>
      <c r="NZD25" s="64"/>
      <c r="NZE25" s="64"/>
      <c r="NZF25" s="64"/>
      <c r="NZG25" s="64"/>
      <c r="NZH25" s="64"/>
      <c r="NZI25" s="64"/>
      <c r="NZJ25" s="64"/>
      <c r="NZK25" s="64"/>
      <c r="NZL25" s="64"/>
      <c r="NZM25" s="64"/>
      <c r="NZN25" s="64"/>
      <c r="NZO25" s="64"/>
      <c r="NZP25" s="64"/>
      <c r="NZQ25" s="64"/>
      <c r="NZR25" s="64"/>
      <c r="NZS25" s="64"/>
      <c r="NZT25" s="64"/>
      <c r="NZU25" s="64"/>
      <c r="NZV25" s="64"/>
      <c r="NZW25" s="64"/>
      <c r="NZX25" s="64"/>
      <c r="NZY25" s="64"/>
      <c r="NZZ25" s="64"/>
      <c r="OAA25" s="64"/>
      <c r="OAB25" s="64"/>
      <c r="OAC25" s="64"/>
      <c r="OAD25" s="64"/>
      <c r="OAE25" s="64"/>
      <c r="OAF25" s="64"/>
      <c r="OAG25" s="64"/>
      <c r="OAH25" s="64"/>
      <c r="OAI25" s="64"/>
      <c r="OAJ25" s="64"/>
      <c r="OAK25" s="64"/>
      <c r="OAL25" s="64"/>
      <c r="OAM25" s="64"/>
      <c r="OAN25" s="64"/>
      <c r="OAO25" s="64"/>
      <c r="OAP25" s="64"/>
      <c r="OAQ25" s="64"/>
      <c r="OAR25" s="64"/>
      <c r="OAS25" s="64"/>
      <c r="OAT25" s="64"/>
      <c r="OAU25" s="64"/>
      <c r="OAV25" s="64"/>
      <c r="OAW25" s="64"/>
      <c r="OAX25" s="64"/>
      <c r="OAY25" s="64"/>
      <c r="OAZ25" s="64"/>
      <c r="OBA25" s="64"/>
      <c r="OBB25" s="64"/>
      <c r="OBC25" s="64"/>
      <c r="OBD25" s="64"/>
      <c r="OBE25" s="64"/>
      <c r="OBF25" s="64"/>
      <c r="OBG25" s="64"/>
      <c r="OBH25" s="64"/>
      <c r="OBI25" s="64"/>
      <c r="OBJ25" s="64"/>
      <c r="OBK25" s="64"/>
      <c r="OBL25" s="64"/>
      <c r="OBM25" s="64"/>
      <c r="OBN25" s="64"/>
      <c r="OBO25" s="64"/>
      <c r="OBP25" s="64"/>
      <c r="OBQ25" s="64"/>
      <c r="OBR25" s="64"/>
      <c r="OBS25" s="64"/>
      <c r="OBT25" s="64"/>
      <c r="OBU25" s="64"/>
      <c r="OBV25" s="64"/>
      <c r="OBW25" s="64"/>
      <c r="OBX25" s="64"/>
      <c r="OBY25" s="64"/>
      <c r="OBZ25" s="64"/>
      <c r="OCA25" s="64"/>
      <c r="OCB25" s="64"/>
      <c r="OCC25" s="64"/>
      <c r="OCD25" s="64"/>
      <c r="OCE25" s="64"/>
      <c r="OCF25" s="64"/>
      <c r="OCG25" s="64"/>
      <c r="OCH25" s="64"/>
      <c r="OCI25" s="64"/>
      <c r="OCJ25" s="64"/>
      <c r="OCK25" s="64"/>
      <c r="OCL25" s="64"/>
      <c r="OCM25" s="64"/>
      <c r="OCN25" s="64"/>
      <c r="OCO25" s="64"/>
      <c r="OCP25" s="64"/>
      <c r="OCQ25" s="64"/>
      <c r="OCR25" s="64"/>
      <c r="OCS25" s="64"/>
      <c r="OCT25" s="64"/>
      <c r="OCU25" s="64"/>
      <c r="OCV25" s="64"/>
      <c r="OCW25" s="64"/>
      <c r="OCX25" s="64"/>
      <c r="OCY25" s="64"/>
      <c r="OCZ25" s="64"/>
      <c r="ODA25" s="64"/>
      <c r="ODB25" s="64"/>
      <c r="ODC25" s="64"/>
      <c r="ODD25" s="64"/>
      <c r="ODE25" s="64"/>
      <c r="ODF25" s="64"/>
      <c r="ODG25" s="64"/>
      <c r="ODH25" s="64"/>
      <c r="ODI25" s="64"/>
      <c r="ODJ25" s="64"/>
      <c r="ODK25" s="64"/>
      <c r="ODL25" s="64"/>
      <c r="ODM25" s="64"/>
      <c r="ODN25" s="64"/>
      <c r="ODO25" s="64"/>
      <c r="ODP25" s="64"/>
      <c r="ODQ25" s="64"/>
      <c r="ODR25" s="64"/>
      <c r="ODS25" s="64"/>
      <c r="ODT25" s="64"/>
      <c r="ODU25" s="64"/>
      <c r="ODV25" s="64"/>
      <c r="ODW25" s="64"/>
      <c r="ODX25" s="64"/>
      <c r="ODY25" s="64"/>
      <c r="ODZ25" s="64"/>
      <c r="OEA25" s="64"/>
      <c r="OEB25" s="64"/>
      <c r="OEC25" s="64"/>
      <c r="OED25" s="64"/>
      <c r="OEE25" s="64"/>
      <c r="OEF25" s="64"/>
      <c r="OEG25" s="64"/>
      <c r="OEH25" s="64"/>
      <c r="OEI25" s="64"/>
      <c r="OEJ25" s="64"/>
      <c r="OEK25" s="64"/>
      <c r="OEL25" s="64"/>
      <c r="OEM25" s="64"/>
      <c r="OEN25" s="64"/>
      <c r="OEO25" s="64"/>
      <c r="OEP25" s="64"/>
      <c r="OEQ25" s="64"/>
      <c r="OER25" s="64"/>
      <c r="OES25" s="64"/>
      <c r="OET25" s="64"/>
      <c r="OEU25" s="64"/>
      <c r="OEV25" s="64"/>
      <c r="OEW25" s="64"/>
      <c r="OEX25" s="64"/>
      <c r="OEY25" s="64"/>
      <c r="OEZ25" s="64"/>
      <c r="OFA25" s="64"/>
      <c r="OFB25" s="64"/>
      <c r="OFC25" s="64"/>
      <c r="OFD25" s="64"/>
      <c r="OFE25" s="64"/>
      <c r="OFF25" s="64"/>
      <c r="OFG25" s="64"/>
      <c r="OFH25" s="64"/>
      <c r="OFI25" s="64"/>
      <c r="OFJ25" s="64"/>
      <c r="OFK25" s="64"/>
      <c r="OFL25" s="64"/>
      <c r="OFM25" s="64"/>
      <c r="OFN25" s="64"/>
      <c r="OFO25" s="64"/>
      <c r="OFP25" s="64"/>
      <c r="OFQ25" s="64"/>
      <c r="OFR25" s="64"/>
      <c r="OFS25" s="64"/>
      <c r="OFT25" s="64"/>
      <c r="OFU25" s="64"/>
      <c r="OFV25" s="64"/>
      <c r="OFW25" s="64"/>
      <c r="OFX25" s="64"/>
      <c r="OFY25" s="64"/>
      <c r="OFZ25" s="64"/>
      <c r="OGA25" s="64"/>
      <c r="OGB25" s="64"/>
      <c r="OGC25" s="64"/>
      <c r="OGD25" s="64"/>
      <c r="OGE25" s="64"/>
      <c r="OGF25" s="64"/>
      <c r="OGG25" s="64"/>
      <c r="OGH25" s="64"/>
      <c r="OGI25" s="64"/>
      <c r="OGJ25" s="64"/>
      <c r="OGK25" s="64"/>
      <c r="OGL25" s="64"/>
      <c r="OGM25" s="64"/>
      <c r="OGN25" s="64"/>
      <c r="OGO25" s="64"/>
      <c r="OGP25" s="64"/>
      <c r="OGQ25" s="64"/>
      <c r="OGR25" s="64"/>
      <c r="OGS25" s="64"/>
      <c r="OGT25" s="64"/>
      <c r="OGU25" s="64"/>
      <c r="OGV25" s="64"/>
      <c r="OGW25" s="64"/>
      <c r="OGX25" s="64"/>
      <c r="OGY25" s="64"/>
      <c r="OGZ25" s="64"/>
      <c r="OHA25" s="64"/>
      <c r="OHB25" s="64"/>
      <c r="OHC25" s="64"/>
      <c r="OHD25" s="64"/>
      <c r="OHE25" s="64"/>
      <c r="OHF25" s="64"/>
      <c r="OHG25" s="64"/>
      <c r="OHH25" s="64"/>
      <c r="OHI25" s="64"/>
      <c r="OHJ25" s="64"/>
      <c r="OHK25" s="64"/>
      <c r="OHL25" s="64"/>
      <c r="OHM25" s="64"/>
      <c r="OHN25" s="64"/>
      <c r="OHO25" s="64"/>
      <c r="OHP25" s="64"/>
      <c r="OHQ25" s="64"/>
      <c r="OHR25" s="64"/>
      <c r="OHS25" s="64"/>
      <c r="OHT25" s="64"/>
      <c r="OHU25" s="64"/>
      <c r="OHV25" s="64"/>
      <c r="OHW25" s="64"/>
      <c r="OHX25" s="64"/>
      <c r="OHY25" s="64"/>
      <c r="OHZ25" s="64"/>
      <c r="OIA25" s="64"/>
      <c r="OIB25" s="64"/>
      <c r="OIC25" s="64"/>
      <c r="OID25" s="64"/>
      <c r="OIE25" s="64"/>
      <c r="OIF25" s="64"/>
      <c r="OIG25" s="64"/>
      <c r="OIH25" s="64"/>
      <c r="OII25" s="64"/>
      <c r="OIJ25" s="64"/>
      <c r="OIK25" s="64"/>
      <c r="OIL25" s="64"/>
      <c r="OIM25" s="64"/>
      <c r="OIN25" s="64"/>
      <c r="OIO25" s="64"/>
      <c r="OIP25" s="64"/>
      <c r="OIQ25" s="64"/>
      <c r="OIR25" s="64"/>
      <c r="OIS25" s="64"/>
      <c r="OIT25" s="64"/>
      <c r="OIU25" s="64"/>
      <c r="OIV25" s="64"/>
      <c r="OIW25" s="64"/>
      <c r="OIX25" s="64"/>
      <c r="OIY25" s="64"/>
      <c r="OIZ25" s="64"/>
      <c r="OJA25" s="64"/>
      <c r="OJB25" s="64"/>
      <c r="OJC25" s="64"/>
      <c r="OJD25" s="64"/>
      <c r="OJE25" s="64"/>
      <c r="OJF25" s="64"/>
      <c r="OJG25" s="64"/>
      <c r="OJH25" s="64"/>
      <c r="OJI25" s="64"/>
      <c r="OJJ25" s="64"/>
      <c r="OJK25" s="64"/>
      <c r="OJL25" s="64"/>
      <c r="OJM25" s="64"/>
      <c r="OJN25" s="64"/>
      <c r="OJO25" s="64"/>
      <c r="OJP25" s="64"/>
      <c r="OJQ25" s="64"/>
      <c r="OJR25" s="64"/>
      <c r="OJS25" s="64"/>
      <c r="OJT25" s="64"/>
      <c r="OJU25" s="64"/>
      <c r="OJV25" s="64"/>
      <c r="OJW25" s="64"/>
      <c r="OJX25" s="64"/>
      <c r="OJY25" s="64"/>
      <c r="OJZ25" s="64"/>
      <c r="OKA25" s="64"/>
      <c r="OKB25" s="64"/>
      <c r="OKC25" s="64"/>
      <c r="OKD25" s="64"/>
      <c r="OKE25" s="64"/>
      <c r="OKF25" s="64"/>
      <c r="OKG25" s="64"/>
      <c r="OKH25" s="64"/>
      <c r="OKI25" s="64"/>
      <c r="OKJ25" s="64"/>
      <c r="OKK25" s="64"/>
      <c r="OKL25" s="64"/>
      <c r="OKM25" s="64"/>
      <c r="OKN25" s="64"/>
      <c r="OKO25" s="64"/>
      <c r="OKP25" s="64"/>
      <c r="OKQ25" s="64"/>
      <c r="OKR25" s="64"/>
      <c r="OKS25" s="64"/>
      <c r="OKT25" s="64"/>
      <c r="OKU25" s="64"/>
      <c r="OKV25" s="64"/>
      <c r="OKW25" s="64"/>
      <c r="OKX25" s="64"/>
      <c r="OKY25" s="64"/>
      <c r="OKZ25" s="64"/>
      <c r="OLA25" s="64"/>
      <c r="OLB25" s="64"/>
      <c r="OLC25" s="64"/>
      <c r="OLD25" s="64"/>
      <c r="OLE25" s="64"/>
      <c r="OLF25" s="64"/>
      <c r="OLG25" s="64"/>
      <c r="OLH25" s="64"/>
      <c r="OLI25" s="64"/>
      <c r="OLJ25" s="64"/>
      <c r="OLK25" s="64"/>
      <c r="OLL25" s="64"/>
      <c r="OLM25" s="64"/>
      <c r="OLN25" s="64"/>
      <c r="OLO25" s="64"/>
      <c r="OLP25" s="64"/>
      <c r="OLQ25" s="64"/>
      <c r="OLR25" s="64"/>
      <c r="OLS25" s="64"/>
      <c r="OLT25" s="64"/>
      <c r="OLU25" s="64"/>
      <c r="OLV25" s="64"/>
      <c r="OLW25" s="64"/>
      <c r="OLX25" s="64"/>
      <c r="OLY25" s="64"/>
      <c r="OLZ25" s="64"/>
      <c r="OMA25" s="64"/>
      <c r="OMB25" s="64"/>
      <c r="OMC25" s="64"/>
      <c r="OMD25" s="64"/>
      <c r="OME25" s="64"/>
      <c r="OMF25" s="64"/>
      <c r="OMG25" s="64"/>
      <c r="OMH25" s="64"/>
      <c r="OMI25" s="64"/>
      <c r="OMJ25" s="64"/>
      <c r="OMK25" s="64"/>
      <c r="OML25" s="64"/>
      <c r="OMM25" s="64"/>
      <c r="OMN25" s="64"/>
      <c r="OMO25" s="64"/>
      <c r="OMP25" s="64"/>
      <c r="OMQ25" s="64"/>
      <c r="OMR25" s="64"/>
      <c r="OMS25" s="64"/>
      <c r="OMT25" s="64"/>
      <c r="OMU25" s="64"/>
      <c r="OMV25" s="64"/>
      <c r="OMW25" s="64"/>
      <c r="OMX25" s="64"/>
      <c r="OMY25" s="64"/>
      <c r="OMZ25" s="64"/>
      <c r="ONA25" s="64"/>
      <c r="ONB25" s="64"/>
      <c r="ONC25" s="64"/>
      <c r="OND25" s="64"/>
      <c r="ONE25" s="64"/>
      <c r="ONF25" s="64"/>
      <c r="ONG25" s="64"/>
      <c r="ONH25" s="64"/>
      <c r="ONI25" s="64"/>
      <c r="ONJ25" s="64"/>
      <c r="ONK25" s="64"/>
      <c r="ONL25" s="64"/>
      <c r="ONM25" s="64"/>
      <c r="ONN25" s="64"/>
      <c r="ONO25" s="64"/>
      <c r="ONP25" s="64"/>
      <c r="ONQ25" s="64"/>
      <c r="ONR25" s="64"/>
      <c r="ONS25" s="64"/>
      <c r="ONT25" s="64"/>
      <c r="ONU25" s="64"/>
      <c r="ONV25" s="64"/>
      <c r="ONW25" s="64"/>
      <c r="ONX25" s="64"/>
      <c r="ONY25" s="64"/>
      <c r="ONZ25" s="64"/>
      <c r="OOA25" s="64"/>
      <c r="OOB25" s="64"/>
      <c r="OOC25" s="64"/>
      <c r="OOD25" s="64"/>
      <c r="OOE25" s="64"/>
      <c r="OOF25" s="64"/>
      <c r="OOG25" s="64"/>
      <c r="OOH25" s="64"/>
      <c r="OOI25" s="64"/>
      <c r="OOJ25" s="64"/>
      <c r="OOK25" s="64"/>
      <c r="OOL25" s="64"/>
      <c r="OOM25" s="64"/>
      <c r="OON25" s="64"/>
      <c r="OOO25" s="64"/>
      <c r="OOP25" s="64"/>
      <c r="OOQ25" s="64"/>
      <c r="OOR25" s="64"/>
      <c r="OOS25" s="64"/>
      <c r="OOT25" s="64"/>
      <c r="OOU25" s="64"/>
      <c r="OOV25" s="64"/>
      <c r="OOW25" s="64"/>
      <c r="OOX25" s="64"/>
      <c r="OOY25" s="64"/>
      <c r="OOZ25" s="64"/>
      <c r="OPA25" s="64"/>
      <c r="OPB25" s="64"/>
      <c r="OPC25" s="64"/>
      <c r="OPD25" s="64"/>
      <c r="OPE25" s="64"/>
      <c r="OPF25" s="64"/>
      <c r="OPG25" s="64"/>
      <c r="OPH25" s="64"/>
      <c r="OPI25" s="64"/>
      <c r="OPJ25" s="64"/>
      <c r="OPK25" s="64"/>
      <c r="OPL25" s="64"/>
      <c r="OPM25" s="64"/>
      <c r="OPN25" s="64"/>
      <c r="OPO25" s="64"/>
      <c r="OPP25" s="64"/>
      <c r="OPQ25" s="64"/>
      <c r="OPR25" s="64"/>
      <c r="OPS25" s="64"/>
      <c r="OPT25" s="64"/>
      <c r="OPU25" s="64"/>
      <c r="OPV25" s="64"/>
      <c r="OPW25" s="64"/>
      <c r="OPX25" s="64"/>
      <c r="OPY25" s="64"/>
      <c r="OPZ25" s="64"/>
      <c r="OQA25" s="64"/>
      <c r="OQB25" s="64"/>
      <c r="OQC25" s="64"/>
      <c r="OQD25" s="64"/>
      <c r="OQE25" s="64"/>
      <c r="OQF25" s="64"/>
      <c r="OQG25" s="64"/>
      <c r="OQH25" s="64"/>
      <c r="OQI25" s="64"/>
      <c r="OQJ25" s="64"/>
      <c r="OQK25" s="64"/>
      <c r="OQL25" s="64"/>
      <c r="OQM25" s="64"/>
      <c r="OQN25" s="64"/>
      <c r="OQO25" s="64"/>
      <c r="OQP25" s="64"/>
      <c r="OQQ25" s="64"/>
      <c r="OQR25" s="64"/>
      <c r="OQS25" s="64"/>
      <c r="OQT25" s="64"/>
      <c r="OQU25" s="64"/>
      <c r="OQV25" s="64"/>
      <c r="OQW25" s="64"/>
      <c r="OQX25" s="64"/>
      <c r="OQY25" s="64"/>
      <c r="OQZ25" s="64"/>
      <c r="ORA25" s="64"/>
      <c r="ORB25" s="64"/>
      <c r="ORC25" s="64"/>
      <c r="ORD25" s="64"/>
      <c r="ORE25" s="64"/>
      <c r="ORF25" s="64"/>
      <c r="ORG25" s="64"/>
      <c r="ORH25" s="64"/>
      <c r="ORI25" s="64"/>
      <c r="ORJ25" s="64"/>
      <c r="ORK25" s="64"/>
      <c r="ORL25" s="64"/>
      <c r="ORM25" s="64"/>
      <c r="ORN25" s="64"/>
      <c r="ORO25" s="64"/>
      <c r="ORP25" s="64"/>
      <c r="ORQ25" s="64"/>
      <c r="ORR25" s="64"/>
      <c r="ORS25" s="64"/>
      <c r="ORT25" s="64"/>
      <c r="ORU25" s="64"/>
      <c r="ORV25" s="64"/>
      <c r="ORW25" s="64"/>
      <c r="ORX25" s="64"/>
      <c r="ORY25" s="64"/>
      <c r="ORZ25" s="64"/>
      <c r="OSA25" s="64"/>
      <c r="OSB25" s="64"/>
      <c r="OSC25" s="64"/>
      <c r="OSD25" s="64"/>
      <c r="OSE25" s="64"/>
      <c r="OSF25" s="64"/>
      <c r="OSG25" s="64"/>
      <c r="OSH25" s="64"/>
      <c r="OSI25" s="64"/>
      <c r="OSJ25" s="64"/>
      <c r="OSK25" s="64"/>
      <c r="OSL25" s="64"/>
      <c r="OSM25" s="64"/>
      <c r="OSN25" s="64"/>
      <c r="OSO25" s="64"/>
      <c r="OSP25" s="64"/>
      <c r="OSQ25" s="64"/>
      <c r="OSR25" s="64"/>
      <c r="OSS25" s="64"/>
      <c r="OST25" s="64"/>
      <c r="OSU25" s="64"/>
      <c r="OSV25" s="64"/>
      <c r="OSW25" s="64"/>
      <c r="OSX25" s="64"/>
      <c r="OSY25" s="64"/>
      <c r="OSZ25" s="64"/>
      <c r="OTA25" s="64"/>
      <c r="OTB25" s="64"/>
      <c r="OTC25" s="64"/>
      <c r="OTD25" s="64"/>
      <c r="OTE25" s="64"/>
      <c r="OTF25" s="64"/>
      <c r="OTG25" s="64"/>
      <c r="OTH25" s="64"/>
      <c r="OTI25" s="64"/>
      <c r="OTJ25" s="64"/>
      <c r="OTK25" s="64"/>
      <c r="OTL25" s="64"/>
      <c r="OTM25" s="64"/>
      <c r="OTN25" s="64"/>
      <c r="OTO25" s="64"/>
      <c r="OTP25" s="64"/>
      <c r="OTQ25" s="64"/>
      <c r="OTR25" s="64"/>
      <c r="OTS25" s="64"/>
      <c r="OTT25" s="64"/>
      <c r="OTU25" s="64"/>
      <c r="OTV25" s="64"/>
      <c r="OTW25" s="64"/>
      <c r="OTX25" s="64"/>
      <c r="OTY25" s="64"/>
      <c r="OTZ25" s="64"/>
      <c r="OUA25" s="64"/>
      <c r="OUB25" s="64"/>
      <c r="OUC25" s="64"/>
      <c r="OUD25" s="64"/>
      <c r="OUE25" s="64"/>
      <c r="OUF25" s="64"/>
      <c r="OUG25" s="64"/>
      <c r="OUH25" s="64"/>
      <c r="OUI25" s="64"/>
      <c r="OUJ25" s="64"/>
      <c r="OUK25" s="64"/>
      <c r="OUL25" s="64"/>
      <c r="OUM25" s="64"/>
      <c r="OUN25" s="64"/>
      <c r="OUO25" s="64"/>
      <c r="OUP25" s="64"/>
      <c r="OUQ25" s="64"/>
      <c r="OUR25" s="64"/>
      <c r="OUS25" s="64"/>
      <c r="OUT25" s="64"/>
      <c r="OUU25" s="64"/>
      <c r="OUV25" s="64"/>
      <c r="OUW25" s="64"/>
      <c r="OUX25" s="64"/>
      <c r="OUY25" s="64"/>
      <c r="OUZ25" s="64"/>
      <c r="OVA25" s="64"/>
      <c r="OVB25" s="64"/>
      <c r="OVC25" s="64"/>
      <c r="OVD25" s="64"/>
      <c r="OVE25" s="64"/>
      <c r="OVF25" s="64"/>
      <c r="OVG25" s="64"/>
      <c r="OVH25" s="64"/>
      <c r="OVI25" s="64"/>
      <c r="OVJ25" s="64"/>
      <c r="OVK25" s="64"/>
      <c r="OVL25" s="64"/>
      <c r="OVM25" s="64"/>
      <c r="OVN25" s="64"/>
      <c r="OVO25" s="64"/>
      <c r="OVP25" s="64"/>
      <c r="OVQ25" s="64"/>
      <c r="OVR25" s="64"/>
      <c r="OVS25" s="64"/>
      <c r="OVT25" s="64"/>
      <c r="OVU25" s="64"/>
      <c r="OVV25" s="64"/>
      <c r="OVW25" s="64"/>
      <c r="OVX25" s="64"/>
      <c r="OVY25" s="64"/>
      <c r="OVZ25" s="64"/>
      <c r="OWA25" s="64"/>
      <c r="OWB25" s="64"/>
      <c r="OWC25" s="64"/>
      <c r="OWD25" s="64"/>
      <c r="OWE25" s="64"/>
      <c r="OWF25" s="64"/>
      <c r="OWG25" s="64"/>
      <c r="OWH25" s="64"/>
      <c r="OWI25" s="64"/>
      <c r="OWJ25" s="64"/>
      <c r="OWK25" s="64"/>
      <c r="OWL25" s="64"/>
      <c r="OWM25" s="64"/>
      <c r="OWN25" s="64"/>
      <c r="OWO25" s="64"/>
      <c r="OWP25" s="64"/>
      <c r="OWQ25" s="64"/>
      <c r="OWR25" s="64"/>
      <c r="OWS25" s="64"/>
      <c r="OWT25" s="64"/>
      <c r="OWU25" s="64"/>
      <c r="OWV25" s="64"/>
      <c r="OWW25" s="64"/>
      <c r="OWX25" s="64"/>
      <c r="OWY25" s="64"/>
      <c r="OWZ25" s="64"/>
      <c r="OXA25" s="64"/>
      <c r="OXB25" s="64"/>
      <c r="OXC25" s="64"/>
      <c r="OXD25" s="64"/>
      <c r="OXE25" s="64"/>
      <c r="OXF25" s="64"/>
      <c r="OXG25" s="64"/>
      <c r="OXH25" s="64"/>
      <c r="OXI25" s="64"/>
      <c r="OXJ25" s="64"/>
      <c r="OXK25" s="64"/>
      <c r="OXL25" s="64"/>
      <c r="OXM25" s="64"/>
      <c r="OXN25" s="64"/>
      <c r="OXO25" s="64"/>
      <c r="OXP25" s="64"/>
      <c r="OXQ25" s="64"/>
      <c r="OXR25" s="64"/>
      <c r="OXS25" s="64"/>
      <c r="OXT25" s="64"/>
      <c r="OXU25" s="64"/>
      <c r="OXV25" s="64"/>
      <c r="OXW25" s="64"/>
      <c r="OXX25" s="64"/>
      <c r="OXY25" s="64"/>
      <c r="OXZ25" s="64"/>
      <c r="OYA25" s="64"/>
      <c r="OYB25" s="64"/>
      <c r="OYC25" s="64"/>
      <c r="OYD25" s="64"/>
      <c r="OYE25" s="64"/>
      <c r="OYF25" s="64"/>
      <c r="OYG25" s="64"/>
      <c r="OYH25" s="64"/>
      <c r="OYI25" s="64"/>
      <c r="OYJ25" s="64"/>
      <c r="OYK25" s="64"/>
      <c r="OYL25" s="64"/>
      <c r="OYM25" s="64"/>
      <c r="OYN25" s="64"/>
      <c r="OYO25" s="64"/>
      <c r="OYP25" s="64"/>
      <c r="OYQ25" s="64"/>
      <c r="OYR25" s="64"/>
      <c r="OYS25" s="64"/>
      <c r="OYT25" s="64"/>
      <c r="OYU25" s="64"/>
      <c r="OYV25" s="64"/>
      <c r="OYW25" s="64"/>
      <c r="OYX25" s="64"/>
      <c r="OYY25" s="64"/>
      <c r="OYZ25" s="64"/>
      <c r="OZA25" s="64"/>
      <c r="OZB25" s="64"/>
      <c r="OZC25" s="64"/>
      <c r="OZD25" s="64"/>
      <c r="OZE25" s="64"/>
      <c r="OZF25" s="64"/>
      <c r="OZG25" s="64"/>
      <c r="OZH25" s="64"/>
      <c r="OZI25" s="64"/>
      <c r="OZJ25" s="64"/>
      <c r="OZK25" s="64"/>
      <c r="OZL25" s="64"/>
      <c r="OZM25" s="64"/>
      <c r="OZN25" s="64"/>
      <c r="OZO25" s="64"/>
      <c r="OZP25" s="64"/>
      <c r="OZQ25" s="64"/>
      <c r="OZR25" s="64"/>
      <c r="OZS25" s="64"/>
      <c r="OZT25" s="64"/>
      <c r="OZU25" s="64"/>
      <c r="OZV25" s="64"/>
      <c r="OZW25" s="64"/>
      <c r="OZX25" s="64"/>
      <c r="OZY25" s="64"/>
      <c r="OZZ25" s="64"/>
      <c r="PAA25" s="64"/>
      <c r="PAB25" s="64"/>
      <c r="PAC25" s="64"/>
      <c r="PAD25" s="64"/>
      <c r="PAE25" s="64"/>
      <c r="PAF25" s="64"/>
      <c r="PAG25" s="64"/>
      <c r="PAH25" s="64"/>
      <c r="PAI25" s="64"/>
      <c r="PAJ25" s="64"/>
      <c r="PAK25" s="64"/>
      <c r="PAL25" s="64"/>
      <c r="PAM25" s="64"/>
      <c r="PAN25" s="64"/>
      <c r="PAO25" s="64"/>
      <c r="PAP25" s="64"/>
      <c r="PAQ25" s="64"/>
      <c r="PAR25" s="64"/>
      <c r="PAS25" s="64"/>
      <c r="PAT25" s="64"/>
      <c r="PAU25" s="64"/>
      <c r="PAV25" s="64"/>
      <c r="PAW25" s="64"/>
      <c r="PAX25" s="64"/>
      <c r="PAY25" s="64"/>
      <c r="PAZ25" s="64"/>
      <c r="PBA25" s="64"/>
      <c r="PBB25" s="64"/>
      <c r="PBC25" s="64"/>
      <c r="PBD25" s="64"/>
      <c r="PBE25" s="64"/>
      <c r="PBF25" s="64"/>
      <c r="PBG25" s="64"/>
      <c r="PBH25" s="64"/>
      <c r="PBI25" s="64"/>
      <c r="PBJ25" s="64"/>
      <c r="PBK25" s="64"/>
      <c r="PBL25" s="64"/>
      <c r="PBM25" s="64"/>
      <c r="PBN25" s="64"/>
      <c r="PBO25" s="64"/>
      <c r="PBP25" s="64"/>
      <c r="PBQ25" s="64"/>
      <c r="PBR25" s="64"/>
      <c r="PBS25" s="64"/>
      <c r="PBT25" s="64"/>
      <c r="PBU25" s="64"/>
      <c r="PBV25" s="64"/>
      <c r="PBW25" s="64"/>
      <c r="PBX25" s="64"/>
      <c r="PBY25" s="64"/>
      <c r="PBZ25" s="64"/>
      <c r="PCA25" s="64"/>
      <c r="PCB25" s="64"/>
      <c r="PCC25" s="64"/>
      <c r="PCD25" s="64"/>
      <c r="PCE25" s="64"/>
      <c r="PCF25" s="64"/>
      <c r="PCG25" s="64"/>
      <c r="PCH25" s="64"/>
      <c r="PCI25" s="64"/>
      <c r="PCJ25" s="64"/>
      <c r="PCK25" s="64"/>
      <c r="PCL25" s="64"/>
      <c r="PCM25" s="64"/>
      <c r="PCN25" s="64"/>
      <c r="PCO25" s="64"/>
      <c r="PCP25" s="64"/>
      <c r="PCQ25" s="64"/>
      <c r="PCR25" s="64"/>
      <c r="PCS25" s="64"/>
      <c r="PCT25" s="64"/>
      <c r="PCU25" s="64"/>
      <c r="PCV25" s="64"/>
      <c r="PCW25" s="64"/>
      <c r="PCX25" s="64"/>
      <c r="PCY25" s="64"/>
      <c r="PCZ25" s="64"/>
      <c r="PDA25" s="64"/>
      <c r="PDB25" s="64"/>
      <c r="PDC25" s="64"/>
      <c r="PDD25" s="64"/>
      <c r="PDE25" s="64"/>
      <c r="PDF25" s="64"/>
      <c r="PDG25" s="64"/>
      <c r="PDH25" s="64"/>
      <c r="PDI25" s="64"/>
      <c r="PDJ25" s="64"/>
      <c r="PDK25" s="64"/>
      <c r="PDL25" s="64"/>
      <c r="PDM25" s="64"/>
      <c r="PDN25" s="64"/>
      <c r="PDO25" s="64"/>
      <c r="PDP25" s="64"/>
      <c r="PDQ25" s="64"/>
      <c r="PDR25" s="64"/>
      <c r="PDS25" s="64"/>
      <c r="PDT25" s="64"/>
      <c r="PDU25" s="64"/>
      <c r="PDV25" s="64"/>
      <c r="PDW25" s="64"/>
      <c r="PDX25" s="64"/>
      <c r="PDY25" s="64"/>
      <c r="PDZ25" s="64"/>
      <c r="PEA25" s="64"/>
      <c r="PEB25" s="64"/>
      <c r="PEC25" s="64"/>
      <c r="PED25" s="64"/>
      <c r="PEE25" s="64"/>
      <c r="PEF25" s="64"/>
      <c r="PEG25" s="64"/>
      <c r="PEH25" s="64"/>
      <c r="PEI25" s="64"/>
      <c r="PEJ25" s="64"/>
      <c r="PEK25" s="64"/>
      <c r="PEL25" s="64"/>
      <c r="PEM25" s="64"/>
      <c r="PEN25" s="64"/>
      <c r="PEO25" s="64"/>
      <c r="PEP25" s="64"/>
      <c r="PEQ25" s="64"/>
      <c r="PER25" s="64"/>
      <c r="PES25" s="64"/>
      <c r="PET25" s="64"/>
      <c r="PEU25" s="64"/>
      <c r="PEV25" s="64"/>
      <c r="PEW25" s="64"/>
      <c r="PEX25" s="64"/>
      <c r="PEY25" s="64"/>
      <c r="PEZ25" s="64"/>
      <c r="PFA25" s="64"/>
      <c r="PFB25" s="64"/>
      <c r="PFC25" s="64"/>
      <c r="PFD25" s="64"/>
      <c r="PFE25" s="64"/>
      <c r="PFF25" s="64"/>
      <c r="PFG25" s="64"/>
      <c r="PFH25" s="64"/>
      <c r="PFI25" s="64"/>
      <c r="PFJ25" s="64"/>
      <c r="PFK25" s="64"/>
      <c r="PFL25" s="64"/>
      <c r="PFM25" s="64"/>
      <c r="PFN25" s="64"/>
      <c r="PFO25" s="64"/>
      <c r="PFP25" s="64"/>
      <c r="PFQ25" s="64"/>
      <c r="PFR25" s="64"/>
      <c r="PFS25" s="64"/>
      <c r="PFT25" s="64"/>
      <c r="PFU25" s="64"/>
      <c r="PFV25" s="64"/>
      <c r="PFW25" s="64"/>
      <c r="PFX25" s="64"/>
      <c r="PFY25" s="64"/>
      <c r="PFZ25" s="64"/>
      <c r="PGA25" s="64"/>
      <c r="PGB25" s="64"/>
      <c r="PGC25" s="64"/>
      <c r="PGD25" s="64"/>
      <c r="PGE25" s="64"/>
      <c r="PGF25" s="64"/>
      <c r="PGG25" s="64"/>
      <c r="PGH25" s="64"/>
      <c r="PGI25" s="64"/>
      <c r="PGJ25" s="64"/>
      <c r="PGK25" s="64"/>
      <c r="PGL25" s="64"/>
      <c r="PGM25" s="64"/>
      <c r="PGN25" s="64"/>
      <c r="PGO25" s="64"/>
      <c r="PGP25" s="64"/>
      <c r="PGQ25" s="64"/>
      <c r="PGR25" s="64"/>
      <c r="PGS25" s="64"/>
      <c r="PGT25" s="64"/>
      <c r="PGU25" s="64"/>
      <c r="PGV25" s="64"/>
      <c r="PGW25" s="64"/>
      <c r="PGX25" s="64"/>
      <c r="PGY25" s="64"/>
      <c r="PGZ25" s="64"/>
      <c r="PHA25" s="64"/>
      <c r="PHB25" s="64"/>
      <c r="PHC25" s="64"/>
      <c r="PHD25" s="64"/>
      <c r="PHE25" s="64"/>
      <c r="PHF25" s="64"/>
      <c r="PHG25" s="64"/>
      <c r="PHH25" s="64"/>
      <c r="PHI25" s="64"/>
      <c r="PHJ25" s="64"/>
      <c r="PHK25" s="64"/>
      <c r="PHL25" s="64"/>
      <c r="PHM25" s="64"/>
      <c r="PHN25" s="64"/>
      <c r="PHO25" s="64"/>
      <c r="PHP25" s="64"/>
      <c r="PHQ25" s="64"/>
      <c r="PHR25" s="64"/>
      <c r="PHS25" s="64"/>
      <c r="PHT25" s="64"/>
      <c r="PHU25" s="64"/>
      <c r="PHV25" s="64"/>
      <c r="PHW25" s="64"/>
      <c r="PHX25" s="64"/>
      <c r="PHY25" s="64"/>
      <c r="PHZ25" s="64"/>
      <c r="PIA25" s="64"/>
      <c r="PIB25" s="64"/>
      <c r="PIC25" s="64"/>
      <c r="PID25" s="64"/>
      <c r="PIE25" s="64"/>
      <c r="PIF25" s="64"/>
      <c r="PIG25" s="64"/>
      <c r="PIH25" s="64"/>
      <c r="PII25" s="64"/>
      <c r="PIJ25" s="64"/>
      <c r="PIK25" s="64"/>
      <c r="PIL25" s="64"/>
      <c r="PIM25" s="64"/>
      <c r="PIN25" s="64"/>
      <c r="PIO25" s="64"/>
      <c r="PIP25" s="64"/>
      <c r="PIQ25" s="64"/>
      <c r="PIR25" s="64"/>
      <c r="PIS25" s="64"/>
      <c r="PIT25" s="64"/>
      <c r="PIU25" s="64"/>
      <c r="PIV25" s="64"/>
      <c r="PIW25" s="64"/>
      <c r="PIX25" s="64"/>
      <c r="PIY25" s="64"/>
      <c r="PIZ25" s="64"/>
      <c r="PJA25" s="64"/>
      <c r="PJB25" s="64"/>
      <c r="PJC25" s="64"/>
      <c r="PJD25" s="64"/>
      <c r="PJE25" s="64"/>
      <c r="PJF25" s="64"/>
      <c r="PJG25" s="64"/>
      <c r="PJH25" s="64"/>
      <c r="PJI25" s="64"/>
      <c r="PJJ25" s="64"/>
      <c r="PJK25" s="64"/>
      <c r="PJL25" s="64"/>
      <c r="PJM25" s="64"/>
      <c r="PJN25" s="64"/>
      <c r="PJO25" s="64"/>
      <c r="PJP25" s="64"/>
      <c r="PJQ25" s="64"/>
      <c r="PJR25" s="64"/>
      <c r="PJS25" s="64"/>
      <c r="PJT25" s="64"/>
      <c r="PJU25" s="64"/>
      <c r="PJV25" s="64"/>
      <c r="PJW25" s="64"/>
      <c r="PJX25" s="64"/>
      <c r="PJY25" s="64"/>
      <c r="PJZ25" s="64"/>
      <c r="PKA25" s="64"/>
      <c r="PKB25" s="64"/>
      <c r="PKC25" s="64"/>
      <c r="PKD25" s="64"/>
      <c r="PKE25" s="64"/>
      <c r="PKF25" s="64"/>
      <c r="PKG25" s="64"/>
      <c r="PKH25" s="64"/>
      <c r="PKI25" s="64"/>
      <c r="PKJ25" s="64"/>
      <c r="PKK25" s="64"/>
      <c r="PKL25" s="64"/>
      <c r="PKM25" s="64"/>
      <c r="PKN25" s="64"/>
      <c r="PKO25" s="64"/>
      <c r="PKP25" s="64"/>
      <c r="PKQ25" s="64"/>
      <c r="PKR25" s="64"/>
      <c r="PKS25" s="64"/>
      <c r="PKT25" s="64"/>
      <c r="PKU25" s="64"/>
      <c r="PKV25" s="64"/>
      <c r="PKW25" s="64"/>
      <c r="PKX25" s="64"/>
      <c r="PKY25" s="64"/>
      <c r="PKZ25" s="64"/>
      <c r="PLA25" s="64"/>
      <c r="PLB25" s="64"/>
      <c r="PLC25" s="64"/>
      <c r="PLD25" s="64"/>
      <c r="PLE25" s="64"/>
      <c r="PLF25" s="64"/>
      <c r="PLG25" s="64"/>
      <c r="PLH25" s="64"/>
      <c r="PLI25" s="64"/>
      <c r="PLJ25" s="64"/>
      <c r="PLK25" s="64"/>
      <c r="PLL25" s="64"/>
      <c r="PLM25" s="64"/>
      <c r="PLN25" s="64"/>
      <c r="PLO25" s="64"/>
      <c r="PLP25" s="64"/>
      <c r="PLQ25" s="64"/>
      <c r="PLR25" s="64"/>
      <c r="PLS25" s="64"/>
      <c r="PLT25" s="64"/>
      <c r="PLU25" s="64"/>
      <c r="PLV25" s="64"/>
      <c r="PLW25" s="64"/>
      <c r="PLX25" s="64"/>
      <c r="PLY25" s="64"/>
      <c r="PLZ25" s="64"/>
      <c r="PMA25" s="64"/>
      <c r="PMB25" s="64"/>
      <c r="PMC25" s="64"/>
      <c r="PMD25" s="64"/>
      <c r="PME25" s="64"/>
      <c r="PMF25" s="64"/>
      <c r="PMG25" s="64"/>
      <c r="PMH25" s="64"/>
      <c r="PMI25" s="64"/>
      <c r="PMJ25" s="64"/>
      <c r="PMK25" s="64"/>
      <c r="PML25" s="64"/>
      <c r="PMM25" s="64"/>
      <c r="PMN25" s="64"/>
      <c r="PMO25" s="64"/>
      <c r="PMP25" s="64"/>
      <c r="PMQ25" s="64"/>
      <c r="PMR25" s="64"/>
      <c r="PMS25" s="64"/>
      <c r="PMT25" s="64"/>
      <c r="PMU25" s="64"/>
      <c r="PMV25" s="64"/>
      <c r="PMW25" s="64"/>
      <c r="PMX25" s="64"/>
      <c r="PMY25" s="64"/>
      <c r="PMZ25" s="64"/>
      <c r="PNA25" s="64"/>
      <c r="PNB25" s="64"/>
      <c r="PNC25" s="64"/>
      <c r="PND25" s="64"/>
      <c r="PNE25" s="64"/>
      <c r="PNF25" s="64"/>
      <c r="PNG25" s="64"/>
      <c r="PNH25" s="64"/>
      <c r="PNI25" s="64"/>
      <c r="PNJ25" s="64"/>
      <c r="PNK25" s="64"/>
      <c r="PNL25" s="64"/>
      <c r="PNM25" s="64"/>
      <c r="PNN25" s="64"/>
      <c r="PNO25" s="64"/>
      <c r="PNP25" s="64"/>
      <c r="PNQ25" s="64"/>
      <c r="PNR25" s="64"/>
      <c r="PNS25" s="64"/>
      <c r="PNT25" s="64"/>
      <c r="PNU25" s="64"/>
      <c r="PNV25" s="64"/>
      <c r="PNW25" s="64"/>
      <c r="PNX25" s="64"/>
      <c r="PNY25" s="64"/>
      <c r="PNZ25" s="64"/>
      <c r="POA25" s="64"/>
      <c r="POB25" s="64"/>
      <c r="POC25" s="64"/>
      <c r="POD25" s="64"/>
      <c r="POE25" s="64"/>
      <c r="POF25" s="64"/>
      <c r="POG25" s="64"/>
      <c r="POH25" s="64"/>
      <c r="POI25" s="64"/>
      <c r="POJ25" s="64"/>
      <c r="POK25" s="64"/>
      <c r="POL25" s="64"/>
      <c r="POM25" s="64"/>
      <c r="PON25" s="64"/>
      <c r="POO25" s="64"/>
      <c r="POP25" s="64"/>
      <c r="POQ25" s="64"/>
      <c r="POR25" s="64"/>
      <c r="POS25" s="64"/>
      <c r="POT25" s="64"/>
      <c r="POU25" s="64"/>
      <c r="POV25" s="64"/>
      <c r="POW25" s="64"/>
      <c r="POX25" s="64"/>
      <c r="POY25" s="64"/>
      <c r="POZ25" s="64"/>
      <c r="PPA25" s="64"/>
      <c r="PPB25" s="64"/>
      <c r="PPC25" s="64"/>
      <c r="PPD25" s="64"/>
      <c r="PPE25" s="64"/>
      <c r="PPF25" s="64"/>
      <c r="PPG25" s="64"/>
      <c r="PPH25" s="64"/>
      <c r="PPI25" s="64"/>
      <c r="PPJ25" s="64"/>
      <c r="PPK25" s="64"/>
      <c r="PPL25" s="64"/>
      <c r="PPM25" s="64"/>
      <c r="PPN25" s="64"/>
      <c r="PPO25" s="64"/>
      <c r="PPP25" s="64"/>
      <c r="PPQ25" s="64"/>
      <c r="PPR25" s="64"/>
      <c r="PPS25" s="64"/>
      <c r="PPT25" s="64"/>
      <c r="PPU25" s="64"/>
      <c r="PPV25" s="64"/>
      <c r="PPW25" s="64"/>
      <c r="PPX25" s="64"/>
      <c r="PPY25" s="64"/>
      <c r="PPZ25" s="64"/>
      <c r="PQA25" s="64"/>
      <c r="PQB25" s="64"/>
      <c r="PQC25" s="64"/>
      <c r="PQD25" s="64"/>
      <c r="PQE25" s="64"/>
      <c r="PQF25" s="64"/>
      <c r="PQG25" s="64"/>
      <c r="PQH25" s="64"/>
      <c r="PQI25" s="64"/>
      <c r="PQJ25" s="64"/>
      <c r="PQK25" s="64"/>
      <c r="PQL25" s="64"/>
      <c r="PQM25" s="64"/>
      <c r="PQN25" s="64"/>
      <c r="PQO25" s="64"/>
      <c r="PQP25" s="64"/>
      <c r="PQQ25" s="64"/>
      <c r="PQR25" s="64"/>
      <c r="PQS25" s="64"/>
      <c r="PQT25" s="64"/>
      <c r="PQU25" s="64"/>
      <c r="PQV25" s="64"/>
      <c r="PQW25" s="64"/>
      <c r="PQX25" s="64"/>
      <c r="PQY25" s="64"/>
      <c r="PQZ25" s="64"/>
      <c r="PRA25" s="64"/>
      <c r="PRB25" s="64"/>
      <c r="PRC25" s="64"/>
      <c r="PRD25" s="64"/>
      <c r="PRE25" s="64"/>
      <c r="PRF25" s="64"/>
      <c r="PRG25" s="64"/>
      <c r="PRH25" s="64"/>
      <c r="PRI25" s="64"/>
      <c r="PRJ25" s="64"/>
      <c r="PRK25" s="64"/>
      <c r="PRL25" s="64"/>
      <c r="PRM25" s="64"/>
      <c r="PRN25" s="64"/>
      <c r="PRO25" s="64"/>
      <c r="PRP25" s="64"/>
      <c r="PRQ25" s="64"/>
      <c r="PRR25" s="64"/>
      <c r="PRS25" s="64"/>
      <c r="PRT25" s="64"/>
      <c r="PRU25" s="64"/>
      <c r="PRV25" s="64"/>
      <c r="PRW25" s="64"/>
      <c r="PRX25" s="64"/>
      <c r="PRY25" s="64"/>
      <c r="PRZ25" s="64"/>
      <c r="PSA25" s="64"/>
      <c r="PSB25" s="64"/>
      <c r="PSC25" s="64"/>
      <c r="PSD25" s="64"/>
      <c r="PSE25" s="64"/>
      <c r="PSF25" s="64"/>
      <c r="PSG25" s="64"/>
      <c r="PSH25" s="64"/>
      <c r="PSI25" s="64"/>
      <c r="PSJ25" s="64"/>
      <c r="PSK25" s="64"/>
      <c r="PSL25" s="64"/>
      <c r="PSM25" s="64"/>
      <c r="PSN25" s="64"/>
      <c r="PSO25" s="64"/>
      <c r="PSP25" s="64"/>
      <c r="PSQ25" s="64"/>
      <c r="PSR25" s="64"/>
      <c r="PSS25" s="64"/>
      <c r="PST25" s="64"/>
      <c r="PSU25" s="64"/>
      <c r="PSV25" s="64"/>
      <c r="PSW25" s="64"/>
      <c r="PSX25" s="64"/>
      <c r="PSY25" s="64"/>
      <c r="PSZ25" s="64"/>
      <c r="PTA25" s="64"/>
      <c r="PTB25" s="64"/>
      <c r="PTC25" s="64"/>
      <c r="PTD25" s="64"/>
      <c r="PTE25" s="64"/>
      <c r="PTF25" s="64"/>
      <c r="PTG25" s="64"/>
      <c r="PTH25" s="64"/>
      <c r="PTI25" s="64"/>
      <c r="PTJ25" s="64"/>
      <c r="PTK25" s="64"/>
      <c r="PTL25" s="64"/>
      <c r="PTM25" s="64"/>
      <c r="PTN25" s="64"/>
      <c r="PTO25" s="64"/>
      <c r="PTP25" s="64"/>
      <c r="PTQ25" s="64"/>
      <c r="PTR25" s="64"/>
      <c r="PTS25" s="64"/>
      <c r="PTT25" s="64"/>
      <c r="PTU25" s="64"/>
      <c r="PTV25" s="64"/>
      <c r="PTW25" s="64"/>
      <c r="PTX25" s="64"/>
      <c r="PTY25" s="64"/>
      <c r="PTZ25" s="64"/>
      <c r="PUA25" s="64"/>
      <c r="PUB25" s="64"/>
      <c r="PUC25" s="64"/>
      <c r="PUD25" s="64"/>
      <c r="PUE25" s="64"/>
      <c r="PUF25" s="64"/>
      <c r="PUG25" s="64"/>
      <c r="PUH25" s="64"/>
      <c r="PUI25" s="64"/>
      <c r="PUJ25" s="64"/>
      <c r="PUK25" s="64"/>
      <c r="PUL25" s="64"/>
      <c r="PUM25" s="64"/>
      <c r="PUN25" s="64"/>
      <c r="PUO25" s="64"/>
      <c r="PUP25" s="64"/>
      <c r="PUQ25" s="64"/>
      <c r="PUR25" s="64"/>
      <c r="PUS25" s="64"/>
      <c r="PUT25" s="64"/>
      <c r="PUU25" s="64"/>
      <c r="PUV25" s="64"/>
      <c r="PUW25" s="64"/>
      <c r="PUX25" s="64"/>
      <c r="PUY25" s="64"/>
      <c r="PUZ25" s="64"/>
      <c r="PVA25" s="64"/>
      <c r="PVB25" s="64"/>
      <c r="PVC25" s="64"/>
      <c r="PVD25" s="64"/>
      <c r="PVE25" s="64"/>
      <c r="PVF25" s="64"/>
      <c r="PVG25" s="64"/>
      <c r="PVH25" s="64"/>
      <c r="PVI25" s="64"/>
      <c r="PVJ25" s="64"/>
      <c r="PVK25" s="64"/>
      <c r="PVL25" s="64"/>
      <c r="PVM25" s="64"/>
      <c r="PVN25" s="64"/>
      <c r="PVO25" s="64"/>
      <c r="PVP25" s="64"/>
      <c r="PVQ25" s="64"/>
      <c r="PVR25" s="64"/>
      <c r="PVS25" s="64"/>
      <c r="PVT25" s="64"/>
      <c r="PVU25" s="64"/>
      <c r="PVV25" s="64"/>
      <c r="PVW25" s="64"/>
      <c r="PVX25" s="64"/>
      <c r="PVY25" s="64"/>
      <c r="PVZ25" s="64"/>
      <c r="PWA25" s="64"/>
      <c r="PWB25" s="64"/>
      <c r="PWC25" s="64"/>
      <c r="PWD25" s="64"/>
      <c r="PWE25" s="64"/>
      <c r="PWF25" s="64"/>
      <c r="PWG25" s="64"/>
      <c r="PWH25" s="64"/>
      <c r="PWI25" s="64"/>
      <c r="PWJ25" s="64"/>
      <c r="PWK25" s="64"/>
      <c r="PWL25" s="64"/>
      <c r="PWM25" s="64"/>
      <c r="PWN25" s="64"/>
      <c r="PWO25" s="64"/>
      <c r="PWP25" s="64"/>
      <c r="PWQ25" s="64"/>
      <c r="PWR25" s="64"/>
      <c r="PWS25" s="64"/>
      <c r="PWT25" s="64"/>
      <c r="PWU25" s="64"/>
      <c r="PWV25" s="64"/>
      <c r="PWW25" s="64"/>
      <c r="PWX25" s="64"/>
      <c r="PWY25" s="64"/>
      <c r="PWZ25" s="64"/>
      <c r="PXA25" s="64"/>
      <c r="PXB25" s="64"/>
      <c r="PXC25" s="64"/>
      <c r="PXD25" s="64"/>
      <c r="PXE25" s="64"/>
      <c r="PXF25" s="64"/>
      <c r="PXG25" s="64"/>
      <c r="PXH25" s="64"/>
      <c r="PXI25" s="64"/>
      <c r="PXJ25" s="64"/>
      <c r="PXK25" s="64"/>
      <c r="PXL25" s="64"/>
      <c r="PXM25" s="64"/>
      <c r="PXN25" s="64"/>
      <c r="PXO25" s="64"/>
      <c r="PXP25" s="64"/>
      <c r="PXQ25" s="64"/>
      <c r="PXR25" s="64"/>
      <c r="PXS25" s="64"/>
      <c r="PXT25" s="64"/>
      <c r="PXU25" s="64"/>
      <c r="PXV25" s="64"/>
      <c r="PXW25" s="64"/>
      <c r="PXX25" s="64"/>
      <c r="PXY25" s="64"/>
      <c r="PXZ25" s="64"/>
      <c r="PYA25" s="64"/>
      <c r="PYB25" s="64"/>
      <c r="PYC25" s="64"/>
      <c r="PYD25" s="64"/>
      <c r="PYE25" s="64"/>
      <c r="PYF25" s="64"/>
      <c r="PYG25" s="64"/>
      <c r="PYH25" s="64"/>
      <c r="PYI25" s="64"/>
      <c r="PYJ25" s="64"/>
      <c r="PYK25" s="64"/>
      <c r="PYL25" s="64"/>
      <c r="PYM25" s="64"/>
      <c r="PYN25" s="64"/>
      <c r="PYO25" s="64"/>
      <c r="PYP25" s="64"/>
      <c r="PYQ25" s="64"/>
      <c r="PYR25" s="64"/>
      <c r="PYS25" s="64"/>
      <c r="PYT25" s="64"/>
      <c r="PYU25" s="64"/>
      <c r="PYV25" s="64"/>
      <c r="PYW25" s="64"/>
      <c r="PYX25" s="64"/>
      <c r="PYY25" s="64"/>
      <c r="PYZ25" s="64"/>
      <c r="PZA25" s="64"/>
      <c r="PZB25" s="64"/>
      <c r="PZC25" s="64"/>
      <c r="PZD25" s="64"/>
      <c r="PZE25" s="64"/>
      <c r="PZF25" s="64"/>
      <c r="PZG25" s="64"/>
      <c r="PZH25" s="64"/>
      <c r="PZI25" s="64"/>
      <c r="PZJ25" s="64"/>
      <c r="PZK25" s="64"/>
      <c r="PZL25" s="64"/>
      <c r="PZM25" s="64"/>
      <c r="PZN25" s="64"/>
      <c r="PZO25" s="64"/>
      <c r="PZP25" s="64"/>
      <c r="PZQ25" s="64"/>
      <c r="PZR25" s="64"/>
      <c r="PZS25" s="64"/>
      <c r="PZT25" s="64"/>
      <c r="PZU25" s="64"/>
      <c r="PZV25" s="64"/>
      <c r="PZW25" s="64"/>
      <c r="PZX25" s="64"/>
      <c r="PZY25" s="64"/>
      <c r="PZZ25" s="64"/>
      <c r="QAA25" s="64"/>
      <c r="QAB25" s="64"/>
      <c r="QAC25" s="64"/>
      <c r="QAD25" s="64"/>
      <c r="QAE25" s="64"/>
      <c r="QAF25" s="64"/>
      <c r="QAG25" s="64"/>
      <c r="QAH25" s="64"/>
      <c r="QAI25" s="64"/>
      <c r="QAJ25" s="64"/>
      <c r="QAK25" s="64"/>
      <c r="QAL25" s="64"/>
      <c r="QAM25" s="64"/>
      <c r="QAN25" s="64"/>
      <c r="QAO25" s="64"/>
      <c r="QAP25" s="64"/>
      <c r="QAQ25" s="64"/>
      <c r="QAR25" s="64"/>
      <c r="QAS25" s="64"/>
      <c r="QAT25" s="64"/>
      <c r="QAU25" s="64"/>
      <c r="QAV25" s="64"/>
      <c r="QAW25" s="64"/>
      <c r="QAX25" s="64"/>
      <c r="QAY25" s="64"/>
      <c r="QAZ25" s="64"/>
      <c r="QBA25" s="64"/>
      <c r="QBB25" s="64"/>
      <c r="QBC25" s="64"/>
      <c r="QBD25" s="64"/>
      <c r="QBE25" s="64"/>
      <c r="QBF25" s="64"/>
      <c r="QBG25" s="64"/>
      <c r="QBH25" s="64"/>
      <c r="QBI25" s="64"/>
      <c r="QBJ25" s="64"/>
      <c r="QBK25" s="64"/>
      <c r="QBL25" s="64"/>
      <c r="QBM25" s="64"/>
      <c r="QBN25" s="64"/>
      <c r="QBO25" s="64"/>
      <c r="QBP25" s="64"/>
      <c r="QBQ25" s="64"/>
      <c r="QBR25" s="64"/>
      <c r="QBS25" s="64"/>
      <c r="QBT25" s="64"/>
      <c r="QBU25" s="64"/>
      <c r="QBV25" s="64"/>
      <c r="QBW25" s="64"/>
      <c r="QBX25" s="64"/>
      <c r="QBY25" s="64"/>
      <c r="QBZ25" s="64"/>
      <c r="QCA25" s="64"/>
      <c r="QCB25" s="64"/>
      <c r="QCC25" s="64"/>
      <c r="QCD25" s="64"/>
      <c r="QCE25" s="64"/>
      <c r="QCF25" s="64"/>
      <c r="QCG25" s="64"/>
      <c r="QCH25" s="64"/>
      <c r="QCI25" s="64"/>
      <c r="QCJ25" s="64"/>
      <c r="QCK25" s="64"/>
      <c r="QCL25" s="64"/>
      <c r="QCM25" s="64"/>
      <c r="QCN25" s="64"/>
      <c r="QCO25" s="64"/>
      <c r="QCP25" s="64"/>
      <c r="QCQ25" s="64"/>
      <c r="QCR25" s="64"/>
      <c r="QCS25" s="64"/>
      <c r="QCT25" s="64"/>
      <c r="QCU25" s="64"/>
      <c r="QCV25" s="64"/>
      <c r="QCW25" s="64"/>
      <c r="QCX25" s="64"/>
      <c r="QCY25" s="64"/>
      <c r="QCZ25" s="64"/>
      <c r="QDA25" s="64"/>
      <c r="QDB25" s="64"/>
      <c r="QDC25" s="64"/>
      <c r="QDD25" s="64"/>
      <c r="QDE25" s="64"/>
      <c r="QDF25" s="64"/>
      <c r="QDG25" s="64"/>
      <c r="QDH25" s="64"/>
      <c r="QDI25" s="64"/>
      <c r="QDJ25" s="64"/>
      <c r="QDK25" s="64"/>
      <c r="QDL25" s="64"/>
      <c r="QDM25" s="64"/>
      <c r="QDN25" s="64"/>
      <c r="QDO25" s="64"/>
      <c r="QDP25" s="64"/>
      <c r="QDQ25" s="64"/>
      <c r="QDR25" s="64"/>
      <c r="QDS25" s="64"/>
      <c r="QDT25" s="64"/>
      <c r="QDU25" s="64"/>
      <c r="QDV25" s="64"/>
      <c r="QDW25" s="64"/>
      <c r="QDX25" s="64"/>
      <c r="QDY25" s="64"/>
      <c r="QDZ25" s="64"/>
      <c r="QEA25" s="64"/>
      <c r="QEB25" s="64"/>
      <c r="QEC25" s="64"/>
      <c r="QED25" s="64"/>
      <c r="QEE25" s="64"/>
      <c r="QEF25" s="64"/>
      <c r="QEG25" s="64"/>
      <c r="QEH25" s="64"/>
      <c r="QEI25" s="64"/>
      <c r="QEJ25" s="64"/>
      <c r="QEK25" s="64"/>
      <c r="QEL25" s="64"/>
      <c r="QEM25" s="64"/>
      <c r="QEN25" s="64"/>
      <c r="QEO25" s="64"/>
      <c r="QEP25" s="64"/>
      <c r="QEQ25" s="64"/>
      <c r="QER25" s="64"/>
      <c r="QES25" s="64"/>
      <c r="QET25" s="64"/>
      <c r="QEU25" s="64"/>
      <c r="QEV25" s="64"/>
      <c r="QEW25" s="64"/>
      <c r="QEX25" s="64"/>
      <c r="QEY25" s="64"/>
      <c r="QEZ25" s="64"/>
      <c r="QFA25" s="64"/>
      <c r="QFB25" s="64"/>
      <c r="QFC25" s="64"/>
      <c r="QFD25" s="64"/>
      <c r="QFE25" s="64"/>
      <c r="QFF25" s="64"/>
      <c r="QFG25" s="64"/>
      <c r="QFH25" s="64"/>
      <c r="QFI25" s="64"/>
      <c r="QFJ25" s="64"/>
      <c r="QFK25" s="64"/>
      <c r="QFL25" s="64"/>
      <c r="QFM25" s="64"/>
      <c r="QFN25" s="64"/>
      <c r="QFO25" s="64"/>
      <c r="QFP25" s="64"/>
      <c r="QFQ25" s="64"/>
      <c r="QFR25" s="64"/>
      <c r="QFS25" s="64"/>
      <c r="QFT25" s="64"/>
      <c r="QFU25" s="64"/>
      <c r="QFV25" s="64"/>
      <c r="QFW25" s="64"/>
      <c r="QFX25" s="64"/>
      <c r="QFY25" s="64"/>
      <c r="QFZ25" s="64"/>
      <c r="QGA25" s="64"/>
      <c r="QGB25" s="64"/>
      <c r="QGC25" s="64"/>
      <c r="QGD25" s="64"/>
      <c r="QGE25" s="64"/>
      <c r="QGF25" s="64"/>
      <c r="QGG25" s="64"/>
      <c r="QGH25" s="64"/>
      <c r="QGI25" s="64"/>
      <c r="QGJ25" s="64"/>
      <c r="QGK25" s="64"/>
      <c r="QGL25" s="64"/>
      <c r="QGM25" s="64"/>
      <c r="QGN25" s="64"/>
      <c r="QGO25" s="64"/>
      <c r="QGP25" s="64"/>
      <c r="QGQ25" s="64"/>
      <c r="QGR25" s="64"/>
      <c r="QGS25" s="64"/>
      <c r="QGT25" s="64"/>
      <c r="QGU25" s="64"/>
      <c r="QGV25" s="64"/>
      <c r="QGW25" s="64"/>
      <c r="QGX25" s="64"/>
      <c r="QGY25" s="64"/>
      <c r="QGZ25" s="64"/>
      <c r="QHA25" s="64"/>
      <c r="QHB25" s="64"/>
      <c r="QHC25" s="64"/>
      <c r="QHD25" s="64"/>
      <c r="QHE25" s="64"/>
      <c r="QHF25" s="64"/>
      <c r="QHG25" s="64"/>
      <c r="QHH25" s="64"/>
      <c r="QHI25" s="64"/>
      <c r="QHJ25" s="64"/>
      <c r="QHK25" s="64"/>
      <c r="QHL25" s="64"/>
      <c r="QHM25" s="64"/>
      <c r="QHN25" s="64"/>
      <c r="QHO25" s="64"/>
      <c r="QHP25" s="64"/>
      <c r="QHQ25" s="64"/>
      <c r="QHR25" s="64"/>
      <c r="QHS25" s="64"/>
      <c r="QHT25" s="64"/>
      <c r="QHU25" s="64"/>
      <c r="QHV25" s="64"/>
      <c r="QHW25" s="64"/>
      <c r="QHX25" s="64"/>
      <c r="QHY25" s="64"/>
      <c r="QHZ25" s="64"/>
      <c r="QIA25" s="64"/>
      <c r="QIB25" s="64"/>
      <c r="QIC25" s="64"/>
      <c r="QID25" s="64"/>
      <c r="QIE25" s="64"/>
      <c r="QIF25" s="64"/>
      <c r="QIG25" s="64"/>
      <c r="QIH25" s="64"/>
      <c r="QII25" s="64"/>
      <c r="QIJ25" s="64"/>
      <c r="QIK25" s="64"/>
      <c r="QIL25" s="64"/>
      <c r="QIM25" s="64"/>
      <c r="QIN25" s="64"/>
      <c r="QIO25" s="64"/>
      <c r="QIP25" s="64"/>
      <c r="QIQ25" s="64"/>
      <c r="QIR25" s="64"/>
      <c r="QIS25" s="64"/>
      <c r="QIT25" s="64"/>
      <c r="QIU25" s="64"/>
      <c r="QIV25" s="64"/>
      <c r="QIW25" s="64"/>
      <c r="QIX25" s="64"/>
      <c r="QIY25" s="64"/>
      <c r="QIZ25" s="64"/>
      <c r="QJA25" s="64"/>
      <c r="QJB25" s="64"/>
      <c r="QJC25" s="64"/>
      <c r="QJD25" s="64"/>
      <c r="QJE25" s="64"/>
      <c r="QJF25" s="64"/>
      <c r="QJG25" s="64"/>
      <c r="QJH25" s="64"/>
      <c r="QJI25" s="64"/>
      <c r="QJJ25" s="64"/>
      <c r="QJK25" s="64"/>
      <c r="QJL25" s="64"/>
      <c r="QJM25" s="64"/>
      <c r="QJN25" s="64"/>
      <c r="QJO25" s="64"/>
      <c r="QJP25" s="64"/>
      <c r="QJQ25" s="64"/>
      <c r="QJR25" s="64"/>
      <c r="QJS25" s="64"/>
      <c r="QJT25" s="64"/>
      <c r="QJU25" s="64"/>
      <c r="QJV25" s="64"/>
      <c r="QJW25" s="64"/>
      <c r="QJX25" s="64"/>
      <c r="QJY25" s="64"/>
      <c r="QJZ25" s="64"/>
      <c r="QKA25" s="64"/>
      <c r="QKB25" s="64"/>
      <c r="QKC25" s="64"/>
      <c r="QKD25" s="64"/>
      <c r="QKE25" s="64"/>
      <c r="QKF25" s="64"/>
      <c r="QKG25" s="64"/>
      <c r="QKH25" s="64"/>
      <c r="QKI25" s="64"/>
      <c r="QKJ25" s="64"/>
      <c r="QKK25" s="64"/>
      <c r="QKL25" s="64"/>
      <c r="QKM25" s="64"/>
      <c r="QKN25" s="64"/>
      <c r="QKO25" s="64"/>
      <c r="QKP25" s="64"/>
      <c r="QKQ25" s="64"/>
      <c r="QKR25" s="64"/>
      <c r="QKS25" s="64"/>
      <c r="QKT25" s="64"/>
      <c r="QKU25" s="64"/>
      <c r="QKV25" s="64"/>
      <c r="QKW25" s="64"/>
      <c r="QKX25" s="64"/>
      <c r="QKY25" s="64"/>
      <c r="QKZ25" s="64"/>
      <c r="QLA25" s="64"/>
      <c r="QLB25" s="64"/>
      <c r="QLC25" s="64"/>
      <c r="QLD25" s="64"/>
      <c r="QLE25" s="64"/>
      <c r="QLF25" s="64"/>
      <c r="QLG25" s="64"/>
      <c r="QLH25" s="64"/>
      <c r="QLI25" s="64"/>
      <c r="QLJ25" s="64"/>
      <c r="QLK25" s="64"/>
      <c r="QLL25" s="64"/>
      <c r="QLM25" s="64"/>
      <c r="QLN25" s="64"/>
      <c r="QLO25" s="64"/>
      <c r="QLP25" s="64"/>
      <c r="QLQ25" s="64"/>
      <c r="QLR25" s="64"/>
      <c r="QLS25" s="64"/>
      <c r="QLT25" s="64"/>
      <c r="QLU25" s="64"/>
      <c r="QLV25" s="64"/>
      <c r="QLW25" s="64"/>
      <c r="QLX25" s="64"/>
      <c r="QLY25" s="64"/>
      <c r="QLZ25" s="64"/>
      <c r="QMA25" s="64"/>
      <c r="QMB25" s="64"/>
      <c r="QMC25" s="64"/>
      <c r="QMD25" s="64"/>
      <c r="QME25" s="64"/>
      <c r="QMF25" s="64"/>
      <c r="QMG25" s="64"/>
      <c r="QMH25" s="64"/>
      <c r="QMI25" s="64"/>
      <c r="QMJ25" s="64"/>
      <c r="QMK25" s="64"/>
      <c r="QML25" s="64"/>
      <c r="QMM25" s="64"/>
      <c r="QMN25" s="64"/>
      <c r="QMO25" s="64"/>
      <c r="QMP25" s="64"/>
      <c r="QMQ25" s="64"/>
      <c r="QMR25" s="64"/>
      <c r="QMS25" s="64"/>
      <c r="QMT25" s="64"/>
      <c r="QMU25" s="64"/>
      <c r="QMV25" s="64"/>
      <c r="QMW25" s="64"/>
      <c r="QMX25" s="64"/>
      <c r="QMY25" s="64"/>
      <c r="QMZ25" s="64"/>
      <c r="QNA25" s="64"/>
      <c r="QNB25" s="64"/>
      <c r="QNC25" s="64"/>
      <c r="QND25" s="64"/>
      <c r="QNE25" s="64"/>
      <c r="QNF25" s="64"/>
      <c r="QNG25" s="64"/>
      <c r="QNH25" s="64"/>
      <c r="QNI25" s="64"/>
      <c r="QNJ25" s="64"/>
      <c r="QNK25" s="64"/>
      <c r="QNL25" s="64"/>
      <c r="QNM25" s="64"/>
      <c r="QNN25" s="64"/>
      <c r="QNO25" s="64"/>
      <c r="QNP25" s="64"/>
      <c r="QNQ25" s="64"/>
      <c r="QNR25" s="64"/>
      <c r="QNS25" s="64"/>
      <c r="QNT25" s="64"/>
      <c r="QNU25" s="64"/>
      <c r="QNV25" s="64"/>
      <c r="QNW25" s="64"/>
      <c r="QNX25" s="64"/>
      <c r="QNY25" s="64"/>
      <c r="QNZ25" s="64"/>
      <c r="QOA25" s="64"/>
      <c r="QOB25" s="64"/>
      <c r="QOC25" s="64"/>
      <c r="QOD25" s="64"/>
      <c r="QOE25" s="64"/>
      <c r="QOF25" s="64"/>
      <c r="QOG25" s="64"/>
      <c r="QOH25" s="64"/>
      <c r="QOI25" s="64"/>
      <c r="QOJ25" s="64"/>
      <c r="QOK25" s="64"/>
      <c r="QOL25" s="64"/>
      <c r="QOM25" s="64"/>
      <c r="QON25" s="64"/>
      <c r="QOO25" s="64"/>
      <c r="QOP25" s="64"/>
      <c r="QOQ25" s="64"/>
      <c r="QOR25" s="64"/>
      <c r="QOS25" s="64"/>
      <c r="QOT25" s="64"/>
      <c r="QOU25" s="64"/>
      <c r="QOV25" s="64"/>
      <c r="QOW25" s="64"/>
      <c r="QOX25" s="64"/>
      <c r="QOY25" s="64"/>
      <c r="QOZ25" s="64"/>
      <c r="QPA25" s="64"/>
      <c r="QPB25" s="64"/>
      <c r="QPC25" s="64"/>
      <c r="QPD25" s="64"/>
      <c r="QPE25" s="64"/>
      <c r="QPF25" s="64"/>
      <c r="QPG25" s="64"/>
      <c r="QPH25" s="64"/>
      <c r="QPI25" s="64"/>
      <c r="QPJ25" s="64"/>
      <c r="QPK25" s="64"/>
      <c r="QPL25" s="64"/>
      <c r="QPM25" s="64"/>
      <c r="QPN25" s="64"/>
      <c r="QPO25" s="64"/>
      <c r="QPP25" s="64"/>
      <c r="QPQ25" s="64"/>
      <c r="QPR25" s="64"/>
      <c r="QPS25" s="64"/>
      <c r="QPT25" s="64"/>
      <c r="QPU25" s="64"/>
      <c r="QPV25" s="64"/>
      <c r="QPW25" s="64"/>
      <c r="QPX25" s="64"/>
      <c r="QPY25" s="64"/>
      <c r="QPZ25" s="64"/>
      <c r="QQA25" s="64"/>
      <c r="QQB25" s="64"/>
      <c r="QQC25" s="64"/>
      <c r="QQD25" s="64"/>
      <c r="QQE25" s="64"/>
      <c r="QQF25" s="64"/>
      <c r="QQG25" s="64"/>
      <c r="QQH25" s="64"/>
      <c r="QQI25" s="64"/>
      <c r="QQJ25" s="64"/>
      <c r="QQK25" s="64"/>
      <c r="QQL25" s="64"/>
      <c r="QQM25" s="64"/>
      <c r="QQN25" s="64"/>
      <c r="QQO25" s="64"/>
      <c r="QQP25" s="64"/>
      <c r="QQQ25" s="64"/>
      <c r="QQR25" s="64"/>
      <c r="QQS25" s="64"/>
      <c r="QQT25" s="64"/>
      <c r="QQU25" s="64"/>
      <c r="QQV25" s="64"/>
      <c r="QQW25" s="64"/>
      <c r="QQX25" s="64"/>
      <c r="QQY25" s="64"/>
      <c r="QQZ25" s="64"/>
      <c r="QRA25" s="64"/>
      <c r="QRB25" s="64"/>
      <c r="QRC25" s="64"/>
      <c r="QRD25" s="64"/>
      <c r="QRE25" s="64"/>
      <c r="QRF25" s="64"/>
      <c r="QRG25" s="64"/>
      <c r="QRH25" s="64"/>
      <c r="QRI25" s="64"/>
      <c r="QRJ25" s="64"/>
      <c r="QRK25" s="64"/>
      <c r="QRL25" s="64"/>
      <c r="QRM25" s="64"/>
      <c r="QRN25" s="64"/>
      <c r="QRO25" s="64"/>
      <c r="QRP25" s="64"/>
      <c r="QRQ25" s="64"/>
      <c r="QRR25" s="64"/>
      <c r="QRS25" s="64"/>
      <c r="QRT25" s="64"/>
      <c r="QRU25" s="64"/>
      <c r="QRV25" s="64"/>
      <c r="QRW25" s="64"/>
      <c r="QRX25" s="64"/>
      <c r="QRY25" s="64"/>
      <c r="QRZ25" s="64"/>
      <c r="QSA25" s="64"/>
      <c r="QSB25" s="64"/>
      <c r="QSC25" s="64"/>
      <c r="QSD25" s="64"/>
      <c r="QSE25" s="64"/>
      <c r="QSF25" s="64"/>
      <c r="QSG25" s="64"/>
      <c r="QSH25" s="64"/>
      <c r="QSI25" s="64"/>
      <c r="QSJ25" s="64"/>
      <c r="QSK25" s="64"/>
      <c r="QSL25" s="64"/>
      <c r="QSM25" s="64"/>
      <c r="QSN25" s="64"/>
      <c r="QSO25" s="64"/>
      <c r="QSP25" s="64"/>
      <c r="QSQ25" s="64"/>
      <c r="QSR25" s="64"/>
      <c r="QSS25" s="64"/>
      <c r="QST25" s="64"/>
      <c r="QSU25" s="64"/>
      <c r="QSV25" s="64"/>
      <c r="QSW25" s="64"/>
      <c r="QSX25" s="64"/>
      <c r="QSY25" s="64"/>
      <c r="QSZ25" s="64"/>
      <c r="QTA25" s="64"/>
      <c r="QTB25" s="64"/>
      <c r="QTC25" s="64"/>
      <c r="QTD25" s="64"/>
      <c r="QTE25" s="64"/>
      <c r="QTF25" s="64"/>
      <c r="QTG25" s="64"/>
      <c r="QTH25" s="64"/>
      <c r="QTI25" s="64"/>
      <c r="QTJ25" s="64"/>
      <c r="QTK25" s="64"/>
      <c r="QTL25" s="64"/>
      <c r="QTM25" s="64"/>
      <c r="QTN25" s="64"/>
      <c r="QTO25" s="64"/>
      <c r="QTP25" s="64"/>
      <c r="QTQ25" s="64"/>
      <c r="QTR25" s="64"/>
      <c r="QTS25" s="64"/>
      <c r="QTT25" s="64"/>
      <c r="QTU25" s="64"/>
      <c r="QTV25" s="64"/>
      <c r="QTW25" s="64"/>
      <c r="QTX25" s="64"/>
      <c r="QTY25" s="64"/>
      <c r="QTZ25" s="64"/>
      <c r="QUA25" s="64"/>
      <c r="QUB25" s="64"/>
      <c r="QUC25" s="64"/>
      <c r="QUD25" s="64"/>
      <c r="QUE25" s="64"/>
      <c r="QUF25" s="64"/>
      <c r="QUG25" s="64"/>
      <c r="QUH25" s="64"/>
      <c r="QUI25" s="64"/>
      <c r="QUJ25" s="64"/>
      <c r="QUK25" s="64"/>
      <c r="QUL25" s="64"/>
      <c r="QUM25" s="64"/>
      <c r="QUN25" s="64"/>
      <c r="QUO25" s="64"/>
      <c r="QUP25" s="64"/>
      <c r="QUQ25" s="64"/>
      <c r="QUR25" s="64"/>
      <c r="QUS25" s="64"/>
      <c r="QUT25" s="64"/>
      <c r="QUU25" s="64"/>
      <c r="QUV25" s="64"/>
      <c r="QUW25" s="64"/>
      <c r="QUX25" s="64"/>
      <c r="QUY25" s="64"/>
      <c r="QUZ25" s="64"/>
      <c r="QVA25" s="64"/>
      <c r="QVB25" s="64"/>
      <c r="QVC25" s="64"/>
      <c r="QVD25" s="64"/>
      <c r="QVE25" s="64"/>
      <c r="QVF25" s="64"/>
      <c r="QVG25" s="64"/>
      <c r="QVH25" s="64"/>
      <c r="QVI25" s="64"/>
      <c r="QVJ25" s="64"/>
      <c r="QVK25" s="64"/>
      <c r="QVL25" s="64"/>
      <c r="QVM25" s="64"/>
      <c r="QVN25" s="64"/>
      <c r="QVO25" s="64"/>
      <c r="QVP25" s="64"/>
      <c r="QVQ25" s="64"/>
      <c r="QVR25" s="64"/>
      <c r="QVS25" s="64"/>
      <c r="QVT25" s="64"/>
      <c r="QVU25" s="64"/>
      <c r="QVV25" s="64"/>
      <c r="QVW25" s="64"/>
      <c r="QVX25" s="64"/>
      <c r="QVY25" s="64"/>
      <c r="QVZ25" s="64"/>
      <c r="QWA25" s="64"/>
      <c r="QWB25" s="64"/>
      <c r="QWC25" s="64"/>
      <c r="QWD25" s="64"/>
      <c r="QWE25" s="64"/>
      <c r="QWF25" s="64"/>
      <c r="QWG25" s="64"/>
      <c r="QWH25" s="64"/>
      <c r="QWI25" s="64"/>
      <c r="QWJ25" s="64"/>
      <c r="QWK25" s="64"/>
      <c r="QWL25" s="64"/>
      <c r="QWM25" s="64"/>
      <c r="QWN25" s="64"/>
      <c r="QWO25" s="64"/>
      <c r="QWP25" s="64"/>
      <c r="QWQ25" s="64"/>
      <c r="QWR25" s="64"/>
      <c r="QWS25" s="64"/>
      <c r="QWT25" s="64"/>
      <c r="QWU25" s="64"/>
      <c r="QWV25" s="64"/>
      <c r="QWW25" s="64"/>
      <c r="QWX25" s="64"/>
      <c r="QWY25" s="64"/>
      <c r="QWZ25" s="64"/>
      <c r="QXA25" s="64"/>
      <c r="QXB25" s="64"/>
      <c r="QXC25" s="64"/>
      <c r="QXD25" s="64"/>
      <c r="QXE25" s="64"/>
      <c r="QXF25" s="64"/>
      <c r="QXG25" s="64"/>
      <c r="QXH25" s="64"/>
      <c r="QXI25" s="64"/>
      <c r="QXJ25" s="64"/>
      <c r="QXK25" s="64"/>
      <c r="QXL25" s="64"/>
      <c r="QXM25" s="64"/>
      <c r="QXN25" s="64"/>
      <c r="QXO25" s="64"/>
      <c r="QXP25" s="64"/>
      <c r="QXQ25" s="64"/>
      <c r="QXR25" s="64"/>
      <c r="QXS25" s="64"/>
      <c r="QXT25" s="64"/>
      <c r="QXU25" s="64"/>
      <c r="QXV25" s="64"/>
      <c r="QXW25" s="64"/>
      <c r="QXX25" s="64"/>
      <c r="QXY25" s="64"/>
      <c r="QXZ25" s="64"/>
      <c r="QYA25" s="64"/>
      <c r="QYB25" s="64"/>
      <c r="QYC25" s="64"/>
      <c r="QYD25" s="64"/>
      <c r="QYE25" s="64"/>
      <c r="QYF25" s="64"/>
      <c r="QYG25" s="64"/>
      <c r="QYH25" s="64"/>
      <c r="QYI25" s="64"/>
      <c r="QYJ25" s="64"/>
      <c r="QYK25" s="64"/>
      <c r="QYL25" s="64"/>
      <c r="QYM25" s="64"/>
      <c r="QYN25" s="64"/>
      <c r="QYO25" s="64"/>
      <c r="QYP25" s="64"/>
      <c r="QYQ25" s="64"/>
      <c r="QYR25" s="64"/>
      <c r="QYS25" s="64"/>
      <c r="QYT25" s="64"/>
      <c r="QYU25" s="64"/>
      <c r="QYV25" s="64"/>
      <c r="QYW25" s="64"/>
      <c r="QYX25" s="64"/>
      <c r="QYY25" s="64"/>
      <c r="QYZ25" s="64"/>
      <c r="QZA25" s="64"/>
      <c r="QZB25" s="64"/>
      <c r="QZC25" s="64"/>
      <c r="QZD25" s="64"/>
      <c r="QZE25" s="64"/>
      <c r="QZF25" s="64"/>
      <c r="QZG25" s="64"/>
      <c r="QZH25" s="64"/>
      <c r="QZI25" s="64"/>
      <c r="QZJ25" s="64"/>
      <c r="QZK25" s="64"/>
      <c r="QZL25" s="64"/>
      <c r="QZM25" s="64"/>
      <c r="QZN25" s="64"/>
      <c r="QZO25" s="64"/>
      <c r="QZP25" s="64"/>
      <c r="QZQ25" s="64"/>
      <c r="QZR25" s="64"/>
      <c r="QZS25" s="64"/>
      <c r="QZT25" s="64"/>
      <c r="QZU25" s="64"/>
      <c r="QZV25" s="64"/>
      <c r="QZW25" s="64"/>
      <c r="QZX25" s="64"/>
      <c r="QZY25" s="64"/>
      <c r="QZZ25" s="64"/>
      <c r="RAA25" s="64"/>
      <c r="RAB25" s="64"/>
      <c r="RAC25" s="64"/>
      <c r="RAD25" s="64"/>
      <c r="RAE25" s="64"/>
      <c r="RAF25" s="64"/>
      <c r="RAG25" s="64"/>
      <c r="RAH25" s="64"/>
      <c r="RAI25" s="64"/>
      <c r="RAJ25" s="64"/>
      <c r="RAK25" s="64"/>
      <c r="RAL25" s="64"/>
      <c r="RAM25" s="64"/>
      <c r="RAN25" s="64"/>
      <c r="RAO25" s="64"/>
      <c r="RAP25" s="64"/>
      <c r="RAQ25" s="64"/>
      <c r="RAR25" s="64"/>
      <c r="RAS25" s="64"/>
      <c r="RAT25" s="64"/>
      <c r="RAU25" s="64"/>
      <c r="RAV25" s="64"/>
      <c r="RAW25" s="64"/>
      <c r="RAX25" s="64"/>
      <c r="RAY25" s="64"/>
      <c r="RAZ25" s="64"/>
      <c r="RBA25" s="64"/>
      <c r="RBB25" s="64"/>
      <c r="RBC25" s="64"/>
      <c r="RBD25" s="64"/>
      <c r="RBE25" s="64"/>
      <c r="RBF25" s="64"/>
      <c r="RBG25" s="64"/>
      <c r="RBH25" s="64"/>
      <c r="RBI25" s="64"/>
      <c r="RBJ25" s="64"/>
      <c r="RBK25" s="64"/>
      <c r="RBL25" s="64"/>
      <c r="RBM25" s="64"/>
      <c r="RBN25" s="64"/>
      <c r="RBO25" s="64"/>
      <c r="RBP25" s="64"/>
      <c r="RBQ25" s="64"/>
      <c r="RBR25" s="64"/>
      <c r="RBS25" s="64"/>
      <c r="RBT25" s="64"/>
      <c r="RBU25" s="64"/>
      <c r="RBV25" s="64"/>
      <c r="RBW25" s="64"/>
      <c r="RBX25" s="64"/>
      <c r="RBY25" s="64"/>
      <c r="RBZ25" s="64"/>
      <c r="RCA25" s="64"/>
      <c r="RCB25" s="64"/>
      <c r="RCC25" s="64"/>
      <c r="RCD25" s="64"/>
      <c r="RCE25" s="64"/>
      <c r="RCF25" s="64"/>
      <c r="RCG25" s="64"/>
      <c r="RCH25" s="64"/>
      <c r="RCI25" s="64"/>
      <c r="RCJ25" s="64"/>
      <c r="RCK25" s="64"/>
      <c r="RCL25" s="64"/>
      <c r="RCM25" s="64"/>
      <c r="RCN25" s="64"/>
      <c r="RCO25" s="64"/>
      <c r="RCP25" s="64"/>
      <c r="RCQ25" s="64"/>
      <c r="RCR25" s="64"/>
      <c r="RCS25" s="64"/>
      <c r="RCT25" s="64"/>
      <c r="RCU25" s="64"/>
      <c r="RCV25" s="64"/>
      <c r="RCW25" s="64"/>
      <c r="RCX25" s="64"/>
      <c r="RCY25" s="64"/>
      <c r="RCZ25" s="64"/>
      <c r="RDA25" s="64"/>
      <c r="RDB25" s="64"/>
      <c r="RDC25" s="64"/>
      <c r="RDD25" s="64"/>
      <c r="RDE25" s="64"/>
      <c r="RDF25" s="64"/>
      <c r="RDG25" s="64"/>
      <c r="RDH25" s="64"/>
      <c r="RDI25" s="64"/>
      <c r="RDJ25" s="64"/>
      <c r="RDK25" s="64"/>
      <c r="RDL25" s="64"/>
      <c r="RDM25" s="64"/>
      <c r="RDN25" s="64"/>
      <c r="RDO25" s="64"/>
      <c r="RDP25" s="64"/>
      <c r="RDQ25" s="64"/>
      <c r="RDR25" s="64"/>
      <c r="RDS25" s="64"/>
      <c r="RDT25" s="64"/>
      <c r="RDU25" s="64"/>
      <c r="RDV25" s="64"/>
      <c r="RDW25" s="64"/>
      <c r="RDX25" s="64"/>
      <c r="RDY25" s="64"/>
      <c r="RDZ25" s="64"/>
      <c r="REA25" s="64"/>
      <c r="REB25" s="64"/>
      <c r="REC25" s="64"/>
      <c r="RED25" s="64"/>
      <c r="REE25" s="64"/>
      <c r="REF25" s="64"/>
      <c r="REG25" s="64"/>
      <c r="REH25" s="64"/>
      <c r="REI25" s="64"/>
      <c r="REJ25" s="64"/>
      <c r="REK25" s="64"/>
      <c r="REL25" s="64"/>
      <c r="REM25" s="64"/>
      <c r="REN25" s="64"/>
      <c r="REO25" s="64"/>
      <c r="REP25" s="64"/>
      <c r="REQ25" s="64"/>
      <c r="RER25" s="64"/>
      <c r="RES25" s="64"/>
      <c r="RET25" s="64"/>
      <c r="REU25" s="64"/>
      <c r="REV25" s="64"/>
      <c r="REW25" s="64"/>
      <c r="REX25" s="64"/>
      <c r="REY25" s="64"/>
      <c r="REZ25" s="64"/>
      <c r="RFA25" s="64"/>
      <c r="RFB25" s="64"/>
      <c r="RFC25" s="64"/>
      <c r="RFD25" s="64"/>
      <c r="RFE25" s="64"/>
      <c r="RFF25" s="64"/>
      <c r="RFG25" s="64"/>
      <c r="RFH25" s="64"/>
      <c r="RFI25" s="64"/>
      <c r="RFJ25" s="64"/>
      <c r="RFK25" s="64"/>
      <c r="RFL25" s="64"/>
      <c r="RFM25" s="64"/>
      <c r="RFN25" s="64"/>
      <c r="RFO25" s="64"/>
      <c r="RFP25" s="64"/>
      <c r="RFQ25" s="64"/>
      <c r="RFR25" s="64"/>
      <c r="RFS25" s="64"/>
      <c r="RFT25" s="64"/>
      <c r="RFU25" s="64"/>
      <c r="RFV25" s="64"/>
      <c r="RFW25" s="64"/>
      <c r="RFX25" s="64"/>
      <c r="RFY25" s="64"/>
      <c r="RFZ25" s="64"/>
      <c r="RGA25" s="64"/>
      <c r="RGB25" s="64"/>
      <c r="RGC25" s="64"/>
      <c r="RGD25" s="64"/>
      <c r="RGE25" s="64"/>
      <c r="RGF25" s="64"/>
      <c r="RGG25" s="64"/>
      <c r="RGH25" s="64"/>
      <c r="RGI25" s="64"/>
      <c r="RGJ25" s="64"/>
      <c r="RGK25" s="64"/>
      <c r="RGL25" s="64"/>
      <c r="RGM25" s="64"/>
      <c r="RGN25" s="64"/>
      <c r="RGO25" s="64"/>
      <c r="RGP25" s="64"/>
      <c r="RGQ25" s="64"/>
      <c r="RGR25" s="64"/>
      <c r="RGS25" s="64"/>
      <c r="RGT25" s="64"/>
      <c r="RGU25" s="64"/>
      <c r="RGV25" s="64"/>
      <c r="RGW25" s="64"/>
      <c r="RGX25" s="64"/>
      <c r="RGY25" s="64"/>
      <c r="RGZ25" s="64"/>
      <c r="RHA25" s="64"/>
      <c r="RHB25" s="64"/>
      <c r="RHC25" s="64"/>
      <c r="RHD25" s="64"/>
      <c r="RHE25" s="64"/>
      <c r="RHF25" s="64"/>
      <c r="RHG25" s="64"/>
      <c r="RHH25" s="64"/>
      <c r="RHI25" s="64"/>
      <c r="RHJ25" s="64"/>
      <c r="RHK25" s="64"/>
      <c r="RHL25" s="64"/>
      <c r="RHM25" s="64"/>
      <c r="RHN25" s="64"/>
      <c r="RHO25" s="64"/>
      <c r="RHP25" s="64"/>
      <c r="RHQ25" s="64"/>
      <c r="RHR25" s="64"/>
      <c r="RHS25" s="64"/>
      <c r="RHT25" s="64"/>
      <c r="RHU25" s="64"/>
      <c r="RHV25" s="64"/>
      <c r="RHW25" s="64"/>
      <c r="RHX25" s="64"/>
      <c r="RHY25" s="64"/>
      <c r="RHZ25" s="64"/>
      <c r="RIA25" s="64"/>
      <c r="RIB25" s="64"/>
      <c r="RIC25" s="64"/>
      <c r="RID25" s="64"/>
      <c r="RIE25" s="64"/>
      <c r="RIF25" s="64"/>
      <c r="RIG25" s="64"/>
      <c r="RIH25" s="64"/>
      <c r="RII25" s="64"/>
      <c r="RIJ25" s="64"/>
      <c r="RIK25" s="64"/>
      <c r="RIL25" s="64"/>
      <c r="RIM25" s="64"/>
      <c r="RIN25" s="64"/>
      <c r="RIO25" s="64"/>
      <c r="RIP25" s="64"/>
      <c r="RIQ25" s="64"/>
      <c r="RIR25" s="64"/>
      <c r="RIS25" s="64"/>
      <c r="RIT25" s="64"/>
      <c r="RIU25" s="64"/>
      <c r="RIV25" s="64"/>
      <c r="RIW25" s="64"/>
      <c r="RIX25" s="64"/>
      <c r="RIY25" s="64"/>
      <c r="RIZ25" s="64"/>
      <c r="RJA25" s="64"/>
      <c r="RJB25" s="64"/>
      <c r="RJC25" s="64"/>
      <c r="RJD25" s="64"/>
      <c r="RJE25" s="64"/>
      <c r="RJF25" s="64"/>
      <c r="RJG25" s="64"/>
      <c r="RJH25" s="64"/>
      <c r="RJI25" s="64"/>
      <c r="RJJ25" s="64"/>
      <c r="RJK25" s="64"/>
      <c r="RJL25" s="64"/>
      <c r="RJM25" s="64"/>
      <c r="RJN25" s="64"/>
      <c r="RJO25" s="64"/>
      <c r="RJP25" s="64"/>
      <c r="RJQ25" s="64"/>
      <c r="RJR25" s="64"/>
      <c r="RJS25" s="64"/>
      <c r="RJT25" s="64"/>
      <c r="RJU25" s="64"/>
      <c r="RJV25" s="64"/>
      <c r="RJW25" s="64"/>
      <c r="RJX25" s="64"/>
      <c r="RJY25" s="64"/>
      <c r="RJZ25" s="64"/>
      <c r="RKA25" s="64"/>
      <c r="RKB25" s="64"/>
      <c r="RKC25" s="64"/>
      <c r="RKD25" s="64"/>
      <c r="RKE25" s="64"/>
      <c r="RKF25" s="64"/>
      <c r="RKG25" s="64"/>
      <c r="RKH25" s="64"/>
      <c r="RKI25" s="64"/>
      <c r="RKJ25" s="64"/>
      <c r="RKK25" s="64"/>
      <c r="RKL25" s="64"/>
      <c r="RKM25" s="64"/>
      <c r="RKN25" s="64"/>
      <c r="RKO25" s="64"/>
      <c r="RKP25" s="64"/>
      <c r="RKQ25" s="64"/>
      <c r="RKR25" s="64"/>
      <c r="RKS25" s="64"/>
      <c r="RKT25" s="64"/>
      <c r="RKU25" s="64"/>
      <c r="RKV25" s="64"/>
      <c r="RKW25" s="64"/>
      <c r="RKX25" s="64"/>
      <c r="RKY25" s="64"/>
      <c r="RKZ25" s="64"/>
      <c r="RLA25" s="64"/>
      <c r="RLB25" s="64"/>
      <c r="RLC25" s="64"/>
      <c r="RLD25" s="64"/>
      <c r="RLE25" s="64"/>
      <c r="RLF25" s="64"/>
      <c r="RLG25" s="64"/>
      <c r="RLH25" s="64"/>
      <c r="RLI25" s="64"/>
      <c r="RLJ25" s="64"/>
      <c r="RLK25" s="64"/>
      <c r="RLL25" s="64"/>
      <c r="RLM25" s="64"/>
      <c r="RLN25" s="64"/>
      <c r="RLO25" s="64"/>
      <c r="RLP25" s="64"/>
      <c r="RLQ25" s="64"/>
      <c r="RLR25" s="64"/>
      <c r="RLS25" s="64"/>
      <c r="RLT25" s="64"/>
      <c r="RLU25" s="64"/>
      <c r="RLV25" s="64"/>
      <c r="RLW25" s="64"/>
      <c r="RLX25" s="64"/>
      <c r="RLY25" s="64"/>
      <c r="RLZ25" s="64"/>
      <c r="RMA25" s="64"/>
      <c r="RMB25" s="64"/>
      <c r="RMC25" s="64"/>
      <c r="RMD25" s="64"/>
      <c r="RME25" s="64"/>
      <c r="RMF25" s="64"/>
      <c r="RMG25" s="64"/>
      <c r="RMH25" s="64"/>
      <c r="RMI25" s="64"/>
      <c r="RMJ25" s="64"/>
      <c r="RMK25" s="64"/>
      <c r="RML25" s="64"/>
      <c r="RMM25" s="64"/>
      <c r="RMN25" s="64"/>
      <c r="RMO25" s="64"/>
      <c r="RMP25" s="64"/>
      <c r="RMQ25" s="64"/>
      <c r="RMR25" s="64"/>
      <c r="RMS25" s="64"/>
      <c r="RMT25" s="64"/>
      <c r="RMU25" s="64"/>
      <c r="RMV25" s="64"/>
      <c r="RMW25" s="64"/>
      <c r="RMX25" s="64"/>
      <c r="RMY25" s="64"/>
      <c r="RMZ25" s="64"/>
      <c r="RNA25" s="64"/>
      <c r="RNB25" s="64"/>
      <c r="RNC25" s="64"/>
      <c r="RND25" s="64"/>
      <c r="RNE25" s="64"/>
      <c r="RNF25" s="64"/>
      <c r="RNG25" s="64"/>
      <c r="RNH25" s="64"/>
      <c r="RNI25" s="64"/>
      <c r="RNJ25" s="64"/>
      <c r="RNK25" s="64"/>
      <c r="RNL25" s="64"/>
      <c r="RNM25" s="64"/>
      <c r="RNN25" s="64"/>
      <c r="RNO25" s="64"/>
      <c r="RNP25" s="64"/>
      <c r="RNQ25" s="64"/>
      <c r="RNR25" s="64"/>
      <c r="RNS25" s="64"/>
      <c r="RNT25" s="64"/>
      <c r="RNU25" s="64"/>
      <c r="RNV25" s="64"/>
      <c r="RNW25" s="64"/>
      <c r="RNX25" s="64"/>
      <c r="RNY25" s="64"/>
      <c r="RNZ25" s="64"/>
      <c r="ROA25" s="64"/>
      <c r="ROB25" s="64"/>
      <c r="ROC25" s="64"/>
      <c r="ROD25" s="64"/>
      <c r="ROE25" s="64"/>
      <c r="ROF25" s="64"/>
      <c r="ROG25" s="64"/>
      <c r="ROH25" s="64"/>
      <c r="ROI25" s="64"/>
      <c r="ROJ25" s="64"/>
      <c r="ROK25" s="64"/>
      <c r="ROL25" s="64"/>
      <c r="ROM25" s="64"/>
      <c r="RON25" s="64"/>
      <c r="ROO25" s="64"/>
      <c r="ROP25" s="64"/>
      <c r="ROQ25" s="64"/>
      <c r="ROR25" s="64"/>
      <c r="ROS25" s="64"/>
      <c r="ROT25" s="64"/>
      <c r="ROU25" s="64"/>
      <c r="ROV25" s="64"/>
      <c r="ROW25" s="64"/>
      <c r="ROX25" s="64"/>
      <c r="ROY25" s="64"/>
      <c r="ROZ25" s="64"/>
      <c r="RPA25" s="64"/>
      <c r="RPB25" s="64"/>
      <c r="RPC25" s="64"/>
      <c r="RPD25" s="64"/>
      <c r="RPE25" s="64"/>
      <c r="RPF25" s="64"/>
      <c r="RPG25" s="64"/>
      <c r="RPH25" s="64"/>
      <c r="RPI25" s="64"/>
      <c r="RPJ25" s="64"/>
      <c r="RPK25" s="64"/>
      <c r="RPL25" s="64"/>
      <c r="RPM25" s="64"/>
      <c r="RPN25" s="64"/>
      <c r="RPO25" s="64"/>
      <c r="RPP25" s="64"/>
      <c r="RPQ25" s="64"/>
      <c r="RPR25" s="64"/>
      <c r="RPS25" s="64"/>
      <c r="RPT25" s="64"/>
      <c r="RPU25" s="64"/>
      <c r="RPV25" s="64"/>
      <c r="RPW25" s="64"/>
      <c r="RPX25" s="64"/>
      <c r="RPY25" s="64"/>
      <c r="RPZ25" s="64"/>
      <c r="RQA25" s="64"/>
      <c r="RQB25" s="64"/>
      <c r="RQC25" s="64"/>
      <c r="RQD25" s="64"/>
      <c r="RQE25" s="64"/>
      <c r="RQF25" s="64"/>
      <c r="RQG25" s="64"/>
      <c r="RQH25" s="64"/>
      <c r="RQI25" s="64"/>
      <c r="RQJ25" s="64"/>
      <c r="RQK25" s="64"/>
      <c r="RQL25" s="64"/>
      <c r="RQM25" s="64"/>
      <c r="RQN25" s="64"/>
      <c r="RQO25" s="64"/>
      <c r="RQP25" s="64"/>
      <c r="RQQ25" s="64"/>
      <c r="RQR25" s="64"/>
      <c r="RQS25" s="64"/>
      <c r="RQT25" s="64"/>
      <c r="RQU25" s="64"/>
      <c r="RQV25" s="64"/>
      <c r="RQW25" s="64"/>
      <c r="RQX25" s="64"/>
      <c r="RQY25" s="64"/>
      <c r="RQZ25" s="64"/>
      <c r="RRA25" s="64"/>
      <c r="RRB25" s="64"/>
      <c r="RRC25" s="64"/>
      <c r="RRD25" s="64"/>
      <c r="RRE25" s="64"/>
      <c r="RRF25" s="64"/>
      <c r="RRG25" s="64"/>
      <c r="RRH25" s="64"/>
      <c r="RRI25" s="64"/>
      <c r="RRJ25" s="64"/>
      <c r="RRK25" s="64"/>
      <c r="RRL25" s="64"/>
      <c r="RRM25" s="64"/>
      <c r="RRN25" s="64"/>
      <c r="RRO25" s="64"/>
      <c r="RRP25" s="64"/>
      <c r="RRQ25" s="64"/>
      <c r="RRR25" s="64"/>
      <c r="RRS25" s="64"/>
      <c r="RRT25" s="64"/>
      <c r="RRU25" s="64"/>
      <c r="RRV25" s="64"/>
      <c r="RRW25" s="64"/>
      <c r="RRX25" s="64"/>
      <c r="RRY25" s="64"/>
      <c r="RRZ25" s="64"/>
      <c r="RSA25" s="64"/>
      <c r="RSB25" s="64"/>
      <c r="RSC25" s="64"/>
      <c r="RSD25" s="64"/>
      <c r="RSE25" s="64"/>
      <c r="RSF25" s="64"/>
      <c r="RSG25" s="64"/>
      <c r="RSH25" s="64"/>
      <c r="RSI25" s="64"/>
      <c r="RSJ25" s="64"/>
      <c r="RSK25" s="64"/>
      <c r="RSL25" s="64"/>
      <c r="RSM25" s="64"/>
      <c r="RSN25" s="64"/>
      <c r="RSO25" s="64"/>
      <c r="RSP25" s="64"/>
      <c r="RSQ25" s="64"/>
      <c r="RSR25" s="64"/>
      <c r="RSS25" s="64"/>
      <c r="RST25" s="64"/>
      <c r="RSU25" s="64"/>
      <c r="RSV25" s="64"/>
      <c r="RSW25" s="64"/>
      <c r="RSX25" s="64"/>
      <c r="RSY25" s="64"/>
      <c r="RSZ25" s="64"/>
      <c r="RTA25" s="64"/>
      <c r="RTB25" s="64"/>
      <c r="RTC25" s="64"/>
      <c r="RTD25" s="64"/>
      <c r="RTE25" s="64"/>
      <c r="RTF25" s="64"/>
      <c r="RTG25" s="64"/>
      <c r="RTH25" s="64"/>
      <c r="RTI25" s="64"/>
      <c r="RTJ25" s="64"/>
      <c r="RTK25" s="64"/>
      <c r="RTL25" s="64"/>
      <c r="RTM25" s="64"/>
      <c r="RTN25" s="64"/>
      <c r="RTO25" s="64"/>
      <c r="RTP25" s="64"/>
      <c r="RTQ25" s="64"/>
      <c r="RTR25" s="64"/>
      <c r="RTS25" s="64"/>
      <c r="RTT25" s="64"/>
      <c r="RTU25" s="64"/>
      <c r="RTV25" s="64"/>
      <c r="RTW25" s="64"/>
      <c r="RTX25" s="64"/>
      <c r="RTY25" s="64"/>
      <c r="RTZ25" s="64"/>
      <c r="RUA25" s="64"/>
      <c r="RUB25" s="64"/>
      <c r="RUC25" s="64"/>
      <c r="RUD25" s="64"/>
      <c r="RUE25" s="64"/>
      <c r="RUF25" s="64"/>
      <c r="RUG25" s="64"/>
      <c r="RUH25" s="64"/>
      <c r="RUI25" s="64"/>
      <c r="RUJ25" s="64"/>
      <c r="RUK25" s="64"/>
      <c r="RUL25" s="64"/>
      <c r="RUM25" s="64"/>
      <c r="RUN25" s="64"/>
      <c r="RUO25" s="64"/>
      <c r="RUP25" s="64"/>
      <c r="RUQ25" s="64"/>
      <c r="RUR25" s="64"/>
      <c r="RUS25" s="64"/>
      <c r="RUT25" s="64"/>
      <c r="RUU25" s="64"/>
      <c r="RUV25" s="64"/>
      <c r="RUW25" s="64"/>
      <c r="RUX25" s="64"/>
      <c r="RUY25" s="64"/>
      <c r="RUZ25" s="64"/>
      <c r="RVA25" s="64"/>
      <c r="RVB25" s="64"/>
      <c r="RVC25" s="64"/>
      <c r="RVD25" s="64"/>
      <c r="RVE25" s="64"/>
      <c r="RVF25" s="64"/>
      <c r="RVG25" s="64"/>
      <c r="RVH25" s="64"/>
      <c r="RVI25" s="64"/>
      <c r="RVJ25" s="64"/>
      <c r="RVK25" s="64"/>
      <c r="RVL25" s="64"/>
      <c r="RVM25" s="64"/>
      <c r="RVN25" s="64"/>
      <c r="RVO25" s="64"/>
      <c r="RVP25" s="64"/>
      <c r="RVQ25" s="64"/>
      <c r="RVR25" s="64"/>
      <c r="RVS25" s="64"/>
      <c r="RVT25" s="64"/>
      <c r="RVU25" s="64"/>
      <c r="RVV25" s="64"/>
      <c r="RVW25" s="64"/>
      <c r="RVX25" s="64"/>
      <c r="RVY25" s="64"/>
      <c r="RVZ25" s="64"/>
      <c r="RWA25" s="64"/>
      <c r="RWB25" s="64"/>
      <c r="RWC25" s="64"/>
      <c r="RWD25" s="64"/>
      <c r="RWE25" s="64"/>
      <c r="RWF25" s="64"/>
      <c r="RWG25" s="64"/>
      <c r="RWH25" s="64"/>
      <c r="RWI25" s="64"/>
      <c r="RWJ25" s="64"/>
      <c r="RWK25" s="64"/>
      <c r="RWL25" s="64"/>
      <c r="RWM25" s="64"/>
      <c r="RWN25" s="64"/>
      <c r="RWO25" s="64"/>
      <c r="RWP25" s="64"/>
      <c r="RWQ25" s="64"/>
      <c r="RWR25" s="64"/>
      <c r="RWS25" s="64"/>
      <c r="RWT25" s="64"/>
      <c r="RWU25" s="64"/>
      <c r="RWV25" s="64"/>
      <c r="RWW25" s="64"/>
      <c r="RWX25" s="64"/>
      <c r="RWY25" s="64"/>
      <c r="RWZ25" s="64"/>
      <c r="RXA25" s="64"/>
      <c r="RXB25" s="64"/>
      <c r="RXC25" s="64"/>
      <c r="RXD25" s="64"/>
      <c r="RXE25" s="64"/>
      <c r="RXF25" s="64"/>
      <c r="RXG25" s="64"/>
      <c r="RXH25" s="64"/>
      <c r="RXI25" s="64"/>
      <c r="RXJ25" s="64"/>
      <c r="RXK25" s="64"/>
      <c r="RXL25" s="64"/>
      <c r="RXM25" s="64"/>
      <c r="RXN25" s="64"/>
      <c r="RXO25" s="64"/>
      <c r="RXP25" s="64"/>
      <c r="RXQ25" s="64"/>
      <c r="RXR25" s="64"/>
      <c r="RXS25" s="64"/>
      <c r="RXT25" s="64"/>
      <c r="RXU25" s="64"/>
      <c r="RXV25" s="64"/>
      <c r="RXW25" s="64"/>
      <c r="RXX25" s="64"/>
      <c r="RXY25" s="64"/>
      <c r="RXZ25" s="64"/>
      <c r="RYA25" s="64"/>
      <c r="RYB25" s="64"/>
      <c r="RYC25" s="64"/>
      <c r="RYD25" s="64"/>
      <c r="RYE25" s="64"/>
      <c r="RYF25" s="64"/>
      <c r="RYG25" s="64"/>
      <c r="RYH25" s="64"/>
      <c r="RYI25" s="64"/>
      <c r="RYJ25" s="64"/>
      <c r="RYK25" s="64"/>
      <c r="RYL25" s="64"/>
      <c r="RYM25" s="64"/>
      <c r="RYN25" s="64"/>
      <c r="RYO25" s="64"/>
      <c r="RYP25" s="64"/>
      <c r="RYQ25" s="64"/>
      <c r="RYR25" s="64"/>
      <c r="RYS25" s="64"/>
      <c r="RYT25" s="64"/>
      <c r="RYU25" s="64"/>
      <c r="RYV25" s="64"/>
      <c r="RYW25" s="64"/>
      <c r="RYX25" s="64"/>
      <c r="RYY25" s="64"/>
      <c r="RYZ25" s="64"/>
      <c r="RZA25" s="64"/>
      <c r="RZB25" s="64"/>
      <c r="RZC25" s="64"/>
      <c r="RZD25" s="64"/>
      <c r="RZE25" s="64"/>
      <c r="RZF25" s="64"/>
      <c r="RZG25" s="64"/>
      <c r="RZH25" s="64"/>
      <c r="RZI25" s="64"/>
      <c r="RZJ25" s="64"/>
      <c r="RZK25" s="64"/>
      <c r="RZL25" s="64"/>
      <c r="RZM25" s="64"/>
      <c r="RZN25" s="64"/>
      <c r="RZO25" s="64"/>
      <c r="RZP25" s="64"/>
      <c r="RZQ25" s="64"/>
      <c r="RZR25" s="64"/>
      <c r="RZS25" s="64"/>
      <c r="RZT25" s="64"/>
      <c r="RZU25" s="64"/>
      <c r="RZV25" s="64"/>
      <c r="RZW25" s="64"/>
      <c r="RZX25" s="64"/>
      <c r="RZY25" s="64"/>
      <c r="RZZ25" s="64"/>
      <c r="SAA25" s="64"/>
      <c r="SAB25" s="64"/>
      <c r="SAC25" s="64"/>
      <c r="SAD25" s="64"/>
      <c r="SAE25" s="64"/>
      <c r="SAF25" s="64"/>
      <c r="SAG25" s="64"/>
      <c r="SAH25" s="64"/>
      <c r="SAI25" s="64"/>
      <c r="SAJ25" s="64"/>
      <c r="SAK25" s="64"/>
      <c r="SAL25" s="64"/>
      <c r="SAM25" s="64"/>
      <c r="SAN25" s="64"/>
      <c r="SAO25" s="64"/>
      <c r="SAP25" s="64"/>
      <c r="SAQ25" s="64"/>
      <c r="SAR25" s="64"/>
      <c r="SAS25" s="64"/>
      <c r="SAT25" s="64"/>
      <c r="SAU25" s="64"/>
      <c r="SAV25" s="64"/>
      <c r="SAW25" s="64"/>
      <c r="SAX25" s="64"/>
      <c r="SAY25" s="64"/>
      <c r="SAZ25" s="64"/>
      <c r="SBA25" s="64"/>
      <c r="SBB25" s="64"/>
      <c r="SBC25" s="64"/>
      <c r="SBD25" s="64"/>
      <c r="SBE25" s="64"/>
      <c r="SBF25" s="64"/>
      <c r="SBG25" s="64"/>
      <c r="SBH25" s="64"/>
      <c r="SBI25" s="64"/>
      <c r="SBJ25" s="64"/>
      <c r="SBK25" s="64"/>
      <c r="SBL25" s="64"/>
      <c r="SBM25" s="64"/>
      <c r="SBN25" s="64"/>
      <c r="SBO25" s="64"/>
      <c r="SBP25" s="64"/>
      <c r="SBQ25" s="64"/>
      <c r="SBR25" s="64"/>
      <c r="SBS25" s="64"/>
      <c r="SBT25" s="64"/>
      <c r="SBU25" s="64"/>
      <c r="SBV25" s="64"/>
      <c r="SBW25" s="64"/>
      <c r="SBX25" s="64"/>
      <c r="SBY25" s="64"/>
      <c r="SBZ25" s="64"/>
      <c r="SCA25" s="64"/>
      <c r="SCB25" s="64"/>
      <c r="SCC25" s="64"/>
      <c r="SCD25" s="64"/>
      <c r="SCE25" s="64"/>
      <c r="SCF25" s="64"/>
      <c r="SCG25" s="64"/>
      <c r="SCH25" s="64"/>
      <c r="SCI25" s="64"/>
      <c r="SCJ25" s="64"/>
      <c r="SCK25" s="64"/>
      <c r="SCL25" s="64"/>
      <c r="SCM25" s="64"/>
      <c r="SCN25" s="64"/>
      <c r="SCO25" s="64"/>
      <c r="SCP25" s="64"/>
      <c r="SCQ25" s="64"/>
      <c r="SCR25" s="64"/>
      <c r="SCS25" s="64"/>
      <c r="SCT25" s="64"/>
      <c r="SCU25" s="64"/>
      <c r="SCV25" s="64"/>
      <c r="SCW25" s="64"/>
      <c r="SCX25" s="64"/>
      <c r="SCY25" s="64"/>
      <c r="SCZ25" s="64"/>
      <c r="SDA25" s="64"/>
      <c r="SDB25" s="64"/>
      <c r="SDC25" s="64"/>
      <c r="SDD25" s="64"/>
      <c r="SDE25" s="64"/>
      <c r="SDF25" s="64"/>
      <c r="SDG25" s="64"/>
      <c r="SDH25" s="64"/>
      <c r="SDI25" s="64"/>
      <c r="SDJ25" s="64"/>
      <c r="SDK25" s="64"/>
      <c r="SDL25" s="64"/>
      <c r="SDM25" s="64"/>
      <c r="SDN25" s="64"/>
      <c r="SDO25" s="64"/>
      <c r="SDP25" s="64"/>
      <c r="SDQ25" s="64"/>
      <c r="SDR25" s="64"/>
      <c r="SDS25" s="64"/>
      <c r="SDT25" s="64"/>
      <c r="SDU25" s="64"/>
      <c r="SDV25" s="64"/>
      <c r="SDW25" s="64"/>
      <c r="SDX25" s="64"/>
      <c r="SDY25" s="64"/>
      <c r="SDZ25" s="64"/>
      <c r="SEA25" s="64"/>
      <c r="SEB25" s="64"/>
      <c r="SEC25" s="64"/>
      <c r="SED25" s="64"/>
      <c r="SEE25" s="64"/>
      <c r="SEF25" s="64"/>
      <c r="SEG25" s="64"/>
      <c r="SEH25" s="64"/>
      <c r="SEI25" s="64"/>
      <c r="SEJ25" s="64"/>
      <c r="SEK25" s="64"/>
      <c r="SEL25" s="64"/>
      <c r="SEM25" s="64"/>
      <c r="SEN25" s="64"/>
      <c r="SEO25" s="64"/>
      <c r="SEP25" s="64"/>
      <c r="SEQ25" s="64"/>
      <c r="SER25" s="64"/>
      <c r="SES25" s="64"/>
      <c r="SET25" s="64"/>
      <c r="SEU25" s="64"/>
      <c r="SEV25" s="64"/>
      <c r="SEW25" s="64"/>
      <c r="SEX25" s="64"/>
      <c r="SEY25" s="64"/>
      <c r="SEZ25" s="64"/>
      <c r="SFA25" s="64"/>
      <c r="SFB25" s="64"/>
      <c r="SFC25" s="64"/>
      <c r="SFD25" s="64"/>
      <c r="SFE25" s="64"/>
      <c r="SFF25" s="64"/>
      <c r="SFG25" s="64"/>
      <c r="SFH25" s="64"/>
      <c r="SFI25" s="64"/>
      <c r="SFJ25" s="64"/>
      <c r="SFK25" s="64"/>
      <c r="SFL25" s="64"/>
      <c r="SFM25" s="64"/>
      <c r="SFN25" s="64"/>
      <c r="SFO25" s="64"/>
      <c r="SFP25" s="64"/>
      <c r="SFQ25" s="64"/>
      <c r="SFR25" s="64"/>
      <c r="SFS25" s="64"/>
      <c r="SFT25" s="64"/>
      <c r="SFU25" s="64"/>
      <c r="SFV25" s="64"/>
      <c r="SFW25" s="64"/>
      <c r="SFX25" s="64"/>
      <c r="SFY25" s="64"/>
      <c r="SFZ25" s="64"/>
      <c r="SGA25" s="64"/>
      <c r="SGB25" s="64"/>
      <c r="SGC25" s="64"/>
      <c r="SGD25" s="64"/>
      <c r="SGE25" s="64"/>
      <c r="SGF25" s="64"/>
      <c r="SGG25" s="64"/>
      <c r="SGH25" s="64"/>
      <c r="SGI25" s="64"/>
      <c r="SGJ25" s="64"/>
      <c r="SGK25" s="64"/>
      <c r="SGL25" s="64"/>
      <c r="SGM25" s="64"/>
      <c r="SGN25" s="64"/>
      <c r="SGO25" s="64"/>
      <c r="SGP25" s="64"/>
      <c r="SGQ25" s="64"/>
      <c r="SGR25" s="64"/>
      <c r="SGS25" s="64"/>
      <c r="SGT25" s="64"/>
      <c r="SGU25" s="64"/>
      <c r="SGV25" s="64"/>
      <c r="SGW25" s="64"/>
      <c r="SGX25" s="64"/>
      <c r="SGY25" s="64"/>
      <c r="SGZ25" s="64"/>
      <c r="SHA25" s="64"/>
      <c r="SHB25" s="64"/>
      <c r="SHC25" s="64"/>
      <c r="SHD25" s="64"/>
      <c r="SHE25" s="64"/>
      <c r="SHF25" s="64"/>
      <c r="SHG25" s="64"/>
      <c r="SHH25" s="64"/>
      <c r="SHI25" s="64"/>
      <c r="SHJ25" s="64"/>
      <c r="SHK25" s="64"/>
      <c r="SHL25" s="64"/>
      <c r="SHM25" s="64"/>
      <c r="SHN25" s="64"/>
      <c r="SHO25" s="64"/>
      <c r="SHP25" s="64"/>
      <c r="SHQ25" s="64"/>
      <c r="SHR25" s="64"/>
      <c r="SHS25" s="64"/>
      <c r="SHT25" s="64"/>
      <c r="SHU25" s="64"/>
      <c r="SHV25" s="64"/>
      <c r="SHW25" s="64"/>
      <c r="SHX25" s="64"/>
      <c r="SHY25" s="64"/>
      <c r="SHZ25" s="64"/>
      <c r="SIA25" s="64"/>
      <c r="SIB25" s="64"/>
      <c r="SIC25" s="64"/>
      <c r="SID25" s="64"/>
      <c r="SIE25" s="64"/>
      <c r="SIF25" s="64"/>
      <c r="SIG25" s="64"/>
      <c r="SIH25" s="64"/>
      <c r="SII25" s="64"/>
      <c r="SIJ25" s="64"/>
      <c r="SIK25" s="64"/>
      <c r="SIL25" s="64"/>
      <c r="SIM25" s="64"/>
      <c r="SIN25" s="64"/>
      <c r="SIO25" s="64"/>
      <c r="SIP25" s="64"/>
      <c r="SIQ25" s="64"/>
      <c r="SIR25" s="64"/>
      <c r="SIS25" s="64"/>
      <c r="SIT25" s="64"/>
      <c r="SIU25" s="64"/>
      <c r="SIV25" s="64"/>
      <c r="SIW25" s="64"/>
      <c r="SIX25" s="64"/>
      <c r="SIY25" s="64"/>
      <c r="SIZ25" s="64"/>
      <c r="SJA25" s="64"/>
      <c r="SJB25" s="64"/>
      <c r="SJC25" s="64"/>
      <c r="SJD25" s="64"/>
      <c r="SJE25" s="64"/>
      <c r="SJF25" s="64"/>
      <c r="SJG25" s="64"/>
      <c r="SJH25" s="64"/>
      <c r="SJI25" s="64"/>
      <c r="SJJ25" s="64"/>
      <c r="SJK25" s="64"/>
      <c r="SJL25" s="64"/>
      <c r="SJM25" s="64"/>
      <c r="SJN25" s="64"/>
      <c r="SJO25" s="64"/>
      <c r="SJP25" s="64"/>
      <c r="SJQ25" s="64"/>
      <c r="SJR25" s="64"/>
      <c r="SJS25" s="64"/>
      <c r="SJT25" s="64"/>
      <c r="SJU25" s="64"/>
      <c r="SJV25" s="64"/>
      <c r="SJW25" s="64"/>
      <c r="SJX25" s="64"/>
      <c r="SJY25" s="64"/>
      <c r="SJZ25" s="64"/>
      <c r="SKA25" s="64"/>
      <c r="SKB25" s="64"/>
      <c r="SKC25" s="64"/>
      <c r="SKD25" s="64"/>
      <c r="SKE25" s="64"/>
      <c r="SKF25" s="64"/>
      <c r="SKG25" s="64"/>
      <c r="SKH25" s="64"/>
      <c r="SKI25" s="64"/>
      <c r="SKJ25" s="64"/>
      <c r="SKK25" s="64"/>
      <c r="SKL25" s="64"/>
      <c r="SKM25" s="64"/>
      <c r="SKN25" s="64"/>
      <c r="SKO25" s="64"/>
      <c r="SKP25" s="64"/>
      <c r="SKQ25" s="64"/>
      <c r="SKR25" s="64"/>
      <c r="SKS25" s="64"/>
      <c r="SKT25" s="64"/>
      <c r="SKU25" s="64"/>
      <c r="SKV25" s="64"/>
      <c r="SKW25" s="64"/>
      <c r="SKX25" s="64"/>
      <c r="SKY25" s="64"/>
      <c r="SKZ25" s="64"/>
      <c r="SLA25" s="64"/>
      <c r="SLB25" s="64"/>
      <c r="SLC25" s="64"/>
      <c r="SLD25" s="64"/>
      <c r="SLE25" s="64"/>
      <c r="SLF25" s="64"/>
      <c r="SLG25" s="64"/>
      <c r="SLH25" s="64"/>
      <c r="SLI25" s="64"/>
      <c r="SLJ25" s="64"/>
      <c r="SLK25" s="64"/>
      <c r="SLL25" s="64"/>
      <c r="SLM25" s="64"/>
      <c r="SLN25" s="64"/>
      <c r="SLO25" s="64"/>
      <c r="SLP25" s="64"/>
      <c r="SLQ25" s="64"/>
      <c r="SLR25" s="64"/>
      <c r="SLS25" s="64"/>
      <c r="SLT25" s="64"/>
      <c r="SLU25" s="64"/>
      <c r="SLV25" s="64"/>
      <c r="SLW25" s="64"/>
      <c r="SLX25" s="64"/>
      <c r="SLY25" s="64"/>
      <c r="SLZ25" s="64"/>
      <c r="SMA25" s="64"/>
      <c r="SMB25" s="64"/>
      <c r="SMC25" s="64"/>
      <c r="SMD25" s="64"/>
      <c r="SME25" s="64"/>
      <c r="SMF25" s="64"/>
      <c r="SMG25" s="64"/>
      <c r="SMH25" s="64"/>
      <c r="SMI25" s="64"/>
      <c r="SMJ25" s="64"/>
      <c r="SMK25" s="64"/>
      <c r="SML25" s="64"/>
      <c r="SMM25" s="64"/>
      <c r="SMN25" s="64"/>
      <c r="SMO25" s="64"/>
      <c r="SMP25" s="64"/>
      <c r="SMQ25" s="64"/>
      <c r="SMR25" s="64"/>
      <c r="SMS25" s="64"/>
      <c r="SMT25" s="64"/>
      <c r="SMU25" s="64"/>
      <c r="SMV25" s="64"/>
      <c r="SMW25" s="64"/>
      <c r="SMX25" s="64"/>
      <c r="SMY25" s="64"/>
      <c r="SMZ25" s="64"/>
      <c r="SNA25" s="64"/>
      <c r="SNB25" s="64"/>
      <c r="SNC25" s="64"/>
      <c r="SND25" s="64"/>
      <c r="SNE25" s="64"/>
      <c r="SNF25" s="64"/>
      <c r="SNG25" s="64"/>
      <c r="SNH25" s="64"/>
      <c r="SNI25" s="64"/>
      <c r="SNJ25" s="64"/>
      <c r="SNK25" s="64"/>
      <c r="SNL25" s="64"/>
      <c r="SNM25" s="64"/>
      <c r="SNN25" s="64"/>
      <c r="SNO25" s="64"/>
      <c r="SNP25" s="64"/>
      <c r="SNQ25" s="64"/>
      <c r="SNR25" s="64"/>
      <c r="SNS25" s="64"/>
      <c r="SNT25" s="64"/>
      <c r="SNU25" s="64"/>
      <c r="SNV25" s="64"/>
      <c r="SNW25" s="64"/>
      <c r="SNX25" s="64"/>
      <c r="SNY25" s="64"/>
      <c r="SNZ25" s="64"/>
      <c r="SOA25" s="64"/>
      <c r="SOB25" s="64"/>
      <c r="SOC25" s="64"/>
      <c r="SOD25" s="64"/>
      <c r="SOE25" s="64"/>
      <c r="SOF25" s="64"/>
      <c r="SOG25" s="64"/>
      <c r="SOH25" s="64"/>
      <c r="SOI25" s="64"/>
      <c r="SOJ25" s="64"/>
      <c r="SOK25" s="64"/>
      <c r="SOL25" s="64"/>
      <c r="SOM25" s="64"/>
      <c r="SON25" s="64"/>
      <c r="SOO25" s="64"/>
      <c r="SOP25" s="64"/>
      <c r="SOQ25" s="64"/>
      <c r="SOR25" s="64"/>
      <c r="SOS25" s="64"/>
      <c r="SOT25" s="64"/>
      <c r="SOU25" s="64"/>
      <c r="SOV25" s="64"/>
      <c r="SOW25" s="64"/>
      <c r="SOX25" s="64"/>
      <c r="SOY25" s="64"/>
      <c r="SOZ25" s="64"/>
      <c r="SPA25" s="64"/>
      <c r="SPB25" s="64"/>
      <c r="SPC25" s="64"/>
      <c r="SPD25" s="64"/>
      <c r="SPE25" s="64"/>
      <c r="SPF25" s="64"/>
      <c r="SPG25" s="64"/>
      <c r="SPH25" s="64"/>
      <c r="SPI25" s="64"/>
      <c r="SPJ25" s="64"/>
      <c r="SPK25" s="64"/>
      <c r="SPL25" s="64"/>
      <c r="SPM25" s="64"/>
      <c r="SPN25" s="64"/>
      <c r="SPO25" s="64"/>
      <c r="SPP25" s="64"/>
      <c r="SPQ25" s="64"/>
      <c r="SPR25" s="64"/>
      <c r="SPS25" s="64"/>
      <c r="SPT25" s="64"/>
      <c r="SPU25" s="64"/>
      <c r="SPV25" s="64"/>
      <c r="SPW25" s="64"/>
      <c r="SPX25" s="64"/>
      <c r="SPY25" s="64"/>
      <c r="SPZ25" s="64"/>
      <c r="SQA25" s="64"/>
      <c r="SQB25" s="64"/>
      <c r="SQC25" s="64"/>
      <c r="SQD25" s="64"/>
      <c r="SQE25" s="64"/>
      <c r="SQF25" s="64"/>
      <c r="SQG25" s="64"/>
      <c r="SQH25" s="64"/>
      <c r="SQI25" s="64"/>
      <c r="SQJ25" s="64"/>
      <c r="SQK25" s="64"/>
      <c r="SQL25" s="64"/>
      <c r="SQM25" s="64"/>
      <c r="SQN25" s="64"/>
      <c r="SQO25" s="64"/>
      <c r="SQP25" s="64"/>
      <c r="SQQ25" s="64"/>
      <c r="SQR25" s="64"/>
      <c r="SQS25" s="64"/>
      <c r="SQT25" s="64"/>
      <c r="SQU25" s="64"/>
      <c r="SQV25" s="64"/>
      <c r="SQW25" s="64"/>
      <c r="SQX25" s="64"/>
      <c r="SQY25" s="64"/>
      <c r="SQZ25" s="64"/>
      <c r="SRA25" s="64"/>
      <c r="SRB25" s="64"/>
      <c r="SRC25" s="64"/>
      <c r="SRD25" s="64"/>
      <c r="SRE25" s="64"/>
      <c r="SRF25" s="64"/>
      <c r="SRG25" s="64"/>
      <c r="SRH25" s="64"/>
      <c r="SRI25" s="64"/>
      <c r="SRJ25" s="64"/>
      <c r="SRK25" s="64"/>
      <c r="SRL25" s="64"/>
      <c r="SRM25" s="64"/>
      <c r="SRN25" s="64"/>
      <c r="SRO25" s="64"/>
      <c r="SRP25" s="64"/>
      <c r="SRQ25" s="64"/>
      <c r="SRR25" s="64"/>
      <c r="SRS25" s="64"/>
      <c r="SRT25" s="64"/>
      <c r="SRU25" s="64"/>
      <c r="SRV25" s="64"/>
      <c r="SRW25" s="64"/>
      <c r="SRX25" s="64"/>
      <c r="SRY25" s="64"/>
      <c r="SRZ25" s="64"/>
      <c r="SSA25" s="64"/>
      <c r="SSB25" s="64"/>
      <c r="SSC25" s="64"/>
      <c r="SSD25" s="64"/>
      <c r="SSE25" s="64"/>
      <c r="SSF25" s="64"/>
      <c r="SSG25" s="64"/>
      <c r="SSH25" s="64"/>
      <c r="SSI25" s="64"/>
      <c r="SSJ25" s="64"/>
      <c r="SSK25" s="64"/>
      <c r="SSL25" s="64"/>
      <c r="SSM25" s="64"/>
      <c r="SSN25" s="64"/>
      <c r="SSO25" s="64"/>
      <c r="SSP25" s="64"/>
      <c r="SSQ25" s="64"/>
      <c r="SSR25" s="64"/>
      <c r="SSS25" s="64"/>
      <c r="SST25" s="64"/>
      <c r="SSU25" s="64"/>
      <c r="SSV25" s="64"/>
      <c r="SSW25" s="64"/>
      <c r="SSX25" s="64"/>
      <c r="SSY25" s="64"/>
      <c r="SSZ25" s="64"/>
      <c r="STA25" s="64"/>
      <c r="STB25" s="64"/>
      <c r="STC25" s="64"/>
      <c r="STD25" s="64"/>
      <c r="STE25" s="64"/>
      <c r="STF25" s="64"/>
      <c r="STG25" s="64"/>
      <c r="STH25" s="64"/>
      <c r="STI25" s="64"/>
      <c r="STJ25" s="64"/>
      <c r="STK25" s="64"/>
      <c r="STL25" s="64"/>
      <c r="STM25" s="64"/>
      <c r="STN25" s="64"/>
      <c r="STO25" s="64"/>
      <c r="STP25" s="64"/>
      <c r="STQ25" s="64"/>
      <c r="STR25" s="64"/>
      <c r="STS25" s="64"/>
      <c r="STT25" s="64"/>
      <c r="STU25" s="64"/>
      <c r="STV25" s="64"/>
      <c r="STW25" s="64"/>
      <c r="STX25" s="64"/>
      <c r="STY25" s="64"/>
      <c r="STZ25" s="64"/>
      <c r="SUA25" s="64"/>
      <c r="SUB25" s="64"/>
      <c r="SUC25" s="64"/>
      <c r="SUD25" s="64"/>
      <c r="SUE25" s="64"/>
      <c r="SUF25" s="64"/>
      <c r="SUG25" s="64"/>
      <c r="SUH25" s="64"/>
      <c r="SUI25" s="64"/>
      <c r="SUJ25" s="64"/>
      <c r="SUK25" s="64"/>
      <c r="SUL25" s="64"/>
      <c r="SUM25" s="64"/>
      <c r="SUN25" s="64"/>
      <c r="SUO25" s="64"/>
      <c r="SUP25" s="64"/>
      <c r="SUQ25" s="64"/>
      <c r="SUR25" s="64"/>
      <c r="SUS25" s="64"/>
      <c r="SUT25" s="64"/>
      <c r="SUU25" s="64"/>
      <c r="SUV25" s="64"/>
      <c r="SUW25" s="64"/>
      <c r="SUX25" s="64"/>
      <c r="SUY25" s="64"/>
      <c r="SUZ25" s="64"/>
      <c r="SVA25" s="64"/>
      <c r="SVB25" s="64"/>
      <c r="SVC25" s="64"/>
      <c r="SVD25" s="64"/>
      <c r="SVE25" s="64"/>
      <c r="SVF25" s="64"/>
      <c r="SVG25" s="64"/>
      <c r="SVH25" s="64"/>
      <c r="SVI25" s="64"/>
      <c r="SVJ25" s="64"/>
      <c r="SVK25" s="64"/>
      <c r="SVL25" s="64"/>
      <c r="SVM25" s="64"/>
      <c r="SVN25" s="64"/>
      <c r="SVO25" s="64"/>
      <c r="SVP25" s="64"/>
      <c r="SVQ25" s="64"/>
      <c r="SVR25" s="64"/>
      <c r="SVS25" s="64"/>
      <c r="SVT25" s="64"/>
      <c r="SVU25" s="64"/>
      <c r="SVV25" s="64"/>
      <c r="SVW25" s="64"/>
      <c r="SVX25" s="64"/>
      <c r="SVY25" s="64"/>
      <c r="SVZ25" s="64"/>
      <c r="SWA25" s="64"/>
      <c r="SWB25" s="64"/>
      <c r="SWC25" s="64"/>
      <c r="SWD25" s="64"/>
      <c r="SWE25" s="64"/>
      <c r="SWF25" s="64"/>
      <c r="SWG25" s="64"/>
      <c r="SWH25" s="64"/>
      <c r="SWI25" s="64"/>
      <c r="SWJ25" s="64"/>
      <c r="SWK25" s="64"/>
      <c r="SWL25" s="64"/>
      <c r="SWM25" s="64"/>
      <c r="SWN25" s="64"/>
      <c r="SWO25" s="64"/>
      <c r="SWP25" s="64"/>
      <c r="SWQ25" s="64"/>
      <c r="SWR25" s="64"/>
      <c r="SWS25" s="64"/>
      <c r="SWT25" s="64"/>
      <c r="SWU25" s="64"/>
      <c r="SWV25" s="64"/>
      <c r="SWW25" s="64"/>
      <c r="SWX25" s="64"/>
      <c r="SWY25" s="64"/>
      <c r="SWZ25" s="64"/>
      <c r="SXA25" s="64"/>
      <c r="SXB25" s="64"/>
      <c r="SXC25" s="64"/>
      <c r="SXD25" s="64"/>
      <c r="SXE25" s="64"/>
      <c r="SXF25" s="64"/>
      <c r="SXG25" s="64"/>
      <c r="SXH25" s="64"/>
      <c r="SXI25" s="64"/>
      <c r="SXJ25" s="64"/>
      <c r="SXK25" s="64"/>
      <c r="SXL25" s="64"/>
      <c r="SXM25" s="64"/>
      <c r="SXN25" s="64"/>
      <c r="SXO25" s="64"/>
      <c r="SXP25" s="64"/>
      <c r="SXQ25" s="64"/>
      <c r="SXR25" s="64"/>
      <c r="SXS25" s="64"/>
      <c r="SXT25" s="64"/>
      <c r="SXU25" s="64"/>
      <c r="SXV25" s="64"/>
      <c r="SXW25" s="64"/>
      <c r="SXX25" s="64"/>
      <c r="SXY25" s="64"/>
      <c r="SXZ25" s="64"/>
      <c r="SYA25" s="64"/>
      <c r="SYB25" s="64"/>
      <c r="SYC25" s="64"/>
      <c r="SYD25" s="64"/>
      <c r="SYE25" s="64"/>
      <c r="SYF25" s="64"/>
      <c r="SYG25" s="64"/>
      <c r="SYH25" s="64"/>
      <c r="SYI25" s="64"/>
      <c r="SYJ25" s="64"/>
      <c r="SYK25" s="64"/>
      <c r="SYL25" s="64"/>
      <c r="SYM25" s="64"/>
      <c r="SYN25" s="64"/>
      <c r="SYO25" s="64"/>
      <c r="SYP25" s="64"/>
      <c r="SYQ25" s="64"/>
      <c r="SYR25" s="64"/>
      <c r="SYS25" s="64"/>
      <c r="SYT25" s="64"/>
      <c r="SYU25" s="64"/>
      <c r="SYV25" s="64"/>
      <c r="SYW25" s="64"/>
      <c r="SYX25" s="64"/>
      <c r="SYY25" s="64"/>
      <c r="SYZ25" s="64"/>
      <c r="SZA25" s="64"/>
      <c r="SZB25" s="64"/>
      <c r="SZC25" s="64"/>
      <c r="SZD25" s="64"/>
      <c r="SZE25" s="64"/>
      <c r="SZF25" s="64"/>
      <c r="SZG25" s="64"/>
      <c r="SZH25" s="64"/>
      <c r="SZI25" s="64"/>
      <c r="SZJ25" s="64"/>
      <c r="SZK25" s="64"/>
      <c r="SZL25" s="64"/>
      <c r="SZM25" s="64"/>
      <c r="SZN25" s="64"/>
      <c r="SZO25" s="64"/>
      <c r="SZP25" s="64"/>
      <c r="SZQ25" s="64"/>
      <c r="SZR25" s="64"/>
      <c r="SZS25" s="64"/>
      <c r="SZT25" s="64"/>
      <c r="SZU25" s="64"/>
      <c r="SZV25" s="64"/>
      <c r="SZW25" s="64"/>
      <c r="SZX25" s="64"/>
      <c r="SZY25" s="64"/>
      <c r="SZZ25" s="64"/>
      <c r="TAA25" s="64"/>
      <c r="TAB25" s="64"/>
      <c r="TAC25" s="64"/>
      <c r="TAD25" s="64"/>
      <c r="TAE25" s="64"/>
      <c r="TAF25" s="64"/>
      <c r="TAG25" s="64"/>
      <c r="TAH25" s="64"/>
      <c r="TAI25" s="64"/>
      <c r="TAJ25" s="64"/>
      <c r="TAK25" s="64"/>
      <c r="TAL25" s="64"/>
      <c r="TAM25" s="64"/>
      <c r="TAN25" s="64"/>
      <c r="TAO25" s="64"/>
      <c r="TAP25" s="64"/>
      <c r="TAQ25" s="64"/>
      <c r="TAR25" s="64"/>
      <c r="TAS25" s="64"/>
      <c r="TAT25" s="64"/>
      <c r="TAU25" s="64"/>
      <c r="TAV25" s="64"/>
      <c r="TAW25" s="64"/>
      <c r="TAX25" s="64"/>
      <c r="TAY25" s="64"/>
      <c r="TAZ25" s="64"/>
      <c r="TBA25" s="64"/>
      <c r="TBB25" s="64"/>
      <c r="TBC25" s="64"/>
      <c r="TBD25" s="64"/>
      <c r="TBE25" s="64"/>
      <c r="TBF25" s="64"/>
      <c r="TBG25" s="64"/>
      <c r="TBH25" s="64"/>
      <c r="TBI25" s="64"/>
      <c r="TBJ25" s="64"/>
      <c r="TBK25" s="64"/>
      <c r="TBL25" s="64"/>
      <c r="TBM25" s="64"/>
      <c r="TBN25" s="64"/>
      <c r="TBO25" s="64"/>
      <c r="TBP25" s="64"/>
      <c r="TBQ25" s="64"/>
      <c r="TBR25" s="64"/>
      <c r="TBS25" s="64"/>
      <c r="TBT25" s="64"/>
      <c r="TBU25" s="64"/>
      <c r="TBV25" s="64"/>
      <c r="TBW25" s="64"/>
      <c r="TBX25" s="64"/>
      <c r="TBY25" s="64"/>
      <c r="TBZ25" s="64"/>
      <c r="TCA25" s="64"/>
      <c r="TCB25" s="64"/>
      <c r="TCC25" s="64"/>
      <c r="TCD25" s="64"/>
      <c r="TCE25" s="64"/>
      <c r="TCF25" s="64"/>
      <c r="TCG25" s="64"/>
      <c r="TCH25" s="64"/>
      <c r="TCI25" s="64"/>
      <c r="TCJ25" s="64"/>
      <c r="TCK25" s="64"/>
      <c r="TCL25" s="64"/>
      <c r="TCM25" s="64"/>
      <c r="TCN25" s="64"/>
      <c r="TCO25" s="64"/>
      <c r="TCP25" s="64"/>
      <c r="TCQ25" s="64"/>
      <c r="TCR25" s="64"/>
      <c r="TCS25" s="64"/>
      <c r="TCT25" s="64"/>
      <c r="TCU25" s="64"/>
      <c r="TCV25" s="64"/>
      <c r="TCW25" s="64"/>
      <c r="TCX25" s="64"/>
      <c r="TCY25" s="64"/>
      <c r="TCZ25" s="64"/>
      <c r="TDA25" s="64"/>
      <c r="TDB25" s="64"/>
      <c r="TDC25" s="64"/>
      <c r="TDD25" s="64"/>
      <c r="TDE25" s="64"/>
      <c r="TDF25" s="64"/>
      <c r="TDG25" s="64"/>
      <c r="TDH25" s="64"/>
      <c r="TDI25" s="64"/>
      <c r="TDJ25" s="64"/>
      <c r="TDK25" s="64"/>
      <c r="TDL25" s="64"/>
      <c r="TDM25" s="64"/>
      <c r="TDN25" s="64"/>
      <c r="TDO25" s="64"/>
      <c r="TDP25" s="64"/>
      <c r="TDQ25" s="64"/>
      <c r="TDR25" s="64"/>
      <c r="TDS25" s="64"/>
      <c r="TDT25" s="64"/>
      <c r="TDU25" s="64"/>
      <c r="TDV25" s="64"/>
      <c r="TDW25" s="64"/>
      <c r="TDX25" s="64"/>
      <c r="TDY25" s="64"/>
      <c r="TDZ25" s="64"/>
      <c r="TEA25" s="64"/>
      <c r="TEB25" s="64"/>
      <c r="TEC25" s="64"/>
      <c r="TED25" s="64"/>
      <c r="TEE25" s="64"/>
      <c r="TEF25" s="64"/>
      <c r="TEG25" s="64"/>
      <c r="TEH25" s="64"/>
      <c r="TEI25" s="64"/>
      <c r="TEJ25" s="64"/>
      <c r="TEK25" s="64"/>
      <c r="TEL25" s="64"/>
      <c r="TEM25" s="64"/>
      <c r="TEN25" s="64"/>
      <c r="TEO25" s="64"/>
      <c r="TEP25" s="64"/>
      <c r="TEQ25" s="64"/>
      <c r="TER25" s="64"/>
      <c r="TES25" s="64"/>
      <c r="TET25" s="64"/>
      <c r="TEU25" s="64"/>
      <c r="TEV25" s="64"/>
      <c r="TEW25" s="64"/>
      <c r="TEX25" s="64"/>
      <c r="TEY25" s="64"/>
      <c r="TEZ25" s="64"/>
      <c r="TFA25" s="64"/>
      <c r="TFB25" s="64"/>
      <c r="TFC25" s="64"/>
      <c r="TFD25" s="64"/>
      <c r="TFE25" s="64"/>
      <c r="TFF25" s="64"/>
      <c r="TFG25" s="64"/>
      <c r="TFH25" s="64"/>
      <c r="TFI25" s="64"/>
      <c r="TFJ25" s="64"/>
      <c r="TFK25" s="64"/>
      <c r="TFL25" s="64"/>
      <c r="TFM25" s="64"/>
      <c r="TFN25" s="64"/>
      <c r="TFO25" s="64"/>
      <c r="TFP25" s="64"/>
      <c r="TFQ25" s="64"/>
      <c r="TFR25" s="64"/>
      <c r="TFS25" s="64"/>
      <c r="TFT25" s="64"/>
      <c r="TFU25" s="64"/>
      <c r="TFV25" s="64"/>
      <c r="TFW25" s="64"/>
      <c r="TFX25" s="64"/>
      <c r="TFY25" s="64"/>
      <c r="TFZ25" s="64"/>
      <c r="TGA25" s="64"/>
      <c r="TGB25" s="64"/>
      <c r="TGC25" s="64"/>
      <c r="TGD25" s="64"/>
      <c r="TGE25" s="64"/>
      <c r="TGF25" s="64"/>
      <c r="TGG25" s="64"/>
      <c r="TGH25" s="64"/>
      <c r="TGI25" s="64"/>
      <c r="TGJ25" s="64"/>
      <c r="TGK25" s="64"/>
      <c r="TGL25" s="64"/>
      <c r="TGM25" s="64"/>
      <c r="TGN25" s="64"/>
      <c r="TGO25" s="64"/>
      <c r="TGP25" s="64"/>
      <c r="TGQ25" s="64"/>
      <c r="TGR25" s="64"/>
      <c r="TGS25" s="64"/>
      <c r="TGT25" s="64"/>
      <c r="TGU25" s="64"/>
      <c r="TGV25" s="64"/>
      <c r="TGW25" s="64"/>
      <c r="TGX25" s="64"/>
      <c r="TGY25" s="64"/>
      <c r="TGZ25" s="64"/>
      <c r="THA25" s="64"/>
      <c r="THB25" s="64"/>
      <c r="THC25" s="64"/>
      <c r="THD25" s="64"/>
      <c r="THE25" s="64"/>
      <c r="THF25" s="64"/>
      <c r="THG25" s="64"/>
      <c r="THH25" s="64"/>
      <c r="THI25" s="64"/>
      <c r="THJ25" s="64"/>
      <c r="THK25" s="64"/>
      <c r="THL25" s="64"/>
      <c r="THM25" s="64"/>
      <c r="THN25" s="64"/>
      <c r="THO25" s="64"/>
      <c r="THP25" s="64"/>
      <c r="THQ25" s="64"/>
      <c r="THR25" s="64"/>
      <c r="THS25" s="64"/>
      <c r="THT25" s="64"/>
      <c r="THU25" s="64"/>
      <c r="THV25" s="64"/>
      <c r="THW25" s="64"/>
      <c r="THX25" s="64"/>
      <c r="THY25" s="64"/>
      <c r="THZ25" s="64"/>
      <c r="TIA25" s="64"/>
      <c r="TIB25" s="64"/>
      <c r="TIC25" s="64"/>
      <c r="TID25" s="64"/>
      <c r="TIE25" s="64"/>
      <c r="TIF25" s="64"/>
      <c r="TIG25" s="64"/>
      <c r="TIH25" s="64"/>
      <c r="TII25" s="64"/>
      <c r="TIJ25" s="64"/>
      <c r="TIK25" s="64"/>
      <c r="TIL25" s="64"/>
      <c r="TIM25" s="64"/>
      <c r="TIN25" s="64"/>
      <c r="TIO25" s="64"/>
      <c r="TIP25" s="64"/>
      <c r="TIQ25" s="64"/>
      <c r="TIR25" s="64"/>
      <c r="TIS25" s="64"/>
      <c r="TIT25" s="64"/>
      <c r="TIU25" s="64"/>
      <c r="TIV25" s="64"/>
      <c r="TIW25" s="64"/>
      <c r="TIX25" s="64"/>
      <c r="TIY25" s="64"/>
      <c r="TIZ25" s="64"/>
      <c r="TJA25" s="64"/>
      <c r="TJB25" s="64"/>
      <c r="TJC25" s="64"/>
      <c r="TJD25" s="64"/>
      <c r="TJE25" s="64"/>
      <c r="TJF25" s="64"/>
      <c r="TJG25" s="64"/>
      <c r="TJH25" s="64"/>
      <c r="TJI25" s="64"/>
      <c r="TJJ25" s="64"/>
      <c r="TJK25" s="64"/>
      <c r="TJL25" s="64"/>
      <c r="TJM25" s="64"/>
      <c r="TJN25" s="64"/>
      <c r="TJO25" s="64"/>
      <c r="TJP25" s="64"/>
      <c r="TJQ25" s="64"/>
      <c r="TJR25" s="64"/>
      <c r="TJS25" s="64"/>
      <c r="TJT25" s="64"/>
      <c r="TJU25" s="64"/>
      <c r="TJV25" s="64"/>
      <c r="TJW25" s="64"/>
      <c r="TJX25" s="64"/>
      <c r="TJY25" s="64"/>
      <c r="TJZ25" s="64"/>
      <c r="TKA25" s="64"/>
      <c r="TKB25" s="64"/>
      <c r="TKC25" s="64"/>
      <c r="TKD25" s="64"/>
      <c r="TKE25" s="64"/>
      <c r="TKF25" s="64"/>
      <c r="TKG25" s="64"/>
      <c r="TKH25" s="64"/>
      <c r="TKI25" s="64"/>
      <c r="TKJ25" s="64"/>
      <c r="TKK25" s="64"/>
      <c r="TKL25" s="64"/>
      <c r="TKM25" s="64"/>
      <c r="TKN25" s="64"/>
      <c r="TKO25" s="64"/>
      <c r="TKP25" s="64"/>
      <c r="TKQ25" s="64"/>
      <c r="TKR25" s="64"/>
      <c r="TKS25" s="64"/>
      <c r="TKT25" s="64"/>
      <c r="TKU25" s="64"/>
      <c r="TKV25" s="64"/>
      <c r="TKW25" s="64"/>
      <c r="TKX25" s="64"/>
      <c r="TKY25" s="64"/>
      <c r="TKZ25" s="64"/>
      <c r="TLA25" s="64"/>
      <c r="TLB25" s="64"/>
      <c r="TLC25" s="64"/>
      <c r="TLD25" s="64"/>
      <c r="TLE25" s="64"/>
      <c r="TLF25" s="64"/>
      <c r="TLG25" s="64"/>
      <c r="TLH25" s="64"/>
      <c r="TLI25" s="64"/>
      <c r="TLJ25" s="64"/>
      <c r="TLK25" s="64"/>
      <c r="TLL25" s="64"/>
      <c r="TLM25" s="64"/>
      <c r="TLN25" s="64"/>
      <c r="TLO25" s="64"/>
      <c r="TLP25" s="64"/>
      <c r="TLQ25" s="64"/>
      <c r="TLR25" s="64"/>
      <c r="TLS25" s="64"/>
      <c r="TLT25" s="64"/>
      <c r="TLU25" s="64"/>
      <c r="TLV25" s="64"/>
      <c r="TLW25" s="64"/>
      <c r="TLX25" s="64"/>
      <c r="TLY25" s="64"/>
      <c r="TLZ25" s="64"/>
      <c r="TMA25" s="64"/>
      <c r="TMB25" s="64"/>
      <c r="TMC25" s="64"/>
      <c r="TMD25" s="64"/>
      <c r="TME25" s="64"/>
      <c r="TMF25" s="64"/>
      <c r="TMG25" s="64"/>
      <c r="TMH25" s="64"/>
      <c r="TMI25" s="64"/>
      <c r="TMJ25" s="64"/>
      <c r="TMK25" s="64"/>
      <c r="TML25" s="64"/>
      <c r="TMM25" s="64"/>
      <c r="TMN25" s="64"/>
      <c r="TMO25" s="64"/>
      <c r="TMP25" s="64"/>
      <c r="TMQ25" s="64"/>
      <c r="TMR25" s="64"/>
      <c r="TMS25" s="64"/>
      <c r="TMT25" s="64"/>
      <c r="TMU25" s="64"/>
      <c r="TMV25" s="64"/>
      <c r="TMW25" s="64"/>
      <c r="TMX25" s="64"/>
      <c r="TMY25" s="64"/>
      <c r="TMZ25" s="64"/>
      <c r="TNA25" s="64"/>
      <c r="TNB25" s="64"/>
      <c r="TNC25" s="64"/>
      <c r="TND25" s="64"/>
      <c r="TNE25" s="64"/>
      <c r="TNF25" s="64"/>
      <c r="TNG25" s="64"/>
      <c r="TNH25" s="64"/>
      <c r="TNI25" s="64"/>
      <c r="TNJ25" s="64"/>
      <c r="TNK25" s="64"/>
      <c r="TNL25" s="64"/>
      <c r="TNM25" s="64"/>
      <c r="TNN25" s="64"/>
      <c r="TNO25" s="64"/>
      <c r="TNP25" s="64"/>
      <c r="TNQ25" s="64"/>
      <c r="TNR25" s="64"/>
      <c r="TNS25" s="64"/>
      <c r="TNT25" s="64"/>
      <c r="TNU25" s="64"/>
      <c r="TNV25" s="64"/>
      <c r="TNW25" s="64"/>
      <c r="TNX25" s="64"/>
      <c r="TNY25" s="64"/>
      <c r="TNZ25" s="64"/>
      <c r="TOA25" s="64"/>
      <c r="TOB25" s="64"/>
      <c r="TOC25" s="64"/>
      <c r="TOD25" s="64"/>
      <c r="TOE25" s="64"/>
      <c r="TOF25" s="64"/>
      <c r="TOG25" s="64"/>
      <c r="TOH25" s="64"/>
      <c r="TOI25" s="64"/>
      <c r="TOJ25" s="64"/>
      <c r="TOK25" s="64"/>
      <c r="TOL25" s="64"/>
      <c r="TOM25" s="64"/>
      <c r="TON25" s="64"/>
      <c r="TOO25" s="64"/>
      <c r="TOP25" s="64"/>
      <c r="TOQ25" s="64"/>
      <c r="TOR25" s="64"/>
      <c r="TOS25" s="64"/>
      <c r="TOT25" s="64"/>
      <c r="TOU25" s="64"/>
      <c r="TOV25" s="64"/>
      <c r="TOW25" s="64"/>
      <c r="TOX25" s="64"/>
      <c r="TOY25" s="64"/>
      <c r="TOZ25" s="64"/>
      <c r="TPA25" s="64"/>
      <c r="TPB25" s="64"/>
      <c r="TPC25" s="64"/>
      <c r="TPD25" s="64"/>
      <c r="TPE25" s="64"/>
      <c r="TPF25" s="64"/>
      <c r="TPG25" s="64"/>
      <c r="TPH25" s="64"/>
      <c r="TPI25" s="64"/>
      <c r="TPJ25" s="64"/>
      <c r="TPK25" s="64"/>
      <c r="TPL25" s="64"/>
      <c r="TPM25" s="64"/>
      <c r="TPN25" s="64"/>
      <c r="TPO25" s="64"/>
      <c r="TPP25" s="64"/>
      <c r="TPQ25" s="64"/>
      <c r="TPR25" s="64"/>
      <c r="TPS25" s="64"/>
      <c r="TPT25" s="64"/>
      <c r="TPU25" s="64"/>
      <c r="TPV25" s="64"/>
      <c r="TPW25" s="64"/>
      <c r="TPX25" s="64"/>
      <c r="TPY25" s="64"/>
      <c r="TPZ25" s="64"/>
      <c r="TQA25" s="64"/>
      <c r="TQB25" s="64"/>
      <c r="TQC25" s="64"/>
      <c r="TQD25" s="64"/>
      <c r="TQE25" s="64"/>
      <c r="TQF25" s="64"/>
      <c r="TQG25" s="64"/>
      <c r="TQH25" s="64"/>
      <c r="TQI25" s="64"/>
      <c r="TQJ25" s="64"/>
      <c r="TQK25" s="64"/>
      <c r="TQL25" s="64"/>
      <c r="TQM25" s="64"/>
      <c r="TQN25" s="64"/>
      <c r="TQO25" s="64"/>
      <c r="TQP25" s="64"/>
      <c r="TQQ25" s="64"/>
      <c r="TQR25" s="64"/>
      <c r="TQS25" s="64"/>
      <c r="TQT25" s="64"/>
      <c r="TQU25" s="64"/>
      <c r="TQV25" s="64"/>
      <c r="TQW25" s="64"/>
      <c r="TQX25" s="64"/>
      <c r="TQY25" s="64"/>
      <c r="TQZ25" s="64"/>
      <c r="TRA25" s="64"/>
      <c r="TRB25" s="64"/>
      <c r="TRC25" s="64"/>
      <c r="TRD25" s="64"/>
      <c r="TRE25" s="64"/>
      <c r="TRF25" s="64"/>
      <c r="TRG25" s="64"/>
      <c r="TRH25" s="64"/>
      <c r="TRI25" s="64"/>
      <c r="TRJ25" s="64"/>
      <c r="TRK25" s="64"/>
      <c r="TRL25" s="64"/>
      <c r="TRM25" s="64"/>
      <c r="TRN25" s="64"/>
      <c r="TRO25" s="64"/>
      <c r="TRP25" s="64"/>
      <c r="TRQ25" s="64"/>
      <c r="TRR25" s="64"/>
      <c r="TRS25" s="64"/>
      <c r="TRT25" s="64"/>
      <c r="TRU25" s="64"/>
      <c r="TRV25" s="64"/>
      <c r="TRW25" s="64"/>
      <c r="TRX25" s="64"/>
      <c r="TRY25" s="64"/>
      <c r="TRZ25" s="64"/>
      <c r="TSA25" s="64"/>
      <c r="TSB25" s="64"/>
      <c r="TSC25" s="64"/>
      <c r="TSD25" s="64"/>
      <c r="TSE25" s="64"/>
      <c r="TSF25" s="64"/>
      <c r="TSG25" s="64"/>
      <c r="TSH25" s="64"/>
      <c r="TSI25" s="64"/>
      <c r="TSJ25" s="64"/>
      <c r="TSK25" s="64"/>
      <c r="TSL25" s="64"/>
      <c r="TSM25" s="64"/>
      <c r="TSN25" s="64"/>
      <c r="TSO25" s="64"/>
      <c r="TSP25" s="64"/>
      <c r="TSQ25" s="64"/>
      <c r="TSR25" s="64"/>
      <c r="TSS25" s="64"/>
      <c r="TST25" s="64"/>
      <c r="TSU25" s="64"/>
      <c r="TSV25" s="64"/>
      <c r="TSW25" s="64"/>
      <c r="TSX25" s="64"/>
      <c r="TSY25" s="64"/>
      <c r="TSZ25" s="64"/>
      <c r="TTA25" s="64"/>
      <c r="TTB25" s="64"/>
      <c r="TTC25" s="64"/>
      <c r="TTD25" s="64"/>
      <c r="TTE25" s="64"/>
      <c r="TTF25" s="64"/>
      <c r="TTG25" s="64"/>
      <c r="TTH25" s="64"/>
      <c r="TTI25" s="64"/>
      <c r="TTJ25" s="64"/>
      <c r="TTK25" s="64"/>
      <c r="TTL25" s="64"/>
      <c r="TTM25" s="64"/>
      <c r="TTN25" s="64"/>
      <c r="TTO25" s="64"/>
      <c r="TTP25" s="64"/>
      <c r="TTQ25" s="64"/>
      <c r="TTR25" s="64"/>
      <c r="TTS25" s="64"/>
      <c r="TTT25" s="64"/>
      <c r="TTU25" s="64"/>
      <c r="TTV25" s="64"/>
      <c r="TTW25" s="64"/>
      <c r="TTX25" s="64"/>
      <c r="TTY25" s="64"/>
      <c r="TTZ25" s="64"/>
      <c r="TUA25" s="64"/>
      <c r="TUB25" s="64"/>
      <c r="TUC25" s="64"/>
      <c r="TUD25" s="64"/>
      <c r="TUE25" s="64"/>
      <c r="TUF25" s="64"/>
      <c r="TUG25" s="64"/>
      <c r="TUH25" s="64"/>
      <c r="TUI25" s="64"/>
      <c r="TUJ25" s="64"/>
      <c r="TUK25" s="64"/>
      <c r="TUL25" s="64"/>
      <c r="TUM25" s="64"/>
      <c r="TUN25" s="64"/>
      <c r="TUO25" s="64"/>
      <c r="TUP25" s="64"/>
      <c r="TUQ25" s="64"/>
      <c r="TUR25" s="64"/>
      <c r="TUS25" s="64"/>
      <c r="TUT25" s="64"/>
      <c r="TUU25" s="64"/>
      <c r="TUV25" s="64"/>
      <c r="TUW25" s="64"/>
      <c r="TUX25" s="64"/>
      <c r="TUY25" s="64"/>
      <c r="TUZ25" s="64"/>
      <c r="TVA25" s="64"/>
      <c r="TVB25" s="64"/>
      <c r="TVC25" s="64"/>
      <c r="TVD25" s="64"/>
      <c r="TVE25" s="64"/>
      <c r="TVF25" s="64"/>
      <c r="TVG25" s="64"/>
      <c r="TVH25" s="64"/>
      <c r="TVI25" s="64"/>
      <c r="TVJ25" s="64"/>
      <c r="TVK25" s="64"/>
      <c r="TVL25" s="64"/>
      <c r="TVM25" s="64"/>
      <c r="TVN25" s="64"/>
      <c r="TVO25" s="64"/>
      <c r="TVP25" s="64"/>
      <c r="TVQ25" s="64"/>
      <c r="TVR25" s="64"/>
      <c r="TVS25" s="64"/>
      <c r="TVT25" s="64"/>
      <c r="TVU25" s="64"/>
      <c r="TVV25" s="64"/>
      <c r="TVW25" s="64"/>
      <c r="TVX25" s="64"/>
      <c r="TVY25" s="64"/>
      <c r="TVZ25" s="64"/>
      <c r="TWA25" s="64"/>
      <c r="TWB25" s="64"/>
      <c r="TWC25" s="64"/>
      <c r="TWD25" s="64"/>
      <c r="TWE25" s="64"/>
      <c r="TWF25" s="64"/>
      <c r="TWG25" s="64"/>
      <c r="TWH25" s="64"/>
      <c r="TWI25" s="64"/>
      <c r="TWJ25" s="64"/>
      <c r="TWK25" s="64"/>
      <c r="TWL25" s="64"/>
      <c r="TWM25" s="64"/>
      <c r="TWN25" s="64"/>
      <c r="TWO25" s="64"/>
      <c r="TWP25" s="64"/>
      <c r="TWQ25" s="64"/>
      <c r="TWR25" s="64"/>
      <c r="TWS25" s="64"/>
      <c r="TWT25" s="64"/>
      <c r="TWU25" s="64"/>
      <c r="TWV25" s="64"/>
      <c r="TWW25" s="64"/>
      <c r="TWX25" s="64"/>
      <c r="TWY25" s="64"/>
      <c r="TWZ25" s="64"/>
      <c r="TXA25" s="64"/>
      <c r="TXB25" s="64"/>
      <c r="TXC25" s="64"/>
      <c r="TXD25" s="64"/>
      <c r="TXE25" s="64"/>
      <c r="TXF25" s="64"/>
      <c r="TXG25" s="64"/>
      <c r="TXH25" s="64"/>
      <c r="TXI25" s="64"/>
      <c r="TXJ25" s="64"/>
      <c r="TXK25" s="64"/>
      <c r="TXL25" s="64"/>
      <c r="TXM25" s="64"/>
      <c r="TXN25" s="64"/>
      <c r="TXO25" s="64"/>
      <c r="TXP25" s="64"/>
      <c r="TXQ25" s="64"/>
      <c r="TXR25" s="64"/>
      <c r="TXS25" s="64"/>
      <c r="TXT25" s="64"/>
      <c r="TXU25" s="64"/>
      <c r="TXV25" s="64"/>
      <c r="TXW25" s="64"/>
      <c r="TXX25" s="64"/>
      <c r="TXY25" s="64"/>
      <c r="TXZ25" s="64"/>
      <c r="TYA25" s="64"/>
      <c r="TYB25" s="64"/>
      <c r="TYC25" s="64"/>
      <c r="TYD25" s="64"/>
      <c r="TYE25" s="64"/>
      <c r="TYF25" s="64"/>
      <c r="TYG25" s="64"/>
      <c r="TYH25" s="64"/>
      <c r="TYI25" s="64"/>
      <c r="TYJ25" s="64"/>
      <c r="TYK25" s="64"/>
      <c r="TYL25" s="64"/>
      <c r="TYM25" s="64"/>
      <c r="TYN25" s="64"/>
      <c r="TYO25" s="64"/>
      <c r="TYP25" s="64"/>
      <c r="TYQ25" s="64"/>
      <c r="TYR25" s="64"/>
      <c r="TYS25" s="64"/>
      <c r="TYT25" s="64"/>
      <c r="TYU25" s="64"/>
      <c r="TYV25" s="64"/>
      <c r="TYW25" s="64"/>
      <c r="TYX25" s="64"/>
      <c r="TYY25" s="64"/>
      <c r="TYZ25" s="64"/>
      <c r="TZA25" s="64"/>
      <c r="TZB25" s="64"/>
      <c r="TZC25" s="64"/>
      <c r="TZD25" s="64"/>
      <c r="TZE25" s="64"/>
      <c r="TZF25" s="64"/>
      <c r="TZG25" s="64"/>
      <c r="TZH25" s="64"/>
      <c r="TZI25" s="64"/>
      <c r="TZJ25" s="64"/>
      <c r="TZK25" s="64"/>
      <c r="TZL25" s="64"/>
      <c r="TZM25" s="64"/>
      <c r="TZN25" s="64"/>
      <c r="TZO25" s="64"/>
      <c r="TZP25" s="64"/>
      <c r="TZQ25" s="64"/>
      <c r="TZR25" s="64"/>
      <c r="TZS25" s="64"/>
      <c r="TZT25" s="64"/>
      <c r="TZU25" s="64"/>
      <c r="TZV25" s="64"/>
      <c r="TZW25" s="64"/>
      <c r="TZX25" s="64"/>
      <c r="TZY25" s="64"/>
      <c r="TZZ25" s="64"/>
      <c r="UAA25" s="64"/>
      <c r="UAB25" s="64"/>
      <c r="UAC25" s="64"/>
      <c r="UAD25" s="64"/>
      <c r="UAE25" s="64"/>
      <c r="UAF25" s="64"/>
      <c r="UAG25" s="64"/>
      <c r="UAH25" s="64"/>
      <c r="UAI25" s="64"/>
      <c r="UAJ25" s="64"/>
      <c r="UAK25" s="64"/>
      <c r="UAL25" s="64"/>
      <c r="UAM25" s="64"/>
      <c r="UAN25" s="64"/>
      <c r="UAO25" s="64"/>
      <c r="UAP25" s="64"/>
      <c r="UAQ25" s="64"/>
      <c r="UAR25" s="64"/>
      <c r="UAS25" s="64"/>
      <c r="UAT25" s="64"/>
      <c r="UAU25" s="64"/>
      <c r="UAV25" s="64"/>
      <c r="UAW25" s="64"/>
      <c r="UAX25" s="64"/>
      <c r="UAY25" s="64"/>
      <c r="UAZ25" s="64"/>
      <c r="UBA25" s="64"/>
      <c r="UBB25" s="64"/>
      <c r="UBC25" s="64"/>
      <c r="UBD25" s="64"/>
      <c r="UBE25" s="64"/>
      <c r="UBF25" s="64"/>
      <c r="UBG25" s="64"/>
      <c r="UBH25" s="64"/>
      <c r="UBI25" s="64"/>
      <c r="UBJ25" s="64"/>
      <c r="UBK25" s="64"/>
      <c r="UBL25" s="64"/>
      <c r="UBM25" s="64"/>
      <c r="UBN25" s="64"/>
      <c r="UBO25" s="64"/>
      <c r="UBP25" s="64"/>
      <c r="UBQ25" s="64"/>
      <c r="UBR25" s="64"/>
      <c r="UBS25" s="64"/>
      <c r="UBT25" s="64"/>
      <c r="UBU25" s="64"/>
      <c r="UBV25" s="64"/>
      <c r="UBW25" s="64"/>
      <c r="UBX25" s="64"/>
      <c r="UBY25" s="64"/>
      <c r="UBZ25" s="64"/>
      <c r="UCA25" s="64"/>
      <c r="UCB25" s="64"/>
      <c r="UCC25" s="64"/>
      <c r="UCD25" s="64"/>
      <c r="UCE25" s="64"/>
      <c r="UCF25" s="64"/>
      <c r="UCG25" s="64"/>
      <c r="UCH25" s="64"/>
      <c r="UCI25" s="64"/>
      <c r="UCJ25" s="64"/>
      <c r="UCK25" s="64"/>
      <c r="UCL25" s="64"/>
      <c r="UCM25" s="64"/>
      <c r="UCN25" s="64"/>
      <c r="UCO25" s="64"/>
      <c r="UCP25" s="64"/>
      <c r="UCQ25" s="64"/>
      <c r="UCR25" s="64"/>
      <c r="UCS25" s="64"/>
      <c r="UCT25" s="64"/>
      <c r="UCU25" s="64"/>
      <c r="UCV25" s="64"/>
      <c r="UCW25" s="64"/>
      <c r="UCX25" s="64"/>
      <c r="UCY25" s="64"/>
      <c r="UCZ25" s="64"/>
      <c r="UDA25" s="64"/>
      <c r="UDB25" s="64"/>
      <c r="UDC25" s="64"/>
      <c r="UDD25" s="64"/>
      <c r="UDE25" s="64"/>
      <c r="UDF25" s="64"/>
      <c r="UDG25" s="64"/>
      <c r="UDH25" s="64"/>
      <c r="UDI25" s="64"/>
      <c r="UDJ25" s="64"/>
      <c r="UDK25" s="64"/>
      <c r="UDL25" s="64"/>
      <c r="UDM25" s="64"/>
      <c r="UDN25" s="64"/>
      <c r="UDO25" s="64"/>
      <c r="UDP25" s="64"/>
      <c r="UDQ25" s="64"/>
      <c r="UDR25" s="64"/>
      <c r="UDS25" s="64"/>
      <c r="UDT25" s="64"/>
      <c r="UDU25" s="64"/>
      <c r="UDV25" s="64"/>
      <c r="UDW25" s="64"/>
      <c r="UDX25" s="64"/>
      <c r="UDY25" s="64"/>
      <c r="UDZ25" s="64"/>
      <c r="UEA25" s="64"/>
      <c r="UEB25" s="64"/>
      <c r="UEC25" s="64"/>
      <c r="UED25" s="64"/>
      <c r="UEE25" s="64"/>
      <c r="UEF25" s="64"/>
      <c r="UEG25" s="64"/>
      <c r="UEH25" s="64"/>
      <c r="UEI25" s="64"/>
      <c r="UEJ25" s="64"/>
      <c r="UEK25" s="64"/>
      <c r="UEL25" s="64"/>
      <c r="UEM25" s="64"/>
      <c r="UEN25" s="64"/>
      <c r="UEO25" s="64"/>
      <c r="UEP25" s="64"/>
      <c r="UEQ25" s="64"/>
      <c r="UER25" s="64"/>
      <c r="UES25" s="64"/>
      <c r="UET25" s="64"/>
      <c r="UEU25" s="64"/>
      <c r="UEV25" s="64"/>
      <c r="UEW25" s="64"/>
      <c r="UEX25" s="64"/>
      <c r="UEY25" s="64"/>
      <c r="UEZ25" s="64"/>
      <c r="UFA25" s="64"/>
      <c r="UFB25" s="64"/>
      <c r="UFC25" s="64"/>
      <c r="UFD25" s="64"/>
      <c r="UFE25" s="64"/>
      <c r="UFF25" s="64"/>
      <c r="UFG25" s="64"/>
      <c r="UFH25" s="64"/>
      <c r="UFI25" s="64"/>
      <c r="UFJ25" s="64"/>
      <c r="UFK25" s="64"/>
      <c r="UFL25" s="64"/>
      <c r="UFM25" s="64"/>
      <c r="UFN25" s="64"/>
      <c r="UFO25" s="64"/>
      <c r="UFP25" s="64"/>
      <c r="UFQ25" s="64"/>
      <c r="UFR25" s="64"/>
      <c r="UFS25" s="64"/>
      <c r="UFT25" s="64"/>
      <c r="UFU25" s="64"/>
      <c r="UFV25" s="64"/>
      <c r="UFW25" s="64"/>
      <c r="UFX25" s="64"/>
      <c r="UFY25" s="64"/>
      <c r="UFZ25" s="64"/>
      <c r="UGA25" s="64"/>
      <c r="UGB25" s="64"/>
      <c r="UGC25" s="64"/>
      <c r="UGD25" s="64"/>
      <c r="UGE25" s="64"/>
      <c r="UGF25" s="64"/>
      <c r="UGG25" s="64"/>
      <c r="UGH25" s="64"/>
      <c r="UGI25" s="64"/>
      <c r="UGJ25" s="64"/>
      <c r="UGK25" s="64"/>
      <c r="UGL25" s="64"/>
      <c r="UGM25" s="64"/>
      <c r="UGN25" s="64"/>
      <c r="UGO25" s="64"/>
      <c r="UGP25" s="64"/>
      <c r="UGQ25" s="64"/>
      <c r="UGR25" s="64"/>
      <c r="UGS25" s="64"/>
      <c r="UGT25" s="64"/>
      <c r="UGU25" s="64"/>
      <c r="UGV25" s="64"/>
      <c r="UGW25" s="64"/>
      <c r="UGX25" s="64"/>
      <c r="UGY25" s="64"/>
      <c r="UGZ25" s="64"/>
      <c r="UHA25" s="64"/>
      <c r="UHB25" s="64"/>
      <c r="UHC25" s="64"/>
      <c r="UHD25" s="64"/>
      <c r="UHE25" s="64"/>
      <c r="UHF25" s="64"/>
      <c r="UHG25" s="64"/>
      <c r="UHH25" s="64"/>
      <c r="UHI25" s="64"/>
      <c r="UHJ25" s="64"/>
      <c r="UHK25" s="64"/>
      <c r="UHL25" s="64"/>
      <c r="UHM25" s="64"/>
      <c r="UHN25" s="64"/>
      <c r="UHO25" s="64"/>
      <c r="UHP25" s="64"/>
      <c r="UHQ25" s="64"/>
      <c r="UHR25" s="64"/>
      <c r="UHS25" s="64"/>
      <c r="UHT25" s="64"/>
      <c r="UHU25" s="64"/>
      <c r="UHV25" s="64"/>
      <c r="UHW25" s="64"/>
      <c r="UHX25" s="64"/>
      <c r="UHY25" s="64"/>
      <c r="UHZ25" s="64"/>
      <c r="UIA25" s="64"/>
      <c r="UIB25" s="64"/>
      <c r="UIC25" s="64"/>
      <c r="UID25" s="64"/>
      <c r="UIE25" s="64"/>
      <c r="UIF25" s="64"/>
      <c r="UIG25" s="64"/>
      <c r="UIH25" s="64"/>
      <c r="UII25" s="64"/>
      <c r="UIJ25" s="64"/>
      <c r="UIK25" s="64"/>
      <c r="UIL25" s="64"/>
      <c r="UIM25" s="64"/>
      <c r="UIN25" s="64"/>
      <c r="UIO25" s="64"/>
      <c r="UIP25" s="64"/>
      <c r="UIQ25" s="64"/>
      <c r="UIR25" s="64"/>
      <c r="UIS25" s="64"/>
      <c r="UIT25" s="64"/>
      <c r="UIU25" s="64"/>
      <c r="UIV25" s="64"/>
      <c r="UIW25" s="64"/>
      <c r="UIX25" s="64"/>
      <c r="UIY25" s="64"/>
      <c r="UIZ25" s="64"/>
      <c r="UJA25" s="64"/>
      <c r="UJB25" s="64"/>
      <c r="UJC25" s="64"/>
      <c r="UJD25" s="64"/>
      <c r="UJE25" s="64"/>
      <c r="UJF25" s="64"/>
      <c r="UJG25" s="64"/>
      <c r="UJH25" s="64"/>
      <c r="UJI25" s="64"/>
      <c r="UJJ25" s="64"/>
      <c r="UJK25" s="64"/>
      <c r="UJL25" s="64"/>
      <c r="UJM25" s="64"/>
      <c r="UJN25" s="64"/>
      <c r="UJO25" s="64"/>
      <c r="UJP25" s="64"/>
      <c r="UJQ25" s="64"/>
      <c r="UJR25" s="64"/>
      <c r="UJS25" s="64"/>
      <c r="UJT25" s="64"/>
      <c r="UJU25" s="64"/>
      <c r="UJV25" s="64"/>
      <c r="UJW25" s="64"/>
      <c r="UJX25" s="64"/>
      <c r="UJY25" s="64"/>
      <c r="UJZ25" s="64"/>
      <c r="UKA25" s="64"/>
      <c r="UKB25" s="64"/>
      <c r="UKC25" s="64"/>
      <c r="UKD25" s="64"/>
      <c r="UKE25" s="64"/>
      <c r="UKF25" s="64"/>
      <c r="UKG25" s="64"/>
      <c r="UKH25" s="64"/>
      <c r="UKI25" s="64"/>
      <c r="UKJ25" s="64"/>
      <c r="UKK25" s="64"/>
      <c r="UKL25" s="64"/>
      <c r="UKM25" s="64"/>
      <c r="UKN25" s="64"/>
      <c r="UKO25" s="64"/>
      <c r="UKP25" s="64"/>
      <c r="UKQ25" s="64"/>
      <c r="UKR25" s="64"/>
      <c r="UKS25" s="64"/>
      <c r="UKT25" s="64"/>
      <c r="UKU25" s="64"/>
      <c r="UKV25" s="64"/>
      <c r="UKW25" s="64"/>
      <c r="UKX25" s="64"/>
      <c r="UKY25" s="64"/>
      <c r="UKZ25" s="64"/>
      <c r="ULA25" s="64"/>
      <c r="ULB25" s="64"/>
      <c r="ULC25" s="64"/>
      <c r="ULD25" s="64"/>
      <c r="ULE25" s="64"/>
      <c r="ULF25" s="64"/>
      <c r="ULG25" s="64"/>
      <c r="ULH25" s="64"/>
      <c r="ULI25" s="64"/>
      <c r="ULJ25" s="64"/>
      <c r="ULK25" s="64"/>
      <c r="ULL25" s="64"/>
      <c r="ULM25" s="64"/>
      <c r="ULN25" s="64"/>
      <c r="ULO25" s="64"/>
      <c r="ULP25" s="64"/>
      <c r="ULQ25" s="64"/>
      <c r="ULR25" s="64"/>
      <c r="ULS25" s="64"/>
      <c r="ULT25" s="64"/>
      <c r="ULU25" s="64"/>
      <c r="ULV25" s="64"/>
      <c r="ULW25" s="64"/>
      <c r="ULX25" s="64"/>
      <c r="ULY25" s="64"/>
      <c r="ULZ25" s="64"/>
      <c r="UMA25" s="64"/>
      <c r="UMB25" s="64"/>
      <c r="UMC25" s="64"/>
      <c r="UMD25" s="64"/>
      <c r="UME25" s="64"/>
      <c r="UMF25" s="64"/>
      <c r="UMG25" s="64"/>
      <c r="UMH25" s="64"/>
      <c r="UMI25" s="64"/>
      <c r="UMJ25" s="64"/>
      <c r="UMK25" s="64"/>
      <c r="UML25" s="64"/>
      <c r="UMM25" s="64"/>
      <c r="UMN25" s="64"/>
      <c r="UMO25" s="64"/>
      <c r="UMP25" s="64"/>
      <c r="UMQ25" s="64"/>
      <c r="UMR25" s="64"/>
      <c r="UMS25" s="64"/>
      <c r="UMT25" s="64"/>
      <c r="UMU25" s="64"/>
      <c r="UMV25" s="64"/>
      <c r="UMW25" s="64"/>
      <c r="UMX25" s="64"/>
      <c r="UMY25" s="64"/>
      <c r="UMZ25" s="64"/>
      <c r="UNA25" s="64"/>
      <c r="UNB25" s="64"/>
      <c r="UNC25" s="64"/>
      <c r="UND25" s="64"/>
      <c r="UNE25" s="64"/>
      <c r="UNF25" s="64"/>
      <c r="UNG25" s="64"/>
      <c r="UNH25" s="64"/>
      <c r="UNI25" s="64"/>
      <c r="UNJ25" s="64"/>
      <c r="UNK25" s="64"/>
      <c r="UNL25" s="64"/>
      <c r="UNM25" s="64"/>
      <c r="UNN25" s="64"/>
      <c r="UNO25" s="64"/>
      <c r="UNP25" s="64"/>
      <c r="UNQ25" s="64"/>
      <c r="UNR25" s="64"/>
      <c r="UNS25" s="64"/>
      <c r="UNT25" s="64"/>
      <c r="UNU25" s="64"/>
      <c r="UNV25" s="64"/>
      <c r="UNW25" s="64"/>
      <c r="UNX25" s="64"/>
      <c r="UNY25" s="64"/>
      <c r="UNZ25" s="64"/>
      <c r="UOA25" s="64"/>
      <c r="UOB25" s="64"/>
      <c r="UOC25" s="64"/>
      <c r="UOD25" s="64"/>
      <c r="UOE25" s="64"/>
      <c r="UOF25" s="64"/>
      <c r="UOG25" s="64"/>
      <c r="UOH25" s="64"/>
      <c r="UOI25" s="64"/>
      <c r="UOJ25" s="64"/>
      <c r="UOK25" s="64"/>
      <c r="UOL25" s="64"/>
      <c r="UOM25" s="64"/>
      <c r="UON25" s="64"/>
      <c r="UOO25" s="64"/>
      <c r="UOP25" s="64"/>
      <c r="UOQ25" s="64"/>
      <c r="UOR25" s="64"/>
      <c r="UOS25" s="64"/>
      <c r="UOT25" s="64"/>
      <c r="UOU25" s="64"/>
      <c r="UOV25" s="64"/>
      <c r="UOW25" s="64"/>
      <c r="UOX25" s="64"/>
      <c r="UOY25" s="64"/>
      <c r="UOZ25" s="64"/>
      <c r="UPA25" s="64"/>
      <c r="UPB25" s="64"/>
      <c r="UPC25" s="64"/>
      <c r="UPD25" s="64"/>
      <c r="UPE25" s="64"/>
      <c r="UPF25" s="64"/>
      <c r="UPG25" s="64"/>
      <c r="UPH25" s="64"/>
      <c r="UPI25" s="64"/>
      <c r="UPJ25" s="64"/>
      <c r="UPK25" s="64"/>
      <c r="UPL25" s="64"/>
      <c r="UPM25" s="64"/>
      <c r="UPN25" s="64"/>
      <c r="UPO25" s="64"/>
      <c r="UPP25" s="64"/>
      <c r="UPQ25" s="64"/>
      <c r="UPR25" s="64"/>
      <c r="UPS25" s="64"/>
      <c r="UPT25" s="64"/>
      <c r="UPU25" s="64"/>
      <c r="UPV25" s="64"/>
      <c r="UPW25" s="64"/>
      <c r="UPX25" s="64"/>
      <c r="UPY25" s="64"/>
      <c r="UPZ25" s="64"/>
      <c r="UQA25" s="64"/>
      <c r="UQB25" s="64"/>
      <c r="UQC25" s="64"/>
      <c r="UQD25" s="64"/>
      <c r="UQE25" s="64"/>
      <c r="UQF25" s="64"/>
      <c r="UQG25" s="64"/>
      <c r="UQH25" s="64"/>
      <c r="UQI25" s="64"/>
      <c r="UQJ25" s="64"/>
      <c r="UQK25" s="64"/>
      <c r="UQL25" s="64"/>
      <c r="UQM25" s="64"/>
      <c r="UQN25" s="64"/>
      <c r="UQO25" s="64"/>
      <c r="UQP25" s="64"/>
      <c r="UQQ25" s="64"/>
      <c r="UQR25" s="64"/>
      <c r="UQS25" s="64"/>
      <c r="UQT25" s="64"/>
      <c r="UQU25" s="64"/>
      <c r="UQV25" s="64"/>
      <c r="UQW25" s="64"/>
      <c r="UQX25" s="64"/>
      <c r="UQY25" s="64"/>
      <c r="UQZ25" s="64"/>
      <c r="URA25" s="64"/>
      <c r="URB25" s="64"/>
      <c r="URC25" s="64"/>
      <c r="URD25" s="64"/>
      <c r="URE25" s="64"/>
      <c r="URF25" s="64"/>
      <c r="URG25" s="64"/>
      <c r="URH25" s="64"/>
      <c r="URI25" s="64"/>
      <c r="URJ25" s="64"/>
      <c r="URK25" s="64"/>
      <c r="URL25" s="64"/>
      <c r="URM25" s="64"/>
      <c r="URN25" s="64"/>
      <c r="URO25" s="64"/>
      <c r="URP25" s="64"/>
      <c r="URQ25" s="64"/>
      <c r="URR25" s="64"/>
      <c r="URS25" s="64"/>
      <c r="URT25" s="64"/>
      <c r="URU25" s="64"/>
      <c r="URV25" s="64"/>
      <c r="URW25" s="64"/>
      <c r="URX25" s="64"/>
      <c r="URY25" s="64"/>
      <c r="URZ25" s="64"/>
      <c r="USA25" s="64"/>
      <c r="USB25" s="64"/>
      <c r="USC25" s="64"/>
      <c r="USD25" s="64"/>
      <c r="USE25" s="64"/>
      <c r="USF25" s="64"/>
      <c r="USG25" s="64"/>
      <c r="USH25" s="64"/>
      <c r="USI25" s="64"/>
      <c r="USJ25" s="64"/>
      <c r="USK25" s="64"/>
      <c r="USL25" s="64"/>
      <c r="USM25" s="64"/>
      <c r="USN25" s="64"/>
      <c r="USO25" s="64"/>
      <c r="USP25" s="64"/>
      <c r="USQ25" s="64"/>
      <c r="USR25" s="64"/>
      <c r="USS25" s="64"/>
      <c r="UST25" s="64"/>
      <c r="USU25" s="64"/>
      <c r="USV25" s="64"/>
      <c r="USW25" s="64"/>
      <c r="USX25" s="64"/>
      <c r="USY25" s="64"/>
      <c r="USZ25" s="64"/>
      <c r="UTA25" s="64"/>
      <c r="UTB25" s="64"/>
      <c r="UTC25" s="64"/>
      <c r="UTD25" s="64"/>
      <c r="UTE25" s="64"/>
      <c r="UTF25" s="64"/>
      <c r="UTG25" s="64"/>
      <c r="UTH25" s="64"/>
      <c r="UTI25" s="64"/>
      <c r="UTJ25" s="64"/>
      <c r="UTK25" s="64"/>
      <c r="UTL25" s="64"/>
      <c r="UTM25" s="64"/>
      <c r="UTN25" s="64"/>
      <c r="UTO25" s="64"/>
      <c r="UTP25" s="64"/>
      <c r="UTQ25" s="64"/>
      <c r="UTR25" s="64"/>
      <c r="UTS25" s="64"/>
      <c r="UTT25" s="64"/>
      <c r="UTU25" s="64"/>
      <c r="UTV25" s="64"/>
      <c r="UTW25" s="64"/>
      <c r="UTX25" s="64"/>
      <c r="UTY25" s="64"/>
      <c r="UTZ25" s="64"/>
      <c r="UUA25" s="64"/>
      <c r="UUB25" s="64"/>
      <c r="UUC25" s="64"/>
      <c r="UUD25" s="64"/>
      <c r="UUE25" s="64"/>
      <c r="UUF25" s="64"/>
      <c r="UUG25" s="64"/>
      <c r="UUH25" s="64"/>
      <c r="UUI25" s="64"/>
      <c r="UUJ25" s="64"/>
      <c r="UUK25" s="64"/>
      <c r="UUL25" s="64"/>
      <c r="UUM25" s="64"/>
      <c r="UUN25" s="64"/>
      <c r="UUO25" s="64"/>
      <c r="UUP25" s="64"/>
      <c r="UUQ25" s="64"/>
      <c r="UUR25" s="64"/>
      <c r="UUS25" s="64"/>
      <c r="UUT25" s="64"/>
      <c r="UUU25" s="64"/>
      <c r="UUV25" s="64"/>
      <c r="UUW25" s="64"/>
      <c r="UUX25" s="64"/>
      <c r="UUY25" s="64"/>
      <c r="UUZ25" s="64"/>
      <c r="UVA25" s="64"/>
      <c r="UVB25" s="64"/>
      <c r="UVC25" s="64"/>
      <c r="UVD25" s="64"/>
      <c r="UVE25" s="64"/>
      <c r="UVF25" s="64"/>
      <c r="UVG25" s="64"/>
      <c r="UVH25" s="64"/>
      <c r="UVI25" s="64"/>
      <c r="UVJ25" s="64"/>
      <c r="UVK25" s="64"/>
      <c r="UVL25" s="64"/>
      <c r="UVM25" s="64"/>
      <c r="UVN25" s="64"/>
      <c r="UVO25" s="64"/>
      <c r="UVP25" s="64"/>
      <c r="UVQ25" s="64"/>
      <c r="UVR25" s="64"/>
      <c r="UVS25" s="64"/>
      <c r="UVT25" s="64"/>
      <c r="UVU25" s="64"/>
      <c r="UVV25" s="64"/>
      <c r="UVW25" s="64"/>
      <c r="UVX25" s="64"/>
      <c r="UVY25" s="64"/>
      <c r="UVZ25" s="64"/>
      <c r="UWA25" s="64"/>
      <c r="UWB25" s="64"/>
      <c r="UWC25" s="64"/>
      <c r="UWD25" s="64"/>
      <c r="UWE25" s="64"/>
      <c r="UWF25" s="64"/>
      <c r="UWG25" s="64"/>
      <c r="UWH25" s="64"/>
      <c r="UWI25" s="64"/>
      <c r="UWJ25" s="64"/>
      <c r="UWK25" s="64"/>
      <c r="UWL25" s="64"/>
      <c r="UWM25" s="64"/>
      <c r="UWN25" s="64"/>
      <c r="UWO25" s="64"/>
      <c r="UWP25" s="64"/>
      <c r="UWQ25" s="64"/>
      <c r="UWR25" s="64"/>
      <c r="UWS25" s="64"/>
      <c r="UWT25" s="64"/>
      <c r="UWU25" s="64"/>
      <c r="UWV25" s="64"/>
      <c r="UWW25" s="64"/>
      <c r="UWX25" s="64"/>
      <c r="UWY25" s="64"/>
      <c r="UWZ25" s="64"/>
      <c r="UXA25" s="64"/>
      <c r="UXB25" s="64"/>
      <c r="UXC25" s="64"/>
      <c r="UXD25" s="64"/>
      <c r="UXE25" s="64"/>
      <c r="UXF25" s="64"/>
      <c r="UXG25" s="64"/>
      <c r="UXH25" s="64"/>
      <c r="UXI25" s="64"/>
      <c r="UXJ25" s="64"/>
      <c r="UXK25" s="64"/>
      <c r="UXL25" s="64"/>
      <c r="UXM25" s="64"/>
      <c r="UXN25" s="64"/>
      <c r="UXO25" s="64"/>
      <c r="UXP25" s="64"/>
      <c r="UXQ25" s="64"/>
      <c r="UXR25" s="64"/>
      <c r="UXS25" s="64"/>
      <c r="UXT25" s="64"/>
      <c r="UXU25" s="64"/>
      <c r="UXV25" s="64"/>
      <c r="UXW25" s="64"/>
      <c r="UXX25" s="64"/>
      <c r="UXY25" s="64"/>
      <c r="UXZ25" s="64"/>
      <c r="UYA25" s="64"/>
      <c r="UYB25" s="64"/>
      <c r="UYC25" s="64"/>
      <c r="UYD25" s="64"/>
      <c r="UYE25" s="64"/>
      <c r="UYF25" s="64"/>
      <c r="UYG25" s="64"/>
      <c r="UYH25" s="64"/>
      <c r="UYI25" s="64"/>
      <c r="UYJ25" s="64"/>
      <c r="UYK25" s="64"/>
      <c r="UYL25" s="64"/>
      <c r="UYM25" s="64"/>
      <c r="UYN25" s="64"/>
      <c r="UYO25" s="64"/>
      <c r="UYP25" s="64"/>
      <c r="UYQ25" s="64"/>
      <c r="UYR25" s="64"/>
      <c r="UYS25" s="64"/>
      <c r="UYT25" s="64"/>
      <c r="UYU25" s="64"/>
      <c r="UYV25" s="64"/>
      <c r="UYW25" s="64"/>
      <c r="UYX25" s="64"/>
      <c r="UYY25" s="64"/>
      <c r="UYZ25" s="64"/>
      <c r="UZA25" s="64"/>
      <c r="UZB25" s="64"/>
      <c r="UZC25" s="64"/>
      <c r="UZD25" s="64"/>
      <c r="UZE25" s="64"/>
      <c r="UZF25" s="64"/>
      <c r="UZG25" s="64"/>
      <c r="UZH25" s="64"/>
      <c r="UZI25" s="64"/>
      <c r="UZJ25" s="64"/>
      <c r="UZK25" s="64"/>
      <c r="UZL25" s="64"/>
      <c r="UZM25" s="64"/>
      <c r="UZN25" s="64"/>
      <c r="UZO25" s="64"/>
      <c r="UZP25" s="64"/>
      <c r="UZQ25" s="64"/>
      <c r="UZR25" s="64"/>
      <c r="UZS25" s="64"/>
      <c r="UZT25" s="64"/>
      <c r="UZU25" s="64"/>
      <c r="UZV25" s="64"/>
      <c r="UZW25" s="64"/>
      <c r="UZX25" s="64"/>
      <c r="UZY25" s="64"/>
      <c r="UZZ25" s="64"/>
      <c r="VAA25" s="64"/>
      <c r="VAB25" s="64"/>
      <c r="VAC25" s="64"/>
      <c r="VAD25" s="64"/>
      <c r="VAE25" s="64"/>
      <c r="VAF25" s="64"/>
      <c r="VAG25" s="64"/>
      <c r="VAH25" s="64"/>
      <c r="VAI25" s="64"/>
      <c r="VAJ25" s="64"/>
      <c r="VAK25" s="64"/>
      <c r="VAL25" s="64"/>
      <c r="VAM25" s="64"/>
      <c r="VAN25" s="64"/>
      <c r="VAO25" s="64"/>
      <c r="VAP25" s="64"/>
      <c r="VAQ25" s="64"/>
      <c r="VAR25" s="64"/>
      <c r="VAS25" s="64"/>
      <c r="VAT25" s="64"/>
      <c r="VAU25" s="64"/>
      <c r="VAV25" s="64"/>
      <c r="VAW25" s="64"/>
      <c r="VAX25" s="64"/>
      <c r="VAY25" s="64"/>
      <c r="VAZ25" s="64"/>
      <c r="VBA25" s="64"/>
      <c r="VBB25" s="64"/>
      <c r="VBC25" s="64"/>
      <c r="VBD25" s="64"/>
      <c r="VBE25" s="64"/>
      <c r="VBF25" s="64"/>
      <c r="VBG25" s="64"/>
      <c r="VBH25" s="64"/>
      <c r="VBI25" s="64"/>
      <c r="VBJ25" s="64"/>
      <c r="VBK25" s="64"/>
      <c r="VBL25" s="64"/>
      <c r="VBM25" s="64"/>
      <c r="VBN25" s="64"/>
      <c r="VBO25" s="64"/>
      <c r="VBP25" s="64"/>
      <c r="VBQ25" s="64"/>
      <c r="VBR25" s="64"/>
      <c r="VBS25" s="64"/>
      <c r="VBT25" s="64"/>
      <c r="VBU25" s="64"/>
      <c r="VBV25" s="64"/>
      <c r="VBW25" s="64"/>
      <c r="VBX25" s="64"/>
      <c r="VBY25" s="64"/>
      <c r="VBZ25" s="64"/>
      <c r="VCA25" s="64"/>
      <c r="VCB25" s="64"/>
      <c r="VCC25" s="64"/>
      <c r="VCD25" s="64"/>
      <c r="VCE25" s="64"/>
      <c r="VCF25" s="64"/>
      <c r="VCG25" s="64"/>
      <c r="VCH25" s="64"/>
      <c r="VCI25" s="64"/>
      <c r="VCJ25" s="64"/>
      <c r="VCK25" s="64"/>
      <c r="VCL25" s="64"/>
      <c r="VCM25" s="64"/>
      <c r="VCN25" s="64"/>
      <c r="VCO25" s="64"/>
      <c r="VCP25" s="64"/>
      <c r="VCQ25" s="64"/>
      <c r="VCR25" s="64"/>
      <c r="VCS25" s="64"/>
      <c r="VCT25" s="64"/>
      <c r="VCU25" s="64"/>
      <c r="VCV25" s="64"/>
      <c r="VCW25" s="64"/>
      <c r="VCX25" s="64"/>
      <c r="VCY25" s="64"/>
      <c r="VCZ25" s="64"/>
      <c r="VDA25" s="64"/>
      <c r="VDB25" s="64"/>
      <c r="VDC25" s="64"/>
      <c r="VDD25" s="64"/>
      <c r="VDE25" s="64"/>
      <c r="VDF25" s="64"/>
      <c r="VDG25" s="64"/>
      <c r="VDH25" s="64"/>
      <c r="VDI25" s="64"/>
      <c r="VDJ25" s="64"/>
      <c r="VDK25" s="64"/>
      <c r="VDL25" s="64"/>
      <c r="VDM25" s="64"/>
      <c r="VDN25" s="64"/>
      <c r="VDO25" s="64"/>
      <c r="VDP25" s="64"/>
      <c r="VDQ25" s="64"/>
      <c r="VDR25" s="64"/>
      <c r="VDS25" s="64"/>
      <c r="VDT25" s="64"/>
      <c r="VDU25" s="64"/>
      <c r="VDV25" s="64"/>
      <c r="VDW25" s="64"/>
      <c r="VDX25" s="64"/>
      <c r="VDY25" s="64"/>
      <c r="VDZ25" s="64"/>
      <c r="VEA25" s="64"/>
      <c r="VEB25" s="64"/>
      <c r="VEC25" s="64"/>
      <c r="VED25" s="64"/>
      <c r="VEE25" s="64"/>
      <c r="VEF25" s="64"/>
      <c r="VEG25" s="64"/>
      <c r="VEH25" s="64"/>
      <c r="VEI25" s="64"/>
      <c r="VEJ25" s="64"/>
      <c r="VEK25" s="64"/>
      <c r="VEL25" s="64"/>
      <c r="VEM25" s="64"/>
      <c r="VEN25" s="64"/>
      <c r="VEO25" s="64"/>
      <c r="VEP25" s="64"/>
      <c r="VEQ25" s="64"/>
      <c r="VER25" s="64"/>
      <c r="VES25" s="64"/>
      <c r="VET25" s="64"/>
      <c r="VEU25" s="64"/>
      <c r="VEV25" s="64"/>
      <c r="VEW25" s="64"/>
      <c r="VEX25" s="64"/>
      <c r="VEY25" s="64"/>
      <c r="VEZ25" s="64"/>
      <c r="VFA25" s="64"/>
      <c r="VFB25" s="64"/>
      <c r="VFC25" s="64"/>
      <c r="VFD25" s="64"/>
      <c r="VFE25" s="64"/>
      <c r="VFF25" s="64"/>
      <c r="VFG25" s="64"/>
      <c r="VFH25" s="64"/>
      <c r="VFI25" s="64"/>
      <c r="VFJ25" s="64"/>
      <c r="VFK25" s="64"/>
      <c r="VFL25" s="64"/>
      <c r="VFM25" s="64"/>
      <c r="VFN25" s="64"/>
      <c r="VFO25" s="64"/>
      <c r="VFP25" s="64"/>
      <c r="VFQ25" s="64"/>
      <c r="VFR25" s="64"/>
      <c r="VFS25" s="64"/>
      <c r="VFT25" s="64"/>
      <c r="VFU25" s="64"/>
      <c r="VFV25" s="64"/>
      <c r="VFW25" s="64"/>
      <c r="VFX25" s="64"/>
      <c r="VFY25" s="64"/>
      <c r="VFZ25" s="64"/>
      <c r="VGA25" s="64"/>
      <c r="VGB25" s="64"/>
      <c r="VGC25" s="64"/>
      <c r="VGD25" s="64"/>
      <c r="VGE25" s="64"/>
      <c r="VGF25" s="64"/>
      <c r="VGG25" s="64"/>
      <c r="VGH25" s="64"/>
      <c r="VGI25" s="64"/>
      <c r="VGJ25" s="64"/>
      <c r="VGK25" s="64"/>
      <c r="VGL25" s="64"/>
      <c r="VGM25" s="64"/>
      <c r="VGN25" s="64"/>
      <c r="VGO25" s="64"/>
      <c r="VGP25" s="64"/>
      <c r="VGQ25" s="64"/>
      <c r="VGR25" s="64"/>
      <c r="VGS25" s="64"/>
      <c r="VGT25" s="64"/>
      <c r="VGU25" s="64"/>
      <c r="VGV25" s="64"/>
      <c r="VGW25" s="64"/>
      <c r="VGX25" s="64"/>
      <c r="VGY25" s="64"/>
      <c r="VGZ25" s="64"/>
      <c r="VHA25" s="64"/>
      <c r="VHB25" s="64"/>
      <c r="VHC25" s="64"/>
      <c r="VHD25" s="64"/>
      <c r="VHE25" s="64"/>
      <c r="VHF25" s="64"/>
      <c r="VHG25" s="64"/>
      <c r="VHH25" s="64"/>
      <c r="VHI25" s="64"/>
      <c r="VHJ25" s="64"/>
      <c r="VHK25" s="64"/>
      <c r="VHL25" s="64"/>
      <c r="VHM25" s="64"/>
      <c r="VHN25" s="64"/>
      <c r="VHO25" s="64"/>
      <c r="VHP25" s="64"/>
      <c r="VHQ25" s="64"/>
      <c r="VHR25" s="64"/>
      <c r="VHS25" s="64"/>
      <c r="VHT25" s="64"/>
      <c r="VHU25" s="64"/>
      <c r="VHV25" s="64"/>
      <c r="VHW25" s="64"/>
      <c r="VHX25" s="64"/>
      <c r="VHY25" s="64"/>
      <c r="VHZ25" s="64"/>
      <c r="VIA25" s="64"/>
      <c r="VIB25" s="64"/>
      <c r="VIC25" s="64"/>
      <c r="VID25" s="64"/>
      <c r="VIE25" s="64"/>
      <c r="VIF25" s="64"/>
      <c r="VIG25" s="64"/>
      <c r="VIH25" s="64"/>
      <c r="VII25" s="64"/>
      <c r="VIJ25" s="64"/>
      <c r="VIK25" s="64"/>
      <c r="VIL25" s="64"/>
      <c r="VIM25" s="64"/>
      <c r="VIN25" s="64"/>
      <c r="VIO25" s="64"/>
      <c r="VIP25" s="64"/>
      <c r="VIQ25" s="64"/>
      <c r="VIR25" s="64"/>
      <c r="VIS25" s="64"/>
      <c r="VIT25" s="64"/>
      <c r="VIU25" s="64"/>
      <c r="VIV25" s="64"/>
      <c r="VIW25" s="64"/>
      <c r="VIX25" s="64"/>
      <c r="VIY25" s="64"/>
      <c r="VIZ25" s="64"/>
      <c r="VJA25" s="64"/>
      <c r="VJB25" s="64"/>
      <c r="VJC25" s="64"/>
      <c r="VJD25" s="64"/>
      <c r="VJE25" s="64"/>
      <c r="VJF25" s="64"/>
      <c r="VJG25" s="64"/>
      <c r="VJH25" s="64"/>
      <c r="VJI25" s="64"/>
      <c r="VJJ25" s="64"/>
      <c r="VJK25" s="64"/>
      <c r="VJL25" s="64"/>
      <c r="VJM25" s="64"/>
      <c r="VJN25" s="64"/>
      <c r="VJO25" s="64"/>
      <c r="VJP25" s="64"/>
      <c r="VJQ25" s="64"/>
      <c r="VJR25" s="64"/>
      <c r="VJS25" s="64"/>
      <c r="VJT25" s="64"/>
      <c r="VJU25" s="64"/>
      <c r="VJV25" s="64"/>
      <c r="VJW25" s="64"/>
      <c r="VJX25" s="64"/>
      <c r="VJY25" s="64"/>
      <c r="VJZ25" s="64"/>
      <c r="VKA25" s="64"/>
      <c r="VKB25" s="64"/>
      <c r="VKC25" s="64"/>
      <c r="VKD25" s="64"/>
      <c r="VKE25" s="64"/>
      <c r="VKF25" s="64"/>
      <c r="VKG25" s="64"/>
      <c r="VKH25" s="64"/>
      <c r="VKI25" s="64"/>
      <c r="VKJ25" s="64"/>
      <c r="VKK25" s="64"/>
      <c r="VKL25" s="64"/>
      <c r="VKM25" s="64"/>
      <c r="VKN25" s="64"/>
      <c r="VKO25" s="64"/>
      <c r="VKP25" s="64"/>
      <c r="VKQ25" s="64"/>
      <c r="VKR25" s="64"/>
      <c r="VKS25" s="64"/>
      <c r="VKT25" s="64"/>
      <c r="VKU25" s="64"/>
      <c r="VKV25" s="64"/>
      <c r="VKW25" s="64"/>
      <c r="VKX25" s="64"/>
      <c r="VKY25" s="64"/>
      <c r="VKZ25" s="64"/>
      <c r="VLA25" s="64"/>
      <c r="VLB25" s="64"/>
      <c r="VLC25" s="64"/>
      <c r="VLD25" s="64"/>
      <c r="VLE25" s="64"/>
      <c r="VLF25" s="64"/>
      <c r="VLG25" s="64"/>
      <c r="VLH25" s="64"/>
      <c r="VLI25" s="64"/>
      <c r="VLJ25" s="64"/>
      <c r="VLK25" s="64"/>
      <c r="VLL25" s="64"/>
      <c r="VLM25" s="64"/>
      <c r="VLN25" s="64"/>
      <c r="VLO25" s="64"/>
      <c r="VLP25" s="64"/>
      <c r="VLQ25" s="64"/>
      <c r="VLR25" s="64"/>
      <c r="VLS25" s="64"/>
      <c r="VLT25" s="64"/>
      <c r="VLU25" s="64"/>
      <c r="VLV25" s="64"/>
      <c r="VLW25" s="64"/>
      <c r="VLX25" s="64"/>
      <c r="VLY25" s="64"/>
      <c r="VLZ25" s="64"/>
      <c r="VMA25" s="64"/>
      <c r="VMB25" s="64"/>
      <c r="VMC25" s="64"/>
      <c r="VMD25" s="64"/>
      <c r="VME25" s="64"/>
      <c r="VMF25" s="64"/>
      <c r="VMG25" s="64"/>
      <c r="VMH25" s="64"/>
      <c r="VMI25" s="64"/>
      <c r="VMJ25" s="64"/>
      <c r="VMK25" s="64"/>
      <c r="VML25" s="64"/>
      <c r="VMM25" s="64"/>
      <c r="VMN25" s="64"/>
      <c r="VMO25" s="64"/>
      <c r="VMP25" s="64"/>
      <c r="VMQ25" s="64"/>
      <c r="VMR25" s="64"/>
      <c r="VMS25" s="64"/>
      <c r="VMT25" s="64"/>
      <c r="VMU25" s="64"/>
      <c r="VMV25" s="64"/>
      <c r="VMW25" s="64"/>
      <c r="VMX25" s="64"/>
      <c r="VMY25" s="64"/>
      <c r="VMZ25" s="64"/>
      <c r="VNA25" s="64"/>
      <c r="VNB25" s="64"/>
      <c r="VNC25" s="64"/>
      <c r="VND25" s="64"/>
      <c r="VNE25" s="64"/>
      <c r="VNF25" s="64"/>
      <c r="VNG25" s="64"/>
      <c r="VNH25" s="64"/>
      <c r="VNI25" s="64"/>
      <c r="VNJ25" s="64"/>
      <c r="VNK25" s="64"/>
      <c r="VNL25" s="64"/>
      <c r="VNM25" s="64"/>
      <c r="VNN25" s="64"/>
      <c r="VNO25" s="64"/>
      <c r="VNP25" s="64"/>
      <c r="VNQ25" s="64"/>
      <c r="VNR25" s="64"/>
      <c r="VNS25" s="64"/>
      <c r="VNT25" s="64"/>
      <c r="VNU25" s="64"/>
      <c r="VNV25" s="64"/>
      <c r="VNW25" s="64"/>
      <c r="VNX25" s="64"/>
      <c r="VNY25" s="64"/>
      <c r="VNZ25" s="64"/>
      <c r="VOA25" s="64"/>
      <c r="VOB25" s="64"/>
      <c r="VOC25" s="64"/>
      <c r="VOD25" s="64"/>
      <c r="VOE25" s="64"/>
      <c r="VOF25" s="64"/>
      <c r="VOG25" s="64"/>
      <c r="VOH25" s="64"/>
      <c r="VOI25" s="64"/>
      <c r="VOJ25" s="64"/>
      <c r="VOK25" s="64"/>
      <c r="VOL25" s="64"/>
      <c r="VOM25" s="64"/>
      <c r="VON25" s="64"/>
      <c r="VOO25" s="64"/>
      <c r="VOP25" s="64"/>
      <c r="VOQ25" s="64"/>
      <c r="VOR25" s="64"/>
      <c r="VOS25" s="64"/>
      <c r="VOT25" s="64"/>
      <c r="VOU25" s="64"/>
      <c r="VOV25" s="64"/>
      <c r="VOW25" s="64"/>
      <c r="VOX25" s="64"/>
      <c r="VOY25" s="64"/>
      <c r="VOZ25" s="64"/>
      <c r="VPA25" s="64"/>
      <c r="VPB25" s="64"/>
      <c r="VPC25" s="64"/>
      <c r="VPD25" s="64"/>
      <c r="VPE25" s="64"/>
      <c r="VPF25" s="64"/>
      <c r="VPG25" s="64"/>
      <c r="VPH25" s="64"/>
      <c r="VPI25" s="64"/>
      <c r="VPJ25" s="64"/>
      <c r="VPK25" s="64"/>
      <c r="VPL25" s="64"/>
      <c r="VPM25" s="64"/>
      <c r="VPN25" s="64"/>
      <c r="VPO25" s="64"/>
      <c r="VPP25" s="64"/>
      <c r="VPQ25" s="64"/>
      <c r="VPR25" s="64"/>
      <c r="VPS25" s="64"/>
      <c r="VPT25" s="64"/>
      <c r="VPU25" s="64"/>
      <c r="VPV25" s="64"/>
      <c r="VPW25" s="64"/>
      <c r="VPX25" s="64"/>
      <c r="VPY25" s="64"/>
      <c r="VPZ25" s="64"/>
      <c r="VQA25" s="64"/>
      <c r="VQB25" s="64"/>
      <c r="VQC25" s="64"/>
      <c r="VQD25" s="64"/>
      <c r="VQE25" s="64"/>
      <c r="VQF25" s="64"/>
      <c r="VQG25" s="64"/>
      <c r="VQH25" s="64"/>
      <c r="VQI25" s="64"/>
      <c r="VQJ25" s="64"/>
      <c r="VQK25" s="64"/>
      <c r="VQL25" s="64"/>
      <c r="VQM25" s="64"/>
      <c r="VQN25" s="64"/>
      <c r="VQO25" s="64"/>
      <c r="VQP25" s="64"/>
      <c r="VQQ25" s="64"/>
      <c r="VQR25" s="64"/>
      <c r="VQS25" s="64"/>
      <c r="VQT25" s="64"/>
      <c r="VQU25" s="64"/>
      <c r="VQV25" s="64"/>
      <c r="VQW25" s="64"/>
      <c r="VQX25" s="64"/>
      <c r="VQY25" s="64"/>
      <c r="VQZ25" s="64"/>
      <c r="VRA25" s="64"/>
      <c r="VRB25" s="64"/>
      <c r="VRC25" s="64"/>
      <c r="VRD25" s="64"/>
      <c r="VRE25" s="64"/>
      <c r="VRF25" s="64"/>
      <c r="VRG25" s="64"/>
      <c r="VRH25" s="64"/>
      <c r="VRI25" s="64"/>
      <c r="VRJ25" s="64"/>
      <c r="VRK25" s="64"/>
      <c r="VRL25" s="64"/>
      <c r="VRM25" s="64"/>
      <c r="VRN25" s="64"/>
      <c r="VRO25" s="64"/>
      <c r="VRP25" s="64"/>
      <c r="VRQ25" s="64"/>
      <c r="VRR25" s="64"/>
      <c r="VRS25" s="64"/>
      <c r="VRT25" s="64"/>
      <c r="VRU25" s="64"/>
      <c r="VRV25" s="64"/>
      <c r="VRW25" s="64"/>
      <c r="VRX25" s="64"/>
      <c r="VRY25" s="64"/>
      <c r="VRZ25" s="64"/>
      <c r="VSA25" s="64"/>
      <c r="VSB25" s="64"/>
      <c r="VSC25" s="64"/>
      <c r="VSD25" s="64"/>
      <c r="VSE25" s="64"/>
      <c r="VSF25" s="64"/>
      <c r="VSG25" s="64"/>
      <c r="VSH25" s="64"/>
      <c r="VSI25" s="64"/>
      <c r="VSJ25" s="64"/>
      <c r="VSK25" s="64"/>
      <c r="VSL25" s="64"/>
      <c r="VSM25" s="64"/>
      <c r="VSN25" s="64"/>
      <c r="VSO25" s="64"/>
      <c r="VSP25" s="64"/>
      <c r="VSQ25" s="64"/>
      <c r="VSR25" s="64"/>
      <c r="VSS25" s="64"/>
      <c r="VST25" s="64"/>
      <c r="VSU25" s="64"/>
      <c r="VSV25" s="64"/>
      <c r="VSW25" s="64"/>
      <c r="VSX25" s="64"/>
      <c r="VSY25" s="64"/>
      <c r="VSZ25" s="64"/>
      <c r="VTA25" s="64"/>
      <c r="VTB25" s="64"/>
      <c r="VTC25" s="64"/>
      <c r="VTD25" s="64"/>
      <c r="VTE25" s="64"/>
      <c r="VTF25" s="64"/>
      <c r="VTG25" s="64"/>
      <c r="VTH25" s="64"/>
      <c r="VTI25" s="64"/>
      <c r="VTJ25" s="64"/>
      <c r="VTK25" s="64"/>
      <c r="VTL25" s="64"/>
      <c r="VTM25" s="64"/>
      <c r="VTN25" s="64"/>
      <c r="VTO25" s="64"/>
      <c r="VTP25" s="64"/>
      <c r="VTQ25" s="64"/>
      <c r="VTR25" s="64"/>
      <c r="VTS25" s="64"/>
      <c r="VTT25" s="64"/>
      <c r="VTU25" s="64"/>
      <c r="VTV25" s="64"/>
      <c r="VTW25" s="64"/>
      <c r="VTX25" s="64"/>
      <c r="VTY25" s="64"/>
      <c r="VTZ25" s="64"/>
      <c r="VUA25" s="64"/>
      <c r="VUB25" s="64"/>
      <c r="VUC25" s="64"/>
      <c r="VUD25" s="64"/>
      <c r="VUE25" s="64"/>
      <c r="VUF25" s="64"/>
      <c r="VUG25" s="64"/>
      <c r="VUH25" s="64"/>
      <c r="VUI25" s="64"/>
      <c r="VUJ25" s="64"/>
      <c r="VUK25" s="64"/>
      <c r="VUL25" s="64"/>
      <c r="VUM25" s="64"/>
      <c r="VUN25" s="64"/>
      <c r="VUO25" s="64"/>
      <c r="VUP25" s="64"/>
      <c r="VUQ25" s="64"/>
      <c r="VUR25" s="64"/>
      <c r="VUS25" s="64"/>
      <c r="VUT25" s="64"/>
      <c r="VUU25" s="64"/>
      <c r="VUV25" s="64"/>
      <c r="VUW25" s="64"/>
      <c r="VUX25" s="64"/>
      <c r="VUY25" s="64"/>
      <c r="VUZ25" s="64"/>
      <c r="VVA25" s="64"/>
      <c r="VVB25" s="64"/>
      <c r="VVC25" s="64"/>
      <c r="VVD25" s="64"/>
      <c r="VVE25" s="64"/>
      <c r="VVF25" s="64"/>
      <c r="VVG25" s="64"/>
      <c r="VVH25" s="64"/>
      <c r="VVI25" s="64"/>
      <c r="VVJ25" s="64"/>
      <c r="VVK25" s="64"/>
      <c r="VVL25" s="64"/>
      <c r="VVM25" s="64"/>
      <c r="VVN25" s="64"/>
      <c r="VVO25" s="64"/>
      <c r="VVP25" s="64"/>
      <c r="VVQ25" s="64"/>
      <c r="VVR25" s="64"/>
      <c r="VVS25" s="64"/>
      <c r="VVT25" s="64"/>
      <c r="VVU25" s="64"/>
      <c r="VVV25" s="64"/>
      <c r="VVW25" s="64"/>
      <c r="VVX25" s="64"/>
      <c r="VVY25" s="64"/>
      <c r="VVZ25" s="64"/>
      <c r="VWA25" s="64"/>
      <c r="VWB25" s="64"/>
      <c r="VWC25" s="64"/>
      <c r="VWD25" s="64"/>
      <c r="VWE25" s="64"/>
      <c r="VWF25" s="64"/>
      <c r="VWG25" s="64"/>
      <c r="VWH25" s="64"/>
      <c r="VWI25" s="64"/>
      <c r="VWJ25" s="64"/>
      <c r="VWK25" s="64"/>
      <c r="VWL25" s="64"/>
      <c r="VWM25" s="64"/>
      <c r="VWN25" s="64"/>
      <c r="VWO25" s="64"/>
      <c r="VWP25" s="64"/>
      <c r="VWQ25" s="64"/>
      <c r="VWR25" s="64"/>
      <c r="VWS25" s="64"/>
      <c r="VWT25" s="64"/>
      <c r="VWU25" s="64"/>
      <c r="VWV25" s="64"/>
      <c r="VWW25" s="64"/>
      <c r="VWX25" s="64"/>
      <c r="VWY25" s="64"/>
      <c r="VWZ25" s="64"/>
      <c r="VXA25" s="64"/>
      <c r="VXB25" s="64"/>
      <c r="VXC25" s="64"/>
      <c r="VXD25" s="64"/>
      <c r="VXE25" s="64"/>
      <c r="VXF25" s="64"/>
      <c r="VXG25" s="64"/>
      <c r="VXH25" s="64"/>
      <c r="VXI25" s="64"/>
      <c r="VXJ25" s="64"/>
      <c r="VXK25" s="64"/>
      <c r="VXL25" s="64"/>
      <c r="VXM25" s="64"/>
      <c r="VXN25" s="64"/>
      <c r="VXO25" s="64"/>
      <c r="VXP25" s="64"/>
      <c r="VXQ25" s="64"/>
      <c r="VXR25" s="64"/>
      <c r="VXS25" s="64"/>
      <c r="VXT25" s="64"/>
      <c r="VXU25" s="64"/>
      <c r="VXV25" s="64"/>
      <c r="VXW25" s="64"/>
      <c r="VXX25" s="64"/>
      <c r="VXY25" s="64"/>
      <c r="VXZ25" s="64"/>
      <c r="VYA25" s="64"/>
      <c r="VYB25" s="64"/>
      <c r="VYC25" s="64"/>
      <c r="VYD25" s="64"/>
      <c r="VYE25" s="64"/>
      <c r="VYF25" s="64"/>
      <c r="VYG25" s="64"/>
      <c r="VYH25" s="64"/>
      <c r="VYI25" s="64"/>
      <c r="VYJ25" s="64"/>
      <c r="VYK25" s="64"/>
      <c r="VYL25" s="64"/>
      <c r="VYM25" s="64"/>
      <c r="VYN25" s="64"/>
      <c r="VYO25" s="64"/>
      <c r="VYP25" s="64"/>
      <c r="VYQ25" s="64"/>
      <c r="VYR25" s="64"/>
      <c r="VYS25" s="64"/>
      <c r="VYT25" s="64"/>
      <c r="VYU25" s="64"/>
      <c r="VYV25" s="64"/>
      <c r="VYW25" s="64"/>
      <c r="VYX25" s="64"/>
      <c r="VYY25" s="64"/>
      <c r="VYZ25" s="64"/>
      <c r="VZA25" s="64"/>
      <c r="VZB25" s="64"/>
      <c r="VZC25" s="64"/>
      <c r="VZD25" s="64"/>
      <c r="VZE25" s="64"/>
      <c r="VZF25" s="64"/>
      <c r="VZG25" s="64"/>
      <c r="VZH25" s="64"/>
      <c r="VZI25" s="64"/>
      <c r="VZJ25" s="64"/>
      <c r="VZK25" s="64"/>
      <c r="VZL25" s="64"/>
      <c r="VZM25" s="64"/>
      <c r="VZN25" s="64"/>
      <c r="VZO25" s="64"/>
      <c r="VZP25" s="64"/>
      <c r="VZQ25" s="64"/>
      <c r="VZR25" s="64"/>
      <c r="VZS25" s="64"/>
      <c r="VZT25" s="64"/>
      <c r="VZU25" s="64"/>
      <c r="VZV25" s="64"/>
      <c r="VZW25" s="64"/>
      <c r="VZX25" s="64"/>
      <c r="VZY25" s="64"/>
      <c r="VZZ25" s="64"/>
      <c r="WAA25" s="64"/>
      <c r="WAB25" s="64"/>
      <c r="WAC25" s="64"/>
      <c r="WAD25" s="64"/>
      <c r="WAE25" s="64"/>
      <c r="WAF25" s="64"/>
      <c r="WAG25" s="64"/>
      <c r="WAH25" s="64"/>
      <c r="WAI25" s="64"/>
      <c r="WAJ25" s="64"/>
      <c r="WAK25" s="64"/>
      <c r="WAL25" s="64"/>
      <c r="WAM25" s="64"/>
      <c r="WAN25" s="64"/>
      <c r="WAO25" s="64"/>
      <c r="WAP25" s="64"/>
      <c r="WAQ25" s="64"/>
      <c r="WAR25" s="64"/>
      <c r="WAS25" s="64"/>
      <c r="WAT25" s="64"/>
      <c r="WAU25" s="64"/>
      <c r="WAV25" s="64"/>
      <c r="WAW25" s="64"/>
      <c r="WAX25" s="64"/>
      <c r="WAY25" s="64"/>
      <c r="WAZ25" s="64"/>
      <c r="WBA25" s="64"/>
      <c r="WBB25" s="64"/>
      <c r="WBC25" s="64"/>
      <c r="WBD25" s="64"/>
      <c r="WBE25" s="64"/>
      <c r="WBF25" s="64"/>
      <c r="WBG25" s="64"/>
      <c r="WBH25" s="64"/>
      <c r="WBI25" s="64"/>
      <c r="WBJ25" s="64"/>
      <c r="WBK25" s="64"/>
      <c r="WBL25" s="64"/>
      <c r="WBM25" s="64"/>
      <c r="WBN25" s="64"/>
      <c r="WBO25" s="64"/>
      <c r="WBP25" s="64"/>
      <c r="WBQ25" s="64"/>
      <c r="WBR25" s="64"/>
      <c r="WBS25" s="64"/>
      <c r="WBT25" s="64"/>
      <c r="WBU25" s="64"/>
      <c r="WBV25" s="64"/>
      <c r="WBW25" s="64"/>
      <c r="WBX25" s="64"/>
      <c r="WBY25" s="64"/>
      <c r="WBZ25" s="64"/>
      <c r="WCA25" s="64"/>
      <c r="WCB25" s="64"/>
      <c r="WCC25" s="64"/>
      <c r="WCD25" s="64"/>
      <c r="WCE25" s="64"/>
      <c r="WCF25" s="64"/>
      <c r="WCG25" s="64"/>
      <c r="WCH25" s="64"/>
      <c r="WCI25" s="64"/>
      <c r="WCJ25" s="64"/>
      <c r="WCK25" s="64"/>
      <c r="WCL25" s="64"/>
      <c r="WCM25" s="64"/>
      <c r="WCN25" s="64"/>
      <c r="WCO25" s="64"/>
      <c r="WCP25" s="64"/>
      <c r="WCQ25" s="64"/>
      <c r="WCR25" s="64"/>
      <c r="WCS25" s="64"/>
      <c r="WCT25" s="64"/>
      <c r="WCU25" s="64"/>
      <c r="WCV25" s="64"/>
      <c r="WCW25" s="64"/>
      <c r="WCX25" s="64"/>
      <c r="WCY25" s="64"/>
      <c r="WCZ25" s="64"/>
      <c r="WDA25" s="64"/>
      <c r="WDB25" s="64"/>
      <c r="WDC25" s="64"/>
      <c r="WDD25" s="64"/>
      <c r="WDE25" s="64"/>
      <c r="WDF25" s="64"/>
      <c r="WDG25" s="64"/>
      <c r="WDH25" s="64"/>
      <c r="WDI25" s="64"/>
      <c r="WDJ25" s="64"/>
      <c r="WDK25" s="64"/>
      <c r="WDL25" s="64"/>
      <c r="WDM25" s="64"/>
      <c r="WDN25" s="64"/>
      <c r="WDO25" s="64"/>
      <c r="WDP25" s="64"/>
      <c r="WDQ25" s="64"/>
      <c r="WDR25" s="64"/>
      <c r="WDS25" s="64"/>
      <c r="WDT25" s="64"/>
      <c r="WDU25" s="64"/>
      <c r="WDV25" s="64"/>
      <c r="WDW25" s="64"/>
      <c r="WDX25" s="64"/>
      <c r="WDY25" s="64"/>
      <c r="WDZ25" s="64"/>
      <c r="WEA25" s="64"/>
      <c r="WEB25" s="64"/>
      <c r="WEC25" s="64"/>
      <c r="WED25" s="64"/>
      <c r="WEE25" s="64"/>
      <c r="WEF25" s="64"/>
      <c r="WEG25" s="64"/>
      <c r="WEH25" s="64"/>
      <c r="WEI25" s="64"/>
      <c r="WEJ25" s="64"/>
      <c r="WEK25" s="64"/>
      <c r="WEL25" s="64"/>
      <c r="WEM25" s="64"/>
      <c r="WEN25" s="64"/>
      <c r="WEO25" s="64"/>
      <c r="WEP25" s="64"/>
      <c r="WEQ25" s="64"/>
      <c r="WER25" s="64"/>
      <c r="WES25" s="64"/>
      <c r="WET25" s="64"/>
      <c r="WEU25" s="64"/>
      <c r="WEV25" s="64"/>
      <c r="WEW25" s="64"/>
      <c r="WEX25" s="64"/>
      <c r="WEY25" s="64"/>
      <c r="WEZ25" s="64"/>
      <c r="WFA25" s="64"/>
      <c r="WFB25" s="64"/>
      <c r="WFC25" s="64"/>
      <c r="WFD25" s="64"/>
      <c r="WFE25" s="64"/>
      <c r="WFF25" s="64"/>
      <c r="WFG25" s="64"/>
      <c r="WFH25" s="64"/>
      <c r="WFI25" s="64"/>
      <c r="WFJ25" s="64"/>
      <c r="WFK25" s="64"/>
      <c r="WFL25" s="64"/>
      <c r="WFM25" s="64"/>
      <c r="WFN25" s="64"/>
      <c r="WFO25" s="64"/>
      <c r="WFP25" s="64"/>
      <c r="WFQ25" s="64"/>
      <c r="WFR25" s="64"/>
      <c r="WFS25" s="64"/>
      <c r="WFT25" s="64"/>
      <c r="WFU25" s="64"/>
      <c r="WFV25" s="64"/>
      <c r="WFW25" s="64"/>
      <c r="WFX25" s="64"/>
      <c r="WFY25" s="64"/>
      <c r="WFZ25" s="64"/>
      <c r="WGA25" s="64"/>
      <c r="WGB25" s="64"/>
      <c r="WGC25" s="64"/>
      <c r="WGD25" s="64"/>
      <c r="WGE25" s="64"/>
      <c r="WGF25" s="64"/>
      <c r="WGG25" s="64"/>
      <c r="WGH25" s="64"/>
      <c r="WGI25" s="64"/>
      <c r="WGJ25" s="64"/>
      <c r="WGK25" s="64"/>
      <c r="WGL25" s="64"/>
      <c r="WGM25" s="64"/>
      <c r="WGN25" s="64"/>
      <c r="WGO25" s="64"/>
      <c r="WGP25" s="64"/>
      <c r="WGQ25" s="64"/>
      <c r="WGR25" s="64"/>
      <c r="WGS25" s="64"/>
      <c r="WGT25" s="64"/>
      <c r="WGU25" s="64"/>
      <c r="WGV25" s="64"/>
      <c r="WGW25" s="64"/>
      <c r="WGX25" s="64"/>
      <c r="WGY25" s="64"/>
      <c r="WGZ25" s="64"/>
      <c r="WHA25" s="64"/>
      <c r="WHB25" s="64"/>
      <c r="WHC25" s="64"/>
      <c r="WHD25" s="64"/>
      <c r="WHE25" s="64"/>
      <c r="WHF25" s="64"/>
      <c r="WHG25" s="64"/>
      <c r="WHH25" s="64"/>
      <c r="WHI25" s="64"/>
      <c r="WHJ25" s="64"/>
      <c r="WHK25" s="64"/>
      <c r="WHL25" s="64"/>
      <c r="WHM25" s="64"/>
      <c r="WHN25" s="64"/>
      <c r="WHO25" s="64"/>
      <c r="WHP25" s="64"/>
      <c r="WHQ25" s="64"/>
      <c r="WHR25" s="64"/>
      <c r="WHS25" s="64"/>
      <c r="WHT25" s="64"/>
      <c r="WHU25" s="64"/>
      <c r="WHV25" s="64"/>
      <c r="WHW25" s="64"/>
      <c r="WHX25" s="64"/>
      <c r="WHY25" s="64"/>
      <c r="WHZ25" s="64"/>
      <c r="WIA25" s="64"/>
      <c r="WIB25" s="64"/>
      <c r="WIC25" s="64"/>
      <c r="WID25" s="64"/>
      <c r="WIE25" s="64"/>
      <c r="WIF25" s="64"/>
      <c r="WIG25" s="64"/>
      <c r="WIH25" s="64"/>
      <c r="WII25" s="64"/>
      <c r="WIJ25" s="64"/>
      <c r="WIK25" s="64"/>
      <c r="WIL25" s="64"/>
      <c r="WIM25" s="64"/>
      <c r="WIN25" s="64"/>
      <c r="WIO25" s="64"/>
      <c r="WIP25" s="64"/>
      <c r="WIQ25" s="64"/>
      <c r="WIR25" s="64"/>
      <c r="WIS25" s="64"/>
      <c r="WIT25" s="64"/>
      <c r="WIU25" s="64"/>
      <c r="WIV25" s="64"/>
      <c r="WIW25" s="64"/>
      <c r="WIX25" s="64"/>
      <c r="WIY25" s="64"/>
      <c r="WIZ25" s="64"/>
      <c r="WJA25" s="64"/>
      <c r="WJB25" s="64"/>
      <c r="WJC25" s="64"/>
      <c r="WJD25" s="64"/>
      <c r="WJE25" s="64"/>
      <c r="WJF25" s="64"/>
      <c r="WJG25" s="64"/>
      <c r="WJH25" s="64"/>
      <c r="WJI25" s="64"/>
      <c r="WJJ25" s="64"/>
      <c r="WJK25" s="64"/>
      <c r="WJL25" s="64"/>
      <c r="WJM25" s="64"/>
      <c r="WJN25" s="64"/>
      <c r="WJO25" s="64"/>
      <c r="WJP25" s="64"/>
      <c r="WJQ25" s="64"/>
      <c r="WJR25" s="64"/>
      <c r="WJS25" s="64"/>
      <c r="WJT25" s="64"/>
      <c r="WJU25" s="64"/>
      <c r="WJV25" s="64"/>
      <c r="WJW25" s="64"/>
      <c r="WJX25" s="64"/>
      <c r="WJY25" s="64"/>
      <c r="WJZ25" s="64"/>
      <c r="WKA25" s="64"/>
      <c r="WKB25" s="64"/>
      <c r="WKC25" s="64"/>
      <c r="WKD25" s="64"/>
      <c r="WKE25" s="64"/>
      <c r="WKF25" s="64"/>
      <c r="WKG25" s="64"/>
      <c r="WKH25" s="64"/>
      <c r="WKI25" s="64"/>
      <c r="WKJ25" s="64"/>
      <c r="WKK25" s="64"/>
      <c r="WKL25" s="64"/>
      <c r="WKM25" s="64"/>
      <c r="WKN25" s="64"/>
      <c r="WKO25" s="64"/>
      <c r="WKP25" s="64"/>
      <c r="WKQ25" s="64"/>
      <c r="WKR25" s="64"/>
      <c r="WKS25" s="64"/>
      <c r="WKT25" s="64"/>
      <c r="WKU25" s="64"/>
      <c r="WKV25" s="64"/>
      <c r="WKW25" s="64"/>
      <c r="WKX25" s="64"/>
      <c r="WKY25" s="64"/>
      <c r="WKZ25" s="64"/>
      <c r="WLA25" s="64"/>
      <c r="WLB25" s="64"/>
      <c r="WLC25" s="64"/>
      <c r="WLD25" s="64"/>
      <c r="WLE25" s="64"/>
      <c r="WLF25" s="64"/>
      <c r="WLG25" s="64"/>
      <c r="WLH25" s="64"/>
      <c r="WLI25" s="64"/>
      <c r="WLJ25" s="64"/>
      <c r="WLK25" s="64"/>
      <c r="WLL25" s="64"/>
      <c r="WLM25" s="64"/>
      <c r="WLN25" s="64"/>
      <c r="WLO25" s="64"/>
      <c r="WLP25" s="64"/>
      <c r="WLQ25" s="64"/>
      <c r="WLR25" s="64"/>
      <c r="WLS25" s="64"/>
      <c r="WLT25" s="64"/>
      <c r="WLU25" s="64"/>
      <c r="WLV25" s="64"/>
      <c r="WLW25" s="64"/>
      <c r="WLX25" s="64"/>
      <c r="WLY25" s="64"/>
      <c r="WLZ25" s="64"/>
      <c r="WMA25" s="64"/>
      <c r="WMB25" s="64"/>
      <c r="WMC25" s="64"/>
      <c r="WMD25" s="64"/>
      <c r="WME25" s="64"/>
      <c r="WMF25" s="64"/>
      <c r="WMG25" s="64"/>
      <c r="WMH25" s="64"/>
      <c r="WMI25" s="64"/>
      <c r="WMJ25" s="64"/>
      <c r="WMK25" s="64"/>
      <c r="WML25" s="64"/>
      <c r="WMM25" s="64"/>
      <c r="WMN25" s="64"/>
      <c r="WMO25" s="64"/>
      <c r="WMP25" s="64"/>
      <c r="WMQ25" s="64"/>
      <c r="WMR25" s="64"/>
      <c r="WMS25" s="64"/>
      <c r="WMT25" s="64"/>
      <c r="WMU25" s="64"/>
      <c r="WMV25" s="64"/>
      <c r="WMW25" s="64"/>
      <c r="WMX25" s="64"/>
      <c r="WMY25" s="64"/>
      <c r="WMZ25" s="64"/>
      <c r="WNA25" s="64"/>
      <c r="WNB25" s="64"/>
      <c r="WNC25" s="64"/>
      <c r="WND25" s="64"/>
      <c r="WNE25" s="64"/>
      <c r="WNF25" s="64"/>
      <c r="WNG25" s="64"/>
      <c r="WNH25" s="64"/>
      <c r="WNI25" s="64"/>
      <c r="WNJ25" s="64"/>
      <c r="WNK25" s="64"/>
      <c r="WNL25" s="64"/>
      <c r="WNM25" s="64"/>
      <c r="WNN25" s="64"/>
      <c r="WNO25" s="64"/>
      <c r="WNP25" s="64"/>
      <c r="WNQ25" s="64"/>
      <c r="WNR25" s="64"/>
      <c r="WNS25" s="64"/>
      <c r="WNT25" s="64"/>
      <c r="WNU25" s="64"/>
      <c r="WNV25" s="64"/>
      <c r="WNW25" s="64"/>
      <c r="WNX25" s="64"/>
      <c r="WNY25" s="64"/>
      <c r="WNZ25" s="64"/>
      <c r="WOA25" s="64"/>
      <c r="WOB25" s="64"/>
      <c r="WOC25" s="64"/>
      <c r="WOD25" s="64"/>
      <c r="WOE25" s="64"/>
      <c r="WOF25" s="64"/>
      <c r="WOG25" s="64"/>
      <c r="WOH25" s="64"/>
      <c r="WOI25" s="64"/>
      <c r="WOJ25" s="64"/>
      <c r="WOK25" s="64"/>
      <c r="WOL25" s="64"/>
      <c r="WOM25" s="64"/>
      <c r="WON25" s="64"/>
      <c r="WOO25" s="64"/>
      <c r="WOP25" s="64"/>
      <c r="WOQ25" s="64"/>
      <c r="WOR25" s="64"/>
      <c r="WOS25" s="64"/>
      <c r="WOT25" s="64"/>
      <c r="WOU25" s="64"/>
      <c r="WOV25" s="64"/>
      <c r="WOW25" s="64"/>
      <c r="WOX25" s="64"/>
      <c r="WOY25" s="64"/>
      <c r="WOZ25" s="64"/>
      <c r="WPA25" s="64"/>
      <c r="WPB25" s="64"/>
      <c r="WPC25" s="64"/>
      <c r="WPD25" s="64"/>
      <c r="WPE25" s="64"/>
      <c r="WPF25" s="64"/>
      <c r="WPG25" s="64"/>
      <c r="WPH25" s="64"/>
      <c r="WPI25" s="64"/>
      <c r="WPJ25" s="64"/>
      <c r="WPK25" s="64"/>
      <c r="WPL25" s="64"/>
      <c r="WPM25" s="64"/>
      <c r="WPN25" s="64"/>
      <c r="WPO25" s="64"/>
      <c r="WPP25" s="64"/>
      <c r="WPQ25" s="64"/>
      <c r="WPR25" s="64"/>
      <c r="WPS25" s="64"/>
      <c r="WPT25" s="64"/>
      <c r="WPU25" s="64"/>
      <c r="WPV25" s="64"/>
      <c r="WPW25" s="64"/>
      <c r="WPX25" s="64"/>
      <c r="WPY25" s="64"/>
      <c r="WPZ25" s="64"/>
      <c r="WQA25" s="64"/>
      <c r="WQB25" s="64"/>
      <c r="WQC25" s="64"/>
      <c r="WQD25" s="64"/>
      <c r="WQE25" s="64"/>
      <c r="WQF25" s="64"/>
      <c r="WQG25" s="64"/>
      <c r="WQH25" s="64"/>
      <c r="WQI25" s="64"/>
      <c r="WQJ25" s="64"/>
      <c r="WQK25" s="64"/>
      <c r="WQL25" s="64"/>
      <c r="WQM25" s="64"/>
      <c r="WQN25" s="64"/>
      <c r="WQO25" s="64"/>
      <c r="WQP25" s="64"/>
      <c r="WQQ25" s="64"/>
      <c r="WQR25" s="64"/>
      <c r="WQS25" s="64"/>
      <c r="WQT25" s="64"/>
      <c r="WQU25" s="64"/>
      <c r="WQV25" s="64"/>
      <c r="WQW25" s="64"/>
      <c r="WQX25" s="64"/>
      <c r="WQY25" s="64"/>
      <c r="WQZ25" s="64"/>
      <c r="WRA25" s="64"/>
      <c r="WRB25" s="64"/>
      <c r="WRC25" s="64"/>
      <c r="WRD25" s="64"/>
      <c r="WRE25" s="64"/>
      <c r="WRF25" s="64"/>
      <c r="WRG25" s="64"/>
      <c r="WRH25" s="64"/>
      <c r="WRI25" s="64"/>
      <c r="WRJ25" s="64"/>
      <c r="WRK25" s="64"/>
      <c r="WRL25" s="64"/>
      <c r="WRM25" s="64"/>
      <c r="WRN25" s="64"/>
      <c r="WRO25" s="64"/>
      <c r="WRP25" s="64"/>
      <c r="WRQ25" s="64"/>
      <c r="WRR25" s="64"/>
      <c r="WRS25" s="64"/>
      <c r="WRT25" s="64"/>
      <c r="WRU25" s="64"/>
      <c r="WRV25" s="64"/>
      <c r="WRW25" s="64"/>
      <c r="WRX25" s="64"/>
      <c r="WRY25" s="64"/>
      <c r="WRZ25" s="64"/>
      <c r="WSA25" s="64"/>
      <c r="WSB25" s="64"/>
      <c r="WSC25" s="64"/>
      <c r="WSD25" s="64"/>
      <c r="WSE25" s="64"/>
      <c r="WSF25" s="64"/>
      <c r="WSG25" s="64"/>
      <c r="WSH25" s="64"/>
      <c r="WSI25" s="64"/>
      <c r="WSJ25" s="64"/>
      <c r="WSK25" s="64"/>
      <c r="WSL25" s="64"/>
      <c r="WSM25" s="64"/>
      <c r="WSN25" s="64"/>
      <c r="WSO25" s="64"/>
      <c r="WSP25" s="64"/>
      <c r="WSQ25" s="64"/>
      <c r="WSR25" s="64"/>
      <c r="WSS25" s="64"/>
      <c r="WST25" s="64"/>
      <c r="WSU25" s="64"/>
      <c r="WSV25" s="64"/>
      <c r="WSW25" s="64"/>
      <c r="WSX25" s="64"/>
      <c r="WSY25" s="64"/>
      <c r="WSZ25" s="64"/>
      <c r="WTA25" s="64"/>
      <c r="WTB25" s="64"/>
      <c r="WTC25" s="64"/>
      <c r="WTD25" s="64"/>
      <c r="WTE25" s="64"/>
      <c r="WTF25" s="64"/>
      <c r="WTG25" s="64"/>
      <c r="WTH25" s="64"/>
      <c r="WTI25" s="64"/>
      <c r="WTJ25" s="64"/>
      <c r="WTK25" s="64"/>
      <c r="WTL25" s="64"/>
      <c r="WTM25" s="64"/>
      <c r="WTN25" s="64"/>
      <c r="WTO25" s="64"/>
      <c r="WTP25" s="64"/>
      <c r="WTQ25" s="64"/>
      <c r="WTR25" s="64"/>
      <c r="WTS25" s="64"/>
      <c r="WTT25" s="64"/>
      <c r="WTU25" s="64"/>
      <c r="WTV25" s="64"/>
      <c r="WTW25" s="64"/>
      <c r="WTX25" s="64"/>
      <c r="WTY25" s="64"/>
      <c r="WTZ25" s="64"/>
      <c r="WUA25" s="64"/>
      <c r="WUB25" s="64"/>
      <c r="WUC25" s="64"/>
      <c r="WUD25" s="64"/>
      <c r="WUE25" s="64"/>
      <c r="WUF25" s="64"/>
      <c r="WUG25" s="64"/>
      <c r="WUH25" s="64"/>
      <c r="WUI25" s="64"/>
      <c r="WUJ25" s="64"/>
      <c r="WUK25" s="64"/>
      <c r="WUL25" s="64"/>
      <c r="WUM25" s="64"/>
      <c r="WUN25" s="64"/>
      <c r="WUO25" s="64"/>
      <c r="WUP25" s="64"/>
      <c r="WUQ25" s="64"/>
      <c r="WUR25" s="64"/>
      <c r="WUS25" s="64"/>
      <c r="WUT25" s="64"/>
      <c r="WUU25" s="64"/>
      <c r="WUV25" s="64"/>
      <c r="WUW25" s="64"/>
      <c r="WUX25" s="64"/>
      <c r="WUY25" s="64"/>
      <c r="WUZ25" s="64"/>
      <c r="WVA25" s="64"/>
      <c r="WVB25" s="64"/>
      <c r="WVC25" s="64"/>
      <c r="WVD25" s="64"/>
      <c r="WVE25" s="64"/>
      <c r="WVF25" s="64"/>
      <c r="WVG25" s="64"/>
      <c r="WVH25" s="64"/>
      <c r="WVI25" s="64"/>
      <c r="WVJ25" s="64"/>
      <c r="WVK25" s="64"/>
      <c r="WVL25" s="64"/>
      <c r="WVM25" s="64"/>
      <c r="WVN25" s="64"/>
      <c r="WVO25" s="64"/>
      <c r="WVP25" s="64"/>
      <c r="WVQ25" s="64"/>
      <c r="WVR25" s="64"/>
      <c r="WVS25" s="64"/>
      <c r="WVT25" s="64"/>
      <c r="WVU25" s="64"/>
      <c r="WVV25" s="64"/>
      <c r="WVW25" s="64"/>
      <c r="WVX25" s="64"/>
      <c r="WVY25" s="64"/>
      <c r="WVZ25" s="64"/>
      <c r="WWA25" s="64"/>
      <c r="WWB25" s="64"/>
      <c r="WWC25" s="64"/>
      <c r="WWD25" s="64"/>
      <c r="WWE25" s="64"/>
      <c r="WWF25" s="64"/>
      <c r="WWG25" s="64"/>
      <c r="WWH25" s="64"/>
      <c r="WWI25" s="64"/>
      <c r="WWJ25" s="64"/>
      <c r="WWK25" s="64"/>
      <c r="WWL25" s="64"/>
      <c r="WWM25" s="64"/>
      <c r="WWN25" s="64"/>
      <c r="WWO25" s="64"/>
      <c r="WWP25" s="64"/>
      <c r="WWQ25" s="64"/>
      <c r="WWR25" s="64"/>
      <c r="WWS25" s="64"/>
      <c r="WWT25" s="64"/>
      <c r="WWU25" s="64"/>
      <c r="WWV25" s="64"/>
      <c r="WWW25" s="64"/>
      <c r="WWX25" s="64"/>
      <c r="WWY25" s="64"/>
      <c r="WWZ25" s="64"/>
      <c r="WXA25" s="64"/>
      <c r="WXB25" s="64"/>
      <c r="WXC25" s="64"/>
      <c r="WXD25" s="64"/>
      <c r="WXE25" s="64"/>
      <c r="WXF25" s="64"/>
      <c r="WXG25" s="64"/>
      <c r="WXH25" s="64"/>
      <c r="WXI25" s="64"/>
      <c r="WXJ25" s="64"/>
      <c r="WXK25" s="64"/>
      <c r="WXL25" s="64"/>
      <c r="WXM25" s="64"/>
      <c r="WXN25" s="64"/>
      <c r="WXO25" s="64"/>
      <c r="WXP25" s="64"/>
      <c r="WXQ25" s="64"/>
      <c r="WXR25" s="64"/>
      <c r="WXS25" s="64"/>
      <c r="WXT25" s="64"/>
      <c r="WXU25" s="64"/>
      <c r="WXV25" s="64"/>
      <c r="WXW25" s="64"/>
      <c r="WXX25" s="64"/>
      <c r="WXY25" s="64"/>
      <c r="WXZ25" s="64"/>
      <c r="WYA25" s="64"/>
      <c r="WYB25" s="64"/>
      <c r="WYC25" s="64"/>
      <c r="WYD25" s="64"/>
      <c r="WYE25" s="64"/>
      <c r="WYF25" s="64"/>
      <c r="WYG25" s="64"/>
      <c r="WYH25" s="64"/>
      <c r="WYI25" s="64"/>
      <c r="WYJ25" s="64"/>
      <c r="WYK25" s="64"/>
      <c r="WYL25" s="64"/>
      <c r="WYM25" s="64"/>
      <c r="WYN25" s="64"/>
      <c r="WYO25" s="64"/>
      <c r="WYP25" s="64"/>
      <c r="WYQ25" s="64"/>
      <c r="WYR25" s="64"/>
      <c r="WYS25" s="64"/>
      <c r="WYT25" s="64"/>
      <c r="WYU25" s="64"/>
      <c r="WYV25" s="64"/>
      <c r="WYW25" s="64"/>
      <c r="WYX25" s="64"/>
      <c r="WYY25" s="64"/>
      <c r="WYZ25" s="64"/>
      <c r="WZA25" s="64"/>
      <c r="WZB25" s="64"/>
      <c r="WZC25" s="64"/>
      <c r="WZD25" s="64"/>
      <c r="WZE25" s="64"/>
      <c r="WZF25" s="64"/>
      <c r="WZG25" s="64"/>
      <c r="WZH25" s="64"/>
      <c r="WZI25" s="64"/>
      <c r="WZJ25" s="64"/>
      <c r="WZK25" s="64"/>
      <c r="WZL25" s="64"/>
      <c r="WZM25" s="64"/>
      <c r="WZN25" s="64"/>
      <c r="WZO25" s="64"/>
      <c r="WZP25" s="64"/>
      <c r="WZQ25" s="64"/>
      <c r="WZR25" s="64"/>
      <c r="WZS25" s="64"/>
      <c r="WZT25" s="64"/>
      <c r="WZU25" s="64"/>
      <c r="WZV25" s="64"/>
      <c r="WZW25" s="64"/>
      <c r="WZX25" s="64"/>
      <c r="WZY25" s="64"/>
      <c r="WZZ25" s="64"/>
      <c r="XAA25" s="64"/>
      <c r="XAB25" s="64"/>
      <c r="XAC25" s="64"/>
      <c r="XAD25" s="64"/>
      <c r="XAE25" s="64"/>
      <c r="XAF25" s="64"/>
      <c r="XAG25" s="64"/>
      <c r="XAH25" s="64"/>
      <c r="XAI25" s="64"/>
      <c r="XAJ25" s="64"/>
      <c r="XAK25" s="64"/>
      <c r="XAL25" s="64"/>
      <c r="XAM25" s="64"/>
      <c r="XAN25" s="64"/>
      <c r="XAO25" s="64"/>
      <c r="XAP25" s="64"/>
      <c r="XAQ25" s="64"/>
      <c r="XAR25" s="64"/>
      <c r="XAS25" s="64"/>
      <c r="XAT25" s="64"/>
      <c r="XAU25" s="64"/>
      <c r="XAV25" s="64"/>
      <c r="XAW25" s="64"/>
      <c r="XAX25" s="64"/>
      <c r="XAY25" s="64"/>
      <c r="XAZ25" s="64"/>
      <c r="XBA25" s="64"/>
      <c r="XBB25" s="64"/>
      <c r="XBC25" s="64"/>
      <c r="XBD25" s="64"/>
      <c r="XBE25" s="64"/>
      <c r="XBF25" s="64"/>
      <c r="XBG25" s="64"/>
      <c r="XBH25" s="64"/>
      <c r="XBI25" s="64"/>
      <c r="XBJ25" s="64"/>
      <c r="XBK25" s="64"/>
      <c r="XBL25" s="64"/>
      <c r="XBM25" s="64"/>
      <c r="XBN25" s="64"/>
      <c r="XBO25" s="64"/>
      <c r="XBP25" s="64"/>
      <c r="XBQ25" s="64"/>
      <c r="XBR25" s="64"/>
      <c r="XBS25" s="64"/>
      <c r="XBT25" s="64"/>
      <c r="XBU25" s="64"/>
      <c r="XBV25" s="64"/>
      <c r="XBW25" s="64"/>
      <c r="XBX25" s="64"/>
      <c r="XBY25" s="64"/>
      <c r="XBZ25" s="64"/>
      <c r="XCA25" s="64"/>
      <c r="XCB25" s="64"/>
      <c r="XCC25" s="64"/>
      <c r="XCD25" s="64"/>
      <c r="XCE25" s="64"/>
      <c r="XCF25" s="64"/>
      <c r="XCG25" s="64"/>
      <c r="XCH25" s="64"/>
      <c r="XCI25" s="64"/>
      <c r="XCJ25" s="64"/>
      <c r="XCK25" s="64"/>
      <c r="XCL25" s="64"/>
      <c r="XCM25" s="64"/>
      <c r="XCN25" s="64"/>
      <c r="XCO25" s="64"/>
      <c r="XCP25" s="64"/>
      <c r="XCQ25" s="64"/>
      <c r="XCR25" s="64"/>
      <c r="XCS25" s="64"/>
      <c r="XCT25" s="64"/>
      <c r="XCU25" s="64"/>
      <c r="XCV25" s="64"/>
      <c r="XCW25" s="64"/>
      <c r="XCX25" s="64"/>
      <c r="XCY25" s="64"/>
      <c r="XCZ25" s="64"/>
      <c r="XDA25" s="64"/>
      <c r="XDB25" s="64"/>
      <c r="XDC25" s="64"/>
      <c r="XDD25" s="64"/>
      <c r="XDE25" s="64"/>
      <c r="XDF25" s="64"/>
      <c r="XDG25" s="64"/>
      <c r="XDH25" s="64"/>
      <c r="XDI25" s="64"/>
      <c r="XDJ25" s="64"/>
      <c r="XDK25" s="64"/>
      <c r="XDL25" s="64"/>
      <c r="XDM25" s="64"/>
      <c r="XDN25" s="64"/>
      <c r="XDO25" s="64"/>
      <c r="XDP25" s="64"/>
      <c r="XDQ25" s="64"/>
      <c r="XDR25" s="64"/>
      <c r="XDS25" s="64"/>
      <c r="XDT25" s="64"/>
      <c r="XDU25" s="64"/>
      <c r="XDV25" s="64"/>
      <c r="XDW25" s="64"/>
      <c r="XDX25" s="64"/>
      <c r="XDY25" s="64"/>
      <c r="XDZ25" s="64"/>
      <c r="XEA25" s="64"/>
      <c r="XEB25" s="64"/>
      <c r="XEC25" s="64"/>
      <c r="XED25" s="64"/>
      <c r="XEE25" s="64"/>
      <c r="XEF25" s="64"/>
      <c r="XEG25" s="64"/>
      <c r="XEH25" s="64"/>
      <c r="XEI25" s="64"/>
      <c r="XEJ25" s="64"/>
      <c r="XEK25" s="64"/>
      <c r="XEL25" s="64"/>
      <c r="XEM25" s="64"/>
      <c r="XEN25" s="64"/>
      <c r="XEO25" s="64"/>
      <c r="XEP25" s="64"/>
      <c r="XEQ25" s="64"/>
      <c r="XER25" s="64"/>
      <c r="XES25" s="64"/>
      <c r="XET25" s="64"/>
      <c r="XEU25" s="64"/>
      <c r="XEV25" s="64"/>
      <c r="XEW25" s="64"/>
      <c r="XEX25" s="64"/>
      <c r="XEY25" s="64"/>
      <c r="XEZ25" s="64"/>
      <c r="XFA25" s="64"/>
      <c r="XFB25" s="64"/>
      <c r="XFC25" s="64"/>
      <c r="XFD25" s="64"/>
    </row>
    <row r="26" ht="25.95" customHeight="1" spans="1:16">
      <c r="A26" s="1" t="s">
        <v>173</v>
      </c>
      <c r="B26" s="221" t="s">
        <v>179</v>
      </c>
      <c r="C26" s="1"/>
      <c r="D26" s="1">
        <v>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ht="25.95" customHeight="1" spans="1:16">
      <c r="A27" s="1" t="s">
        <v>149</v>
      </c>
      <c r="B27" s="221" t="s">
        <v>180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>
        <v>10</v>
      </c>
      <c r="P27" s="1">
        <v>42</v>
      </c>
    </row>
    <row r="28" ht="25.95" customHeight="1" spans="1:16">
      <c r="A28" s="1" t="s">
        <v>151</v>
      </c>
      <c r="B28" s="221" t="s">
        <v>181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>
        <v>10</v>
      </c>
      <c r="P28" s="1"/>
    </row>
    <row r="29" ht="25.95" customHeight="1" spans="1:16">
      <c r="A29" s="1" t="s">
        <v>151</v>
      </c>
      <c r="B29" s="221" t="s">
        <v>182</v>
      </c>
      <c r="C29" s="1"/>
      <c r="D29" s="1"/>
      <c r="E29" s="1"/>
      <c r="F29" s="1"/>
      <c r="G29" s="1"/>
      <c r="H29" s="1">
        <v>8</v>
      </c>
      <c r="I29" s="1"/>
      <c r="J29" s="1"/>
      <c r="K29" s="1"/>
      <c r="L29" s="1"/>
      <c r="M29" s="1"/>
      <c r="N29" s="1"/>
      <c r="O29" s="1">
        <v>8</v>
      </c>
      <c r="P29" s="1"/>
    </row>
    <row r="30" ht="25.95" customHeight="1" spans="1:16">
      <c r="A30" s="1" t="s">
        <v>157</v>
      </c>
      <c r="B30" s="222" t="s">
        <v>183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>
        <v>6</v>
      </c>
      <c r="P30" s="1"/>
    </row>
    <row r="31" ht="25.95" customHeight="1" spans="1:16">
      <c r="A31" s="1" t="s">
        <v>162</v>
      </c>
      <c r="B31" s="221" t="s">
        <v>184</v>
      </c>
      <c r="C31" s="1">
        <v>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>
        <v>4</v>
      </c>
      <c r="P31" s="1"/>
    </row>
    <row r="32" ht="25.95" customHeight="1" spans="1:16">
      <c r="A32" s="1" t="s">
        <v>162</v>
      </c>
      <c r="B32" s="221" t="s">
        <v>185</v>
      </c>
      <c r="C32" s="1">
        <v>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>
        <v>4</v>
      </c>
      <c r="P32" s="1"/>
    </row>
    <row r="33" ht="25.95" customHeight="1" spans="1:16">
      <c r="A33" s="1" t="s">
        <v>162</v>
      </c>
      <c r="B33" s="221" t="s">
        <v>186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>
        <v>4</v>
      </c>
      <c r="P33" s="1"/>
    </row>
    <row r="34" ht="25.95" customHeight="1" spans="1:16">
      <c r="A34" s="1" t="s">
        <v>162</v>
      </c>
      <c r="B34" s="221" t="s">
        <v>187</v>
      </c>
      <c r="C34" s="1"/>
      <c r="D34" s="1"/>
      <c r="E34" s="1"/>
      <c r="F34" s="1"/>
      <c r="G34" s="1"/>
      <c r="H34" s="1"/>
      <c r="I34" s="1"/>
      <c r="J34" s="1"/>
      <c r="K34" s="1">
        <v>2</v>
      </c>
      <c r="L34" s="1"/>
      <c r="M34" s="1"/>
      <c r="N34" s="1"/>
      <c r="O34" s="1">
        <v>4</v>
      </c>
      <c r="P34" s="1"/>
    </row>
    <row r="35" ht="25.95" customHeight="1" spans="1:16">
      <c r="A35" s="1" t="s">
        <v>157</v>
      </c>
      <c r="B35" s="221" t="s">
        <v>188</v>
      </c>
      <c r="C35" s="1">
        <v>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>
        <v>4</v>
      </c>
      <c r="P35" s="1"/>
    </row>
    <row r="36" ht="25.95" customHeight="1" spans="1:16">
      <c r="A36" s="1" t="s">
        <v>167</v>
      </c>
      <c r="B36" s="221" t="s">
        <v>189</v>
      </c>
      <c r="C36" s="1"/>
      <c r="D36" s="1"/>
      <c r="E36" s="1"/>
      <c r="F36" s="1"/>
      <c r="G36" s="1"/>
      <c r="H36" s="1">
        <v>2</v>
      </c>
      <c r="I36" s="1"/>
      <c r="J36" s="1"/>
      <c r="K36" s="1"/>
      <c r="L36" s="1"/>
      <c r="M36" s="1"/>
      <c r="N36" s="1"/>
      <c r="O36" s="1">
        <v>2</v>
      </c>
      <c r="P36" s="1"/>
    </row>
    <row r="37" ht="25.95" customHeight="1" spans="1:16">
      <c r="A37" s="1" t="s">
        <v>167</v>
      </c>
      <c r="B37" s="221" t="s">
        <v>190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>
        <v>2</v>
      </c>
      <c r="P37" s="1"/>
    </row>
    <row r="38" ht="25.95" customHeight="1" spans="1:16">
      <c r="A38" s="1" t="s">
        <v>157</v>
      </c>
      <c r="B38" s="221" t="s">
        <v>191</v>
      </c>
      <c r="C38" s="1">
        <v>10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>
        <v>2</v>
      </c>
      <c r="P38" s="1"/>
    </row>
    <row r="39" ht="25.95" customHeight="1" spans="1:16">
      <c r="A39" s="1" t="s">
        <v>157</v>
      </c>
      <c r="B39" s="221" t="s">
        <v>192</v>
      </c>
      <c r="C39" s="1"/>
      <c r="D39" s="1"/>
      <c r="E39" s="1"/>
      <c r="F39" s="1"/>
      <c r="G39" s="1"/>
      <c r="H39" s="1">
        <v>12</v>
      </c>
      <c r="I39" s="1"/>
      <c r="J39" s="1"/>
      <c r="K39" s="1"/>
      <c r="L39" s="1"/>
      <c r="M39" s="1"/>
      <c r="N39" s="1"/>
      <c r="O39" s="1">
        <v>2</v>
      </c>
      <c r="P39" s="1"/>
    </row>
    <row r="40" ht="25.95" customHeight="1" spans="1:16">
      <c r="A40" s="1" t="s">
        <v>173</v>
      </c>
      <c r="B40" s="221" t="s">
        <v>193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>
        <v>2</v>
      </c>
      <c r="P40" s="1"/>
    </row>
    <row r="41" ht="25.95" customHeight="1" spans="1:16">
      <c r="A41" s="1" t="s">
        <v>149</v>
      </c>
      <c r="B41" s="221" t="s">
        <v>194</v>
      </c>
      <c r="C41" s="1"/>
      <c r="D41" s="1"/>
      <c r="E41" s="1">
        <v>26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ht="25.95" customHeight="1" spans="1:16">
      <c r="A42" s="1" t="s">
        <v>151</v>
      </c>
      <c r="B42" s="221" t="s">
        <v>195</v>
      </c>
      <c r="C42" s="1"/>
      <c r="D42" s="1"/>
      <c r="E42" s="1">
        <v>20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ht="25.95" customHeight="1" spans="1:16">
      <c r="A43" s="1" t="s">
        <v>151</v>
      </c>
      <c r="B43" s="221" t="s">
        <v>196</v>
      </c>
      <c r="C43" s="1"/>
      <c r="D43" s="1"/>
      <c r="E43" s="1">
        <v>16</v>
      </c>
      <c r="F43" s="1"/>
      <c r="G43" s="1"/>
      <c r="H43" s="1">
        <v>8</v>
      </c>
      <c r="I43" s="1"/>
      <c r="J43" s="1"/>
      <c r="K43" s="1"/>
      <c r="L43" s="1"/>
      <c r="M43" s="1"/>
      <c r="N43" s="1"/>
      <c r="O43" s="1"/>
      <c r="P43" s="1"/>
    </row>
    <row r="44" ht="25.95" customHeight="1" spans="1:16">
      <c r="A44" s="1" t="s">
        <v>155</v>
      </c>
      <c r="B44" s="221" t="s">
        <v>197</v>
      </c>
      <c r="C44" s="1"/>
      <c r="D44" s="1"/>
      <c r="E44" s="1">
        <v>16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ht="25.95" customHeight="1" spans="1:16">
      <c r="A45" s="1" t="s">
        <v>157</v>
      </c>
      <c r="B45" s="221" t="s">
        <v>198</v>
      </c>
      <c r="C45" s="1"/>
      <c r="D45" s="1"/>
      <c r="E45" s="1">
        <v>12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ht="25.95" customHeight="1" spans="1:16">
      <c r="A46" s="1" t="s">
        <v>162</v>
      </c>
      <c r="B46" s="221" t="s">
        <v>199</v>
      </c>
      <c r="C46" s="1"/>
      <c r="D46" s="1"/>
      <c r="E46" s="1">
        <v>10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ht="25.95" customHeight="1" spans="1:16">
      <c r="A47" s="1" t="s">
        <v>157</v>
      </c>
      <c r="B47" s="221" t="s">
        <v>200</v>
      </c>
      <c r="C47" s="1">
        <v>4</v>
      </c>
      <c r="D47" s="1"/>
      <c r="E47" s="1">
        <v>10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ht="25.95" customHeight="1" spans="1:16">
      <c r="A48" s="1" t="s">
        <v>157</v>
      </c>
      <c r="B48" s="221" t="s">
        <v>201</v>
      </c>
      <c r="C48" s="1"/>
      <c r="D48" s="1"/>
      <c r="E48" s="1">
        <v>10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ht="25.95" customHeight="1" spans="1:16">
      <c r="A49" s="1" t="s">
        <v>157</v>
      </c>
      <c r="B49" s="221" t="s">
        <v>202</v>
      </c>
      <c r="C49" s="1"/>
      <c r="D49" s="1"/>
      <c r="E49" s="1">
        <v>10</v>
      </c>
      <c r="F49" s="1"/>
      <c r="G49" s="1"/>
      <c r="H49" s="1">
        <v>4</v>
      </c>
      <c r="I49" s="1"/>
      <c r="J49" s="1"/>
      <c r="K49" s="1"/>
      <c r="L49" s="1"/>
      <c r="M49" s="1"/>
      <c r="N49" s="1"/>
      <c r="O49" s="1"/>
      <c r="P49" s="1"/>
    </row>
    <row r="50" ht="25.95" customHeight="1" spans="1:16">
      <c r="A50" s="1" t="s">
        <v>157</v>
      </c>
      <c r="B50" s="221" t="s">
        <v>203</v>
      </c>
      <c r="C50" s="1"/>
      <c r="D50" s="1"/>
      <c r="E50" s="1">
        <v>10</v>
      </c>
      <c r="F50" s="1"/>
      <c r="G50" s="1"/>
      <c r="H50" s="1"/>
      <c r="I50" s="1"/>
      <c r="J50" s="1"/>
      <c r="K50" s="1"/>
      <c r="L50" s="1"/>
      <c r="M50" s="1"/>
      <c r="N50" s="1">
        <v>4</v>
      </c>
      <c r="O50" s="1"/>
      <c r="P50" s="1"/>
    </row>
    <row r="51" ht="25.95" customHeight="1" spans="1:16">
      <c r="A51" s="1" t="s">
        <v>162</v>
      </c>
      <c r="B51" s="221" t="s">
        <v>204</v>
      </c>
      <c r="C51" s="1"/>
      <c r="D51" s="1"/>
      <c r="E51" s="1">
        <v>8</v>
      </c>
      <c r="F51" s="1"/>
      <c r="G51" s="1">
        <v>4</v>
      </c>
      <c r="H51" s="1"/>
      <c r="I51" s="1"/>
      <c r="J51" s="1"/>
      <c r="K51" s="1"/>
      <c r="L51" s="1"/>
      <c r="M51" s="1"/>
      <c r="N51" s="1"/>
      <c r="O51" s="1"/>
      <c r="P51" s="1"/>
    </row>
    <row r="52" ht="25.95" customHeight="1" spans="1:16">
      <c r="A52" s="1" t="s">
        <v>167</v>
      </c>
      <c r="B52" s="221" t="s">
        <v>205</v>
      </c>
      <c r="C52" s="1"/>
      <c r="D52" s="1"/>
      <c r="E52" s="1">
        <v>6</v>
      </c>
      <c r="F52" s="1"/>
      <c r="G52" s="1"/>
      <c r="H52" s="1">
        <v>2</v>
      </c>
      <c r="I52" s="1"/>
      <c r="J52" s="1"/>
      <c r="K52" s="1"/>
      <c r="L52" s="1"/>
      <c r="M52" s="1"/>
      <c r="N52" s="1"/>
      <c r="O52" s="1"/>
      <c r="P52" s="1"/>
    </row>
    <row r="53" ht="25.95" customHeight="1" spans="1:16">
      <c r="A53" s="1" t="s">
        <v>167</v>
      </c>
      <c r="B53" s="221" t="s">
        <v>206</v>
      </c>
      <c r="C53" s="1"/>
      <c r="D53" s="1"/>
      <c r="E53" s="1">
        <v>6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ht="25.95" customHeight="1" spans="1:16">
      <c r="A54" s="1" t="s">
        <v>157</v>
      </c>
      <c r="B54" s="221" t="s">
        <v>207</v>
      </c>
      <c r="C54" s="1">
        <v>12</v>
      </c>
      <c r="D54" s="1"/>
      <c r="E54" s="1">
        <v>4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ht="25.95" customHeight="1" spans="1:16">
      <c r="A55" s="1" t="s">
        <v>157</v>
      </c>
      <c r="B55" s="221" t="s">
        <v>208</v>
      </c>
      <c r="C55" s="1">
        <v>10</v>
      </c>
      <c r="D55" s="1"/>
      <c r="E55" s="1">
        <v>4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ht="25.95" customHeight="1" spans="1:16">
      <c r="A56" s="1" t="s">
        <v>157</v>
      </c>
      <c r="B56" s="221" t="s">
        <v>209</v>
      </c>
      <c r="C56" s="1"/>
      <c r="D56" s="1"/>
      <c r="E56" s="1">
        <v>4</v>
      </c>
      <c r="F56" s="1"/>
      <c r="G56" s="1"/>
      <c r="H56" s="1"/>
      <c r="I56" s="1"/>
      <c r="J56" s="1"/>
      <c r="K56" s="1"/>
      <c r="L56" s="1"/>
      <c r="M56" s="1"/>
      <c r="N56" s="1">
        <v>12</v>
      </c>
      <c r="O56" s="1"/>
      <c r="P56" s="1"/>
    </row>
    <row r="57" ht="25.95" customHeight="1" spans="1:16">
      <c r="A57" s="1" t="s">
        <v>173</v>
      </c>
      <c r="B57" s="221" t="s">
        <v>210</v>
      </c>
      <c r="C57" s="1"/>
      <c r="D57" s="1"/>
      <c r="E57" s="1">
        <v>4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ht="25.95" customHeight="1" spans="1:16">
      <c r="A58" s="1" t="s">
        <v>162</v>
      </c>
      <c r="B58" s="221" t="s">
        <v>211</v>
      </c>
      <c r="C58" s="1"/>
      <c r="D58" s="1"/>
      <c r="E58" s="1">
        <v>2</v>
      </c>
      <c r="F58" s="1"/>
      <c r="G58" s="1"/>
      <c r="H58" s="1"/>
      <c r="I58" s="1"/>
      <c r="J58" s="1"/>
      <c r="K58" s="1">
        <v>8</v>
      </c>
      <c r="L58" s="1"/>
      <c r="M58" s="1"/>
      <c r="N58" s="1"/>
      <c r="O58" s="1"/>
      <c r="P58" s="1"/>
    </row>
    <row r="59" customFormat="1" ht="25.95" customHeight="1" spans="1:16384">
      <c r="A59" s="1" t="s">
        <v>173</v>
      </c>
      <c r="B59" s="221" t="s">
        <v>212</v>
      </c>
      <c r="C59" s="1"/>
      <c r="D59" s="1"/>
      <c r="E59" s="1">
        <v>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75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  <c r="DW59" s="64"/>
      <c r="DX59" s="64"/>
      <c r="DY59" s="64"/>
      <c r="DZ59" s="64"/>
      <c r="EA59" s="64"/>
      <c r="EB59" s="64"/>
      <c r="EC59" s="64"/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  <c r="FI59" s="64"/>
      <c r="FJ59" s="64"/>
      <c r="FK59" s="64"/>
      <c r="FL59" s="64"/>
      <c r="FM59" s="64"/>
      <c r="FN59" s="64"/>
      <c r="FO59" s="64"/>
      <c r="FP59" s="64"/>
      <c r="FQ59" s="64"/>
      <c r="FR59" s="64"/>
      <c r="FS59" s="64"/>
      <c r="FT59" s="64"/>
      <c r="FU59" s="64"/>
      <c r="FV59" s="64"/>
      <c r="FW59" s="64"/>
      <c r="FX59" s="64"/>
      <c r="FY59" s="64"/>
      <c r="FZ59" s="64"/>
      <c r="GA59" s="64"/>
      <c r="GB59" s="64"/>
      <c r="GC59" s="64"/>
      <c r="GD59" s="64"/>
      <c r="GE59" s="64"/>
      <c r="GF59" s="64"/>
      <c r="GG59" s="64"/>
      <c r="GH59" s="64"/>
      <c r="GI59" s="64"/>
      <c r="GJ59" s="64"/>
      <c r="GK59" s="64"/>
      <c r="GL59" s="64"/>
      <c r="GM59" s="64"/>
      <c r="GN59" s="64"/>
      <c r="GO59" s="64"/>
      <c r="GP59" s="64"/>
      <c r="GQ59" s="64"/>
      <c r="GR59" s="64"/>
      <c r="GS59" s="64"/>
      <c r="GT59" s="64"/>
      <c r="GU59" s="64"/>
      <c r="GV59" s="64"/>
      <c r="GW59" s="64"/>
      <c r="GX59" s="64"/>
      <c r="GY59" s="64"/>
      <c r="GZ59" s="64"/>
      <c r="HA59" s="64"/>
      <c r="HB59" s="64"/>
      <c r="HC59" s="64"/>
      <c r="HD59" s="64"/>
      <c r="HE59" s="64"/>
      <c r="HF59" s="64"/>
      <c r="HG59" s="64"/>
      <c r="HH59" s="64"/>
      <c r="HI59" s="64"/>
      <c r="HJ59" s="64"/>
      <c r="HK59" s="64"/>
      <c r="HL59" s="64"/>
      <c r="HM59" s="64"/>
      <c r="HN59" s="64"/>
      <c r="HO59" s="64"/>
      <c r="HP59" s="64"/>
      <c r="HQ59" s="64"/>
      <c r="HR59" s="64"/>
      <c r="HS59" s="64"/>
      <c r="HT59" s="64"/>
      <c r="HU59" s="64"/>
      <c r="HV59" s="64"/>
      <c r="HW59" s="64"/>
      <c r="HX59" s="64"/>
      <c r="HY59" s="64"/>
      <c r="HZ59" s="64"/>
      <c r="IA59" s="64"/>
      <c r="IB59" s="64"/>
      <c r="IC59" s="64"/>
      <c r="ID59" s="64"/>
      <c r="IE59" s="64"/>
      <c r="IF59" s="64"/>
      <c r="IG59" s="64"/>
      <c r="IH59" s="64"/>
      <c r="II59" s="64"/>
      <c r="IJ59" s="64"/>
      <c r="IK59" s="64"/>
      <c r="IL59" s="64"/>
      <c r="IM59" s="64"/>
      <c r="IN59" s="64"/>
      <c r="IO59" s="64"/>
      <c r="IP59" s="64"/>
      <c r="IQ59" s="64"/>
      <c r="IR59" s="64"/>
      <c r="IS59" s="64"/>
      <c r="IT59" s="64"/>
      <c r="IU59" s="64"/>
      <c r="IV59" s="64"/>
      <c r="IW59" s="64"/>
      <c r="IX59" s="64"/>
      <c r="IY59" s="64"/>
      <c r="IZ59" s="64"/>
      <c r="JA59" s="64"/>
      <c r="JB59" s="64"/>
      <c r="JC59" s="64"/>
      <c r="JD59" s="64"/>
      <c r="JE59" s="64"/>
      <c r="JF59" s="64"/>
      <c r="JG59" s="64"/>
      <c r="JH59" s="64"/>
      <c r="JI59" s="64"/>
      <c r="JJ59" s="64"/>
      <c r="JK59" s="64"/>
      <c r="JL59" s="64"/>
      <c r="JM59" s="64"/>
      <c r="JN59" s="64"/>
      <c r="JO59" s="64"/>
      <c r="JP59" s="64"/>
      <c r="JQ59" s="64"/>
      <c r="JR59" s="64"/>
      <c r="JS59" s="64"/>
      <c r="JT59" s="64"/>
      <c r="JU59" s="64"/>
      <c r="JV59" s="64"/>
      <c r="JW59" s="64"/>
      <c r="JX59" s="64"/>
      <c r="JY59" s="64"/>
      <c r="JZ59" s="64"/>
      <c r="KA59" s="64"/>
      <c r="KB59" s="64"/>
      <c r="KC59" s="64"/>
      <c r="KD59" s="64"/>
      <c r="KE59" s="64"/>
      <c r="KF59" s="64"/>
      <c r="KG59" s="64"/>
      <c r="KH59" s="64"/>
      <c r="KI59" s="64"/>
      <c r="KJ59" s="64"/>
      <c r="KK59" s="64"/>
      <c r="KL59" s="64"/>
      <c r="KM59" s="64"/>
      <c r="KN59" s="64"/>
      <c r="KO59" s="64"/>
      <c r="KP59" s="64"/>
      <c r="KQ59" s="64"/>
      <c r="KR59" s="64"/>
      <c r="KS59" s="64"/>
      <c r="KT59" s="64"/>
      <c r="KU59" s="64"/>
      <c r="KV59" s="64"/>
      <c r="KW59" s="64"/>
      <c r="KX59" s="64"/>
      <c r="KY59" s="64"/>
      <c r="KZ59" s="64"/>
      <c r="LA59" s="64"/>
      <c r="LB59" s="64"/>
      <c r="LC59" s="64"/>
      <c r="LD59" s="64"/>
      <c r="LE59" s="64"/>
      <c r="LF59" s="64"/>
      <c r="LG59" s="64"/>
      <c r="LH59" s="64"/>
      <c r="LI59" s="64"/>
      <c r="LJ59" s="64"/>
      <c r="LK59" s="64"/>
      <c r="LL59" s="64"/>
      <c r="LM59" s="64"/>
      <c r="LN59" s="64"/>
      <c r="LO59" s="64"/>
      <c r="LP59" s="64"/>
      <c r="LQ59" s="64"/>
      <c r="LR59" s="64"/>
      <c r="LS59" s="64"/>
      <c r="LT59" s="64"/>
      <c r="LU59" s="64"/>
      <c r="LV59" s="64"/>
      <c r="LW59" s="64"/>
      <c r="LX59" s="64"/>
      <c r="LY59" s="64"/>
      <c r="LZ59" s="64"/>
      <c r="MA59" s="64"/>
      <c r="MB59" s="64"/>
      <c r="MC59" s="64"/>
      <c r="MD59" s="64"/>
      <c r="ME59" s="64"/>
      <c r="MF59" s="64"/>
      <c r="MG59" s="64"/>
      <c r="MH59" s="64"/>
      <c r="MI59" s="64"/>
      <c r="MJ59" s="64"/>
      <c r="MK59" s="64"/>
      <c r="ML59" s="64"/>
      <c r="MM59" s="64"/>
      <c r="MN59" s="64"/>
      <c r="MO59" s="64"/>
      <c r="MP59" s="64"/>
      <c r="MQ59" s="64"/>
      <c r="MR59" s="64"/>
      <c r="MS59" s="64"/>
      <c r="MT59" s="64"/>
      <c r="MU59" s="64"/>
      <c r="MV59" s="64"/>
      <c r="MW59" s="64"/>
      <c r="MX59" s="64"/>
      <c r="MY59" s="64"/>
      <c r="MZ59" s="64"/>
      <c r="NA59" s="64"/>
      <c r="NB59" s="64"/>
      <c r="NC59" s="64"/>
      <c r="ND59" s="64"/>
      <c r="NE59" s="64"/>
      <c r="NF59" s="64"/>
      <c r="NG59" s="64"/>
      <c r="NH59" s="64"/>
      <c r="NI59" s="64"/>
      <c r="NJ59" s="64"/>
      <c r="NK59" s="64"/>
      <c r="NL59" s="64"/>
      <c r="NM59" s="64"/>
      <c r="NN59" s="64"/>
      <c r="NO59" s="64"/>
      <c r="NP59" s="64"/>
      <c r="NQ59" s="64"/>
      <c r="NR59" s="64"/>
      <c r="NS59" s="64"/>
      <c r="NT59" s="64"/>
      <c r="NU59" s="64"/>
      <c r="NV59" s="64"/>
      <c r="NW59" s="64"/>
      <c r="NX59" s="64"/>
      <c r="NY59" s="64"/>
      <c r="NZ59" s="64"/>
      <c r="OA59" s="64"/>
      <c r="OB59" s="64"/>
      <c r="OC59" s="64"/>
      <c r="OD59" s="64"/>
      <c r="OE59" s="64"/>
      <c r="OF59" s="64"/>
      <c r="OG59" s="64"/>
      <c r="OH59" s="64"/>
      <c r="OI59" s="64"/>
      <c r="OJ59" s="64"/>
      <c r="OK59" s="64"/>
      <c r="OL59" s="64"/>
      <c r="OM59" s="64"/>
      <c r="ON59" s="64"/>
      <c r="OO59" s="64"/>
      <c r="OP59" s="64"/>
      <c r="OQ59" s="64"/>
      <c r="OR59" s="64"/>
      <c r="OS59" s="64"/>
      <c r="OT59" s="64"/>
      <c r="OU59" s="64"/>
      <c r="OV59" s="64"/>
      <c r="OW59" s="64"/>
      <c r="OX59" s="64"/>
      <c r="OY59" s="64"/>
      <c r="OZ59" s="64"/>
      <c r="PA59" s="64"/>
      <c r="PB59" s="64"/>
      <c r="PC59" s="64"/>
      <c r="PD59" s="64"/>
      <c r="PE59" s="64"/>
      <c r="PF59" s="64"/>
      <c r="PG59" s="64"/>
      <c r="PH59" s="64"/>
      <c r="PI59" s="64"/>
      <c r="PJ59" s="64"/>
      <c r="PK59" s="64"/>
      <c r="PL59" s="64"/>
      <c r="PM59" s="64"/>
      <c r="PN59" s="64"/>
      <c r="PO59" s="64"/>
      <c r="PP59" s="64"/>
      <c r="PQ59" s="64"/>
      <c r="PR59" s="64"/>
      <c r="PS59" s="64"/>
      <c r="PT59" s="64"/>
      <c r="PU59" s="64"/>
      <c r="PV59" s="64"/>
      <c r="PW59" s="64"/>
      <c r="PX59" s="64"/>
      <c r="PY59" s="64"/>
      <c r="PZ59" s="64"/>
      <c r="QA59" s="64"/>
      <c r="QB59" s="64"/>
      <c r="QC59" s="64"/>
      <c r="QD59" s="64"/>
      <c r="QE59" s="64"/>
      <c r="QF59" s="64"/>
      <c r="QG59" s="64"/>
      <c r="QH59" s="64"/>
      <c r="QI59" s="64"/>
      <c r="QJ59" s="64"/>
      <c r="QK59" s="64"/>
      <c r="QL59" s="64"/>
      <c r="QM59" s="64"/>
      <c r="QN59" s="64"/>
      <c r="QO59" s="64"/>
      <c r="QP59" s="64"/>
      <c r="QQ59" s="64"/>
      <c r="QR59" s="64"/>
      <c r="QS59" s="64"/>
      <c r="QT59" s="64"/>
      <c r="QU59" s="64"/>
      <c r="QV59" s="64"/>
      <c r="QW59" s="64"/>
      <c r="QX59" s="64"/>
      <c r="QY59" s="64"/>
      <c r="QZ59" s="64"/>
      <c r="RA59" s="64"/>
      <c r="RB59" s="64"/>
      <c r="RC59" s="64"/>
      <c r="RD59" s="64"/>
      <c r="RE59" s="64"/>
      <c r="RF59" s="64"/>
      <c r="RG59" s="64"/>
      <c r="RH59" s="64"/>
      <c r="RI59" s="64"/>
      <c r="RJ59" s="64"/>
      <c r="RK59" s="64"/>
      <c r="RL59" s="64"/>
      <c r="RM59" s="64"/>
      <c r="RN59" s="64"/>
      <c r="RO59" s="64"/>
      <c r="RP59" s="64"/>
      <c r="RQ59" s="64"/>
      <c r="RR59" s="64"/>
      <c r="RS59" s="64"/>
      <c r="RT59" s="64"/>
      <c r="RU59" s="64"/>
      <c r="RV59" s="64"/>
      <c r="RW59" s="64"/>
      <c r="RX59" s="64"/>
      <c r="RY59" s="64"/>
      <c r="RZ59" s="64"/>
      <c r="SA59" s="64"/>
      <c r="SB59" s="64"/>
      <c r="SC59" s="64"/>
      <c r="SD59" s="64"/>
      <c r="SE59" s="64"/>
      <c r="SF59" s="64"/>
      <c r="SG59" s="64"/>
      <c r="SH59" s="64"/>
      <c r="SI59" s="64"/>
      <c r="SJ59" s="64"/>
      <c r="SK59" s="64"/>
      <c r="SL59" s="64"/>
      <c r="SM59" s="64"/>
      <c r="SN59" s="64"/>
      <c r="SO59" s="64"/>
      <c r="SP59" s="64"/>
      <c r="SQ59" s="64"/>
      <c r="SR59" s="64"/>
      <c r="SS59" s="64"/>
      <c r="ST59" s="64"/>
      <c r="SU59" s="64"/>
      <c r="SV59" s="64"/>
      <c r="SW59" s="64"/>
      <c r="SX59" s="64"/>
      <c r="SY59" s="64"/>
      <c r="SZ59" s="64"/>
      <c r="TA59" s="64"/>
      <c r="TB59" s="64"/>
      <c r="TC59" s="64"/>
      <c r="TD59" s="64"/>
      <c r="TE59" s="64"/>
      <c r="TF59" s="64"/>
      <c r="TG59" s="64"/>
      <c r="TH59" s="64"/>
      <c r="TI59" s="64"/>
      <c r="TJ59" s="64"/>
      <c r="TK59" s="64"/>
      <c r="TL59" s="64"/>
      <c r="TM59" s="64"/>
      <c r="TN59" s="64"/>
      <c r="TO59" s="64"/>
      <c r="TP59" s="64"/>
      <c r="TQ59" s="64"/>
      <c r="TR59" s="64"/>
      <c r="TS59" s="64"/>
      <c r="TT59" s="64"/>
      <c r="TU59" s="64"/>
      <c r="TV59" s="64"/>
      <c r="TW59" s="64"/>
      <c r="TX59" s="64"/>
      <c r="TY59" s="64"/>
      <c r="TZ59" s="64"/>
      <c r="UA59" s="64"/>
      <c r="UB59" s="64"/>
      <c r="UC59" s="64"/>
      <c r="UD59" s="64"/>
      <c r="UE59" s="64"/>
      <c r="UF59" s="64"/>
      <c r="UG59" s="64"/>
      <c r="UH59" s="64"/>
      <c r="UI59" s="64"/>
      <c r="UJ59" s="64"/>
      <c r="UK59" s="64"/>
      <c r="UL59" s="64"/>
      <c r="UM59" s="64"/>
      <c r="UN59" s="64"/>
      <c r="UO59" s="64"/>
      <c r="UP59" s="64"/>
      <c r="UQ59" s="64"/>
      <c r="UR59" s="64"/>
      <c r="US59" s="64"/>
      <c r="UT59" s="64"/>
      <c r="UU59" s="64"/>
      <c r="UV59" s="64"/>
      <c r="UW59" s="64"/>
      <c r="UX59" s="64"/>
      <c r="UY59" s="64"/>
      <c r="UZ59" s="64"/>
      <c r="VA59" s="64"/>
      <c r="VB59" s="64"/>
      <c r="VC59" s="64"/>
      <c r="VD59" s="64"/>
      <c r="VE59" s="64"/>
      <c r="VF59" s="64"/>
      <c r="VG59" s="64"/>
      <c r="VH59" s="64"/>
      <c r="VI59" s="64"/>
      <c r="VJ59" s="64"/>
      <c r="VK59" s="64"/>
      <c r="VL59" s="64"/>
      <c r="VM59" s="64"/>
      <c r="VN59" s="64"/>
      <c r="VO59" s="64"/>
      <c r="VP59" s="64"/>
      <c r="VQ59" s="64"/>
      <c r="VR59" s="64"/>
      <c r="VS59" s="64"/>
      <c r="VT59" s="64"/>
      <c r="VU59" s="64"/>
      <c r="VV59" s="64"/>
      <c r="VW59" s="64"/>
      <c r="VX59" s="64"/>
      <c r="VY59" s="64"/>
      <c r="VZ59" s="64"/>
      <c r="WA59" s="64"/>
      <c r="WB59" s="64"/>
      <c r="WC59" s="64"/>
      <c r="WD59" s="64"/>
      <c r="WE59" s="64"/>
      <c r="WF59" s="64"/>
      <c r="WG59" s="64"/>
      <c r="WH59" s="64"/>
      <c r="WI59" s="64"/>
      <c r="WJ59" s="64"/>
      <c r="WK59" s="64"/>
      <c r="WL59" s="64"/>
      <c r="WM59" s="64"/>
      <c r="WN59" s="64"/>
      <c r="WO59" s="64"/>
      <c r="WP59" s="64"/>
      <c r="WQ59" s="64"/>
      <c r="WR59" s="64"/>
      <c r="WS59" s="64"/>
      <c r="WT59" s="64"/>
      <c r="WU59" s="64"/>
      <c r="WV59" s="64"/>
      <c r="WW59" s="64"/>
      <c r="WX59" s="64"/>
      <c r="WY59" s="64"/>
      <c r="WZ59" s="64"/>
      <c r="XA59" s="64"/>
      <c r="XB59" s="64"/>
      <c r="XC59" s="64"/>
      <c r="XD59" s="64"/>
      <c r="XE59" s="64"/>
      <c r="XF59" s="64"/>
      <c r="XG59" s="64"/>
      <c r="XH59" s="64"/>
      <c r="XI59" s="64"/>
      <c r="XJ59" s="64"/>
      <c r="XK59" s="64"/>
      <c r="XL59" s="64"/>
      <c r="XM59" s="64"/>
      <c r="XN59" s="64"/>
      <c r="XO59" s="64"/>
      <c r="XP59" s="64"/>
      <c r="XQ59" s="64"/>
      <c r="XR59" s="64"/>
      <c r="XS59" s="64"/>
      <c r="XT59" s="64"/>
      <c r="XU59" s="64"/>
      <c r="XV59" s="64"/>
      <c r="XW59" s="64"/>
      <c r="XX59" s="64"/>
      <c r="XY59" s="64"/>
      <c r="XZ59" s="64"/>
      <c r="YA59" s="64"/>
      <c r="YB59" s="64"/>
      <c r="YC59" s="64"/>
      <c r="YD59" s="64"/>
      <c r="YE59" s="64"/>
      <c r="YF59" s="64"/>
      <c r="YG59" s="64"/>
      <c r="YH59" s="64"/>
      <c r="YI59" s="64"/>
      <c r="YJ59" s="64"/>
      <c r="YK59" s="64"/>
      <c r="YL59" s="64"/>
      <c r="YM59" s="64"/>
      <c r="YN59" s="64"/>
      <c r="YO59" s="64"/>
      <c r="YP59" s="64"/>
      <c r="YQ59" s="64"/>
      <c r="YR59" s="64"/>
      <c r="YS59" s="64"/>
      <c r="YT59" s="64"/>
      <c r="YU59" s="64"/>
      <c r="YV59" s="64"/>
      <c r="YW59" s="64"/>
      <c r="YX59" s="64"/>
      <c r="YY59" s="64"/>
      <c r="YZ59" s="64"/>
      <c r="ZA59" s="64"/>
      <c r="ZB59" s="64"/>
      <c r="ZC59" s="64"/>
      <c r="ZD59" s="64"/>
      <c r="ZE59" s="64"/>
      <c r="ZF59" s="64"/>
      <c r="ZG59" s="64"/>
      <c r="ZH59" s="64"/>
      <c r="ZI59" s="64"/>
      <c r="ZJ59" s="64"/>
      <c r="ZK59" s="64"/>
      <c r="ZL59" s="64"/>
      <c r="ZM59" s="64"/>
      <c r="ZN59" s="64"/>
      <c r="ZO59" s="64"/>
      <c r="ZP59" s="64"/>
      <c r="ZQ59" s="64"/>
      <c r="ZR59" s="64"/>
      <c r="ZS59" s="64"/>
      <c r="ZT59" s="64"/>
      <c r="ZU59" s="64"/>
      <c r="ZV59" s="64"/>
      <c r="ZW59" s="64"/>
      <c r="ZX59" s="64"/>
      <c r="ZY59" s="64"/>
      <c r="ZZ59" s="64"/>
      <c r="AAA59" s="64"/>
      <c r="AAB59" s="64"/>
      <c r="AAC59" s="64"/>
      <c r="AAD59" s="64"/>
      <c r="AAE59" s="64"/>
      <c r="AAF59" s="64"/>
      <c r="AAG59" s="64"/>
      <c r="AAH59" s="64"/>
      <c r="AAI59" s="64"/>
      <c r="AAJ59" s="64"/>
      <c r="AAK59" s="64"/>
      <c r="AAL59" s="64"/>
      <c r="AAM59" s="64"/>
      <c r="AAN59" s="64"/>
      <c r="AAO59" s="64"/>
      <c r="AAP59" s="64"/>
      <c r="AAQ59" s="64"/>
      <c r="AAR59" s="64"/>
      <c r="AAS59" s="64"/>
      <c r="AAT59" s="64"/>
      <c r="AAU59" s="64"/>
      <c r="AAV59" s="64"/>
      <c r="AAW59" s="64"/>
      <c r="AAX59" s="64"/>
      <c r="AAY59" s="64"/>
      <c r="AAZ59" s="64"/>
      <c r="ABA59" s="64"/>
      <c r="ABB59" s="64"/>
      <c r="ABC59" s="64"/>
      <c r="ABD59" s="64"/>
      <c r="ABE59" s="64"/>
      <c r="ABF59" s="64"/>
      <c r="ABG59" s="64"/>
      <c r="ABH59" s="64"/>
      <c r="ABI59" s="64"/>
      <c r="ABJ59" s="64"/>
      <c r="ABK59" s="64"/>
      <c r="ABL59" s="64"/>
      <c r="ABM59" s="64"/>
      <c r="ABN59" s="64"/>
      <c r="ABO59" s="64"/>
      <c r="ABP59" s="64"/>
      <c r="ABQ59" s="64"/>
      <c r="ABR59" s="64"/>
      <c r="ABS59" s="64"/>
      <c r="ABT59" s="64"/>
      <c r="ABU59" s="64"/>
      <c r="ABV59" s="64"/>
      <c r="ABW59" s="64"/>
      <c r="ABX59" s="64"/>
      <c r="ABY59" s="64"/>
      <c r="ABZ59" s="64"/>
      <c r="ACA59" s="64"/>
      <c r="ACB59" s="64"/>
      <c r="ACC59" s="64"/>
      <c r="ACD59" s="64"/>
      <c r="ACE59" s="64"/>
      <c r="ACF59" s="64"/>
      <c r="ACG59" s="64"/>
      <c r="ACH59" s="64"/>
      <c r="ACI59" s="64"/>
      <c r="ACJ59" s="64"/>
      <c r="ACK59" s="64"/>
      <c r="ACL59" s="64"/>
      <c r="ACM59" s="64"/>
      <c r="ACN59" s="64"/>
      <c r="ACO59" s="64"/>
      <c r="ACP59" s="64"/>
      <c r="ACQ59" s="64"/>
      <c r="ACR59" s="64"/>
      <c r="ACS59" s="64"/>
      <c r="ACT59" s="64"/>
      <c r="ACU59" s="64"/>
      <c r="ACV59" s="64"/>
      <c r="ACW59" s="64"/>
      <c r="ACX59" s="64"/>
      <c r="ACY59" s="64"/>
      <c r="ACZ59" s="64"/>
      <c r="ADA59" s="64"/>
      <c r="ADB59" s="64"/>
      <c r="ADC59" s="64"/>
      <c r="ADD59" s="64"/>
      <c r="ADE59" s="64"/>
      <c r="ADF59" s="64"/>
      <c r="ADG59" s="64"/>
      <c r="ADH59" s="64"/>
      <c r="ADI59" s="64"/>
      <c r="ADJ59" s="64"/>
      <c r="ADK59" s="64"/>
      <c r="ADL59" s="64"/>
      <c r="ADM59" s="64"/>
      <c r="ADN59" s="64"/>
      <c r="ADO59" s="64"/>
      <c r="ADP59" s="64"/>
      <c r="ADQ59" s="64"/>
      <c r="ADR59" s="64"/>
      <c r="ADS59" s="64"/>
      <c r="ADT59" s="64"/>
      <c r="ADU59" s="64"/>
      <c r="ADV59" s="64"/>
      <c r="ADW59" s="64"/>
      <c r="ADX59" s="64"/>
      <c r="ADY59" s="64"/>
      <c r="ADZ59" s="64"/>
      <c r="AEA59" s="64"/>
      <c r="AEB59" s="64"/>
      <c r="AEC59" s="64"/>
      <c r="AED59" s="64"/>
      <c r="AEE59" s="64"/>
      <c r="AEF59" s="64"/>
      <c r="AEG59" s="64"/>
      <c r="AEH59" s="64"/>
      <c r="AEI59" s="64"/>
      <c r="AEJ59" s="64"/>
      <c r="AEK59" s="64"/>
      <c r="AEL59" s="64"/>
      <c r="AEM59" s="64"/>
      <c r="AEN59" s="64"/>
      <c r="AEO59" s="64"/>
      <c r="AEP59" s="64"/>
      <c r="AEQ59" s="64"/>
      <c r="AER59" s="64"/>
      <c r="AES59" s="64"/>
      <c r="AET59" s="64"/>
      <c r="AEU59" s="64"/>
      <c r="AEV59" s="64"/>
      <c r="AEW59" s="64"/>
      <c r="AEX59" s="64"/>
      <c r="AEY59" s="64"/>
      <c r="AEZ59" s="64"/>
      <c r="AFA59" s="64"/>
      <c r="AFB59" s="64"/>
      <c r="AFC59" s="64"/>
      <c r="AFD59" s="64"/>
      <c r="AFE59" s="64"/>
      <c r="AFF59" s="64"/>
      <c r="AFG59" s="64"/>
      <c r="AFH59" s="64"/>
      <c r="AFI59" s="64"/>
      <c r="AFJ59" s="64"/>
      <c r="AFK59" s="64"/>
      <c r="AFL59" s="64"/>
      <c r="AFM59" s="64"/>
      <c r="AFN59" s="64"/>
      <c r="AFO59" s="64"/>
      <c r="AFP59" s="64"/>
      <c r="AFQ59" s="64"/>
      <c r="AFR59" s="64"/>
      <c r="AFS59" s="64"/>
      <c r="AFT59" s="64"/>
      <c r="AFU59" s="64"/>
      <c r="AFV59" s="64"/>
      <c r="AFW59" s="64"/>
      <c r="AFX59" s="64"/>
      <c r="AFY59" s="64"/>
      <c r="AFZ59" s="64"/>
      <c r="AGA59" s="64"/>
      <c r="AGB59" s="64"/>
      <c r="AGC59" s="64"/>
      <c r="AGD59" s="64"/>
      <c r="AGE59" s="64"/>
      <c r="AGF59" s="64"/>
      <c r="AGG59" s="64"/>
      <c r="AGH59" s="64"/>
      <c r="AGI59" s="64"/>
      <c r="AGJ59" s="64"/>
      <c r="AGK59" s="64"/>
      <c r="AGL59" s="64"/>
      <c r="AGM59" s="64"/>
      <c r="AGN59" s="64"/>
      <c r="AGO59" s="64"/>
      <c r="AGP59" s="64"/>
      <c r="AGQ59" s="64"/>
      <c r="AGR59" s="64"/>
      <c r="AGS59" s="64"/>
      <c r="AGT59" s="64"/>
      <c r="AGU59" s="64"/>
      <c r="AGV59" s="64"/>
      <c r="AGW59" s="64"/>
      <c r="AGX59" s="64"/>
      <c r="AGY59" s="64"/>
      <c r="AGZ59" s="64"/>
      <c r="AHA59" s="64"/>
      <c r="AHB59" s="64"/>
      <c r="AHC59" s="64"/>
      <c r="AHD59" s="64"/>
      <c r="AHE59" s="64"/>
      <c r="AHF59" s="64"/>
      <c r="AHG59" s="64"/>
      <c r="AHH59" s="64"/>
      <c r="AHI59" s="64"/>
      <c r="AHJ59" s="64"/>
      <c r="AHK59" s="64"/>
      <c r="AHL59" s="64"/>
      <c r="AHM59" s="64"/>
      <c r="AHN59" s="64"/>
      <c r="AHO59" s="64"/>
      <c r="AHP59" s="64"/>
      <c r="AHQ59" s="64"/>
      <c r="AHR59" s="64"/>
      <c r="AHS59" s="64"/>
      <c r="AHT59" s="64"/>
      <c r="AHU59" s="64"/>
      <c r="AHV59" s="64"/>
      <c r="AHW59" s="64"/>
      <c r="AHX59" s="64"/>
      <c r="AHY59" s="64"/>
      <c r="AHZ59" s="64"/>
      <c r="AIA59" s="64"/>
      <c r="AIB59" s="64"/>
      <c r="AIC59" s="64"/>
      <c r="AID59" s="64"/>
      <c r="AIE59" s="64"/>
      <c r="AIF59" s="64"/>
      <c r="AIG59" s="64"/>
      <c r="AIH59" s="64"/>
      <c r="AII59" s="64"/>
      <c r="AIJ59" s="64"/>
      <c r="AIK59" s="64"/>
      <c r="AIL59" s="64"/>
      <c r="AIM59" s="64"/>
      <c r="AIN59" s="64"/>
      <c r="AIO59" s="64"/>
      <c r="AIP59" s="64"/>
      <c r="AIQ59" s="64"/>
      <c r="AIR59" s="64"/>
      <c r="AIS59" s="64"/>
      <c r="AIT59" s="64"/>
      <c r="AIU59" s="64"/>
      <c r="AIV59" s="64"/>
      <c r="AIW59" s="64"/>
      <c r="AIX59" s="64"/>
      <c r="AIY59" s="64"/>
      <c r="AIZ59" s="64"/>
      <c r="AJA59" s="64"/>
      <c r="AJB59" s="64"/>
      <c r="AJC59" s="64"/>
      <c r="AJD59" s="64"/>
      <c r="AJE59" s="64"/>
      <c r="AJF59" s="64"/>
      <c r="AJG59" s="64"/>
      <c r="AJH59" s="64"/>
      <c r="AJI59" s="64"/>
      <c r="AJJ59" s="64"/>
      <c r="AJK59" s="64"/>
      <c r="AJL59" s="64"/>
      <c r="AJM59" s="64"/>
      <c r="AJN59" s="64"/>
      <c r="AJO59" s="64"/>
      <c r="AJP59" s="64"/>
      <c r="AJQ59" s="64"/>
      <c r="AJR59" s="64"/>
      <c r="AJS59" s="64"/>
      <c r="AJT59" s="64"/>
      <c r="AJU59" s="64"/>
      <c r="AJV59" s="64"/>
      <c r="AJW59" s="64"/>
      <c r="AJX59" s="64"/>
      <c r="AJY59" s="64"/>
      <c r="AJZ59" s="64"/>
      <c r="AKA59" s="64"/>
      <c r="AKB59" s="64"/>
      <c r="AKC59" s="64"/>
      <c r="AKD59" s="64"/>
      <c r="AKE59" s="64"/>
      <c r="AKF59" s="64"/>
      <c r="AKG59" s="64"/>
      <c r="AKH59" s="64"/>
      <c r="AKI59" s="64"/>
      <c r="AKJ59" s="64"/>
      <c r="AKK59" s="64"/>
      <c r="AKL59" s="64"/>
      <c r="AKM59" s="64"/>
      <c r="AKN59" s="64"/>
      <c r="AKO59" s="64"/>
      <c r="AKP59" s="64"/>
      <c r="AKQ59" s="64"/>
      <c r="AKR59" s="64"/>
      <c r="AKS59" s="64"/>
      <c r="AKT59" s="64"/>
      <c r="AKU59" s="64"/>
      <c r="AKV59" s="64"/>
      <c r="AKW59" s="64"/>
      <c r="AKX59" s="64"/>
      <c r="AKY59" s="64"/>
      <c r="AKZ59" s="64"/>
      <c r="ALA59" s="64"/>
      <c r="ALB59" s="64"/>
      <c r="ALC59" s="64"/>
      <c r="ALD59" s="64"/>
      <c r="ALE59" s="64"/>
      <c r="ALF59" s="64"/>
      <c r="ALG59" s="64"/>
      <c r="ALH59" s="64"/>
      <c r="ALI59" s="64"/>
      <c r="ALJ59" s="64"/>
      <c r="ALK59" s="64"/>
      <c r="ALL59" s="64"/>
      <c r="ALM59" s="64"/>
      <c r="ALN59" s="64"/>
      <c r="ALO59" s="64"/>
      <c r="ALP59" s="64"/>
      <c r="ALQ59" s="64"/>
      <c r="ALR59" s="64"/>
      <c r="ALS59" s="64"/>
      <c r="ALT59" s="64"/>
      <c r="ALU59" s="64"/>
      <c r="ALV59" s="64"/>
      <c r="ALW59" s="64"/>
      <c r="ALX59" s="64"/>
      <c r="ALY59" s="64"/>
      <c r="ALZ59" s="64"/>
      <c r="AMA59" s="64"/>
      <c r="AMB59" s="64"/>
      <c r="AMC59" s="64"/>
      <c r="AMD59" s="64"/>
      <c r="AME59" s="64"/>
      <c r="AMF59" s="64"/>
      <c r="AMG59" s="64"/>
      <c r="AMH59" s="64"/>
      <c r="AMI59" s="64"/>
      <c r="AMJ59" s="64"/>
      <c r="AMK59" s="64"/>
      <c r="AML59" s="64"/>
      <c r="AMM59" s="64"/>
      <c r="AMN59" s="64"/>
      <c r="AMO59" s="64"/>
      <c r="AMP59" s="64"/>
      <c r="AMQ59" s="64"/>
      <c r="AMR59" s="64"/>
      <c r="AMS59" s="64"/>
      <c r="AMT59" s="64"/>
      <c r="AMU59" s="64"/>
      <c r="AMV59" s="64"/>
      <c r="AMW59" s="64"/>
      <c r="AMX59" s="64"/>
      <c r="AMY59" s="64"/>
      <c r="AMZ59" s="64"/>
      <c r="ANA59" s="64"/>
      <c r="ANB59" s="64"/>
      <c r="ANC59" s="64"/>
      <c r="AND59" s="64"/>
      <c r="ANE59" s="64"/>
      <c r="ANF59" s="64"/>
      <c r="ANG59" s="64"/>
      <c r="ANH59" s="64"/>
      <c r="ANI59" s="64"/>
      <c r="ANJ59" s="64"/>
      <c r="ANK59" s="64"/>
      <c r="ANL59" s="64"/>
      <c r="ANM59" s="64"/>
      <c r="ANN59" s="64"/>
      <c r="ANO59" s="64"/>
      <c r="ANP59" s="64"/>
      <c r="ANQ59" s="64"/>
      <c r="ANR59" s="64"/>
      <c r="ANS59" s="64"/>
      <c r="ANT59" s="64"/>
      <c r="ANU59" s="64"/>
      <c r="ANV59" s="64"/>
      <c r="ANW59" s="64"/>
      <c r="ANX59" s="64"/>
      <c r="ANY59" s="64"/>
      <c r="ANZ59" s="64"/>
      <c r="AOA59" s="64"/>
      <c r="AOB59" s="64"/>
      <c r="AOC59" s="64"/>
      <c r="AOD59" s="64"/>
      <c r="AOE59" s="64"/>
      <c r="AOF59" s="64"/>
      <c r="AOG59" s="64"/>
      <c r="AOH59" s="64"/>
      <c r="AOI59" s="64"/>
      <c r="AOJ59" s="64"/>
      <c r="AOK59" s="64"/>
      <c r="AOL59" s="64"/>
      <c r="AOM59" s="64"/>
      <c r="AON59" s="64"/>
      <c r="AOO59" s="64"/>
      <c r="AOP59" s="64"/>
      <c r="AOQ59" s="64"/>
      <c r="AOR59" s="64"/>
      <c r="AOS59" s="64"/>
      <c r="AOT59" s="64"/>
      <c r="AOU59" s="64"/>
      <c r="AOV59" s="64"/>
      <c r="AOW59" s="64"/>
      <c r="AOX59" s="64"/>
      <c r="AOY59" s="64"/>
      <c r="AOZ59" s="64"/>
      <c r="APA59" s="64"/>
      <c r="APB59" s="64"/>
      <c r="APC59" s="64"/>
      <c r="APD59" s="64"/>
      <c r="APE59" s="64"/>
      <c r="APF59" s="64"/>
      <c r="APG59" s="64"/>
      <c r="APH59" s="64"/>
      <c r="API59" s="64"/>
      <c r="APJ59" s="64"/>
      <c r="APK59" s="64"/>
      <c r="APL59" s="64"/>
      <c r="APM59" s="64"/>
      <c r="APN59" s="64"/>
      <c r="APO59" s="64"/>
      <c r="APP59" s="64"/>
      <c r="APQ59" s="64"/>
      <c r="APR59" s="64"/>
      <c r="APS59" s="64"/>
      <c r="APT59" s="64"/>
      <c r="APU59" s="64"/>
      <c r="APV59" s="64"/>
      <c r="APW59" s="64"/>
      <c r="APX59" s="64"/>
      <c r="APY59" s="64"/>
      <c r="APZ59" s="64"/>
      <c r="AQA59" s="64"/>
      <c r="AQB59" s="64"/>
      <c r="AQC59" s="64"/>
      <c r="AQD59" s="64"/>
      <c r="AQE59" s="64"/>
      <c r="AQF59" s="64"/>
      <c r="AQG59" s="64"/>
      <c r="AQH59" s="64"/>
      <c r="AQI59" s="64"/>
      <c r="AQJ59" s="64"/>
      <c r="AQK59" s="64"/>
      <c r="AQL59" s="64"/>
      <c r="AQM59" s="64"/>
      <c r="AQN59" s="64"/>
      <c r="AQO59" s="64"/>
      <c r="AQP59" s="64"/>
      <c r="AQQ59" s="64"/>
      <c r="AQR59" s="64"/>
      <c r="AQS59" s="64"/>
      <c r="AQT59" s="64"/>
      <c r="AQU59" s="64"/>
      <c r="AQV59" s="64"/>
      <c r="AQW59" s="64"/>
      <c r="AQX59" s="64"/>
      <c r="AQY59" s="64"/>
      <c r="AQZ59" s="64"/>
      <c r="ARA59" s="64"/>
      <c r="ARB59" s="64"/>
      <c r="ARC59" s="64"/>
      <c r="ARD59" s="64"/>
      <c r="ARE59" s="64"/>
      <c r="ARF59" s="64"/>
      <c r="ARG59" s="64"/>
      <c r="ARH59" s="64"/>
      <c r="ARI59" s="64"/>
      <c r="ARJ59" s="64"/>
      <c r="ARK59" s="64"/>
      <c r="ARL59" s="64"/>
      <c r="ARM59" s="64"/>
      <c r="ARN59" s="64"/>
      <c r="ARO59" s="64"/>
      <c r="ARP59" s="64"/>
      <c r="ARQ59" s="64"/>
      <c r="ARR59" s="64"/>
      <c r="ARS59" s="64"/>
      <c r="ART59" s="64"/>
      <c r="ARU59" s="64"/>
      <c r="ARV59" s="64"/>
      <c r="ARW59" s="64"/>
      <c r="ARX59" s="64"/>
      <c r="ARY59" s="64"/>
      <c r="ARZ59" s="64"/>
      <c r="ASA59" s="64"/>
      <c r="ASB59" s="64"/>
      <c r="ASC59" s="64"/>
      <c r="ASD59" s="64"/>
      <c r="ASE59" s="64"/>
      <c r="ASF59" s="64"/>
      <c r="ASG59" s="64"/>
      <c r="ASH59" s="64"/>
      <c r="ASI59" s="64"/>
      <c r="ASJ59" s="64"/>
      <c r="ASK59" s="64"/>
      <c r="ASL59" s="64"/>
      <c r="ASM59" s="64"/>
      <c r="ASN59" s="64"/>
      <c r="ASO59" s="64"/>
      <c r="ASP59" s="64"/>
      <c r="ASQ59" s="64"/>
      <c r="ASR59" s="64"/>
      <c r="ASS59" s="64"/>
      <c r="AST59" s="64"/>
      <c r="ASU59" s="64"/>
      <c r="ASV59" s="64"/>
      <c r="ASW59" s="64"/>
      <c r="ASX59" s="64"/>
      <c r="ASY59" s="64"/>
      <c r="ASZ59" s="64"/>
      <c r="ATA59" s="64"/>
      <c r="ATB59" s="64"/>
      <c r="ATC59" s="64"/>
      <c r="ATD59" s="64"/>
      <c r="ATE59" s="64"/>
      <c r="ATF59" s="64"/>
      <c r="ATG59" s="64"/>
      <c r="ATH59" s="64"/>
      <c r="ATI59" s="64"/>
      <c r="ATJ59" s="64"/>
      <c r="ATK59" s="64"/>
      <c r="ATL59" s="64"/>
      <c r="ATM59" s="64"/>
      <c r="ATN59" s="64"/>
      <c r="ATO59" s="64"/>
      <c r="ATP59" s="64"/>
      <c r="ATQ59" s="64"/>
      <c r="ATR59" s="64"/>
      <c r="ATS59" s="64"/>
      <c r="ATT59" s="64"/>
      <c r="ATU59" s="64"/>
      <c r="ATV59" s="64"/>
      <c r="ATW59" s="64"/>
      <c r="ATX59" s="64"/>
      <c r="ATY59" s="64"/>
      <c r="ATZ59" s="64"/>
      <c r="AUA59" s="64"/>
      <c r="AUB59" s="64"/>
      <c r="AUC59" s="64"/>
      <c r="AUD59" s="64"/>
      <c r="AUE59" s="64"/>
      <c r="AUF59" s="64"/>
      <c r="AUG59" s="64"/>
      <c r="AUH59" s="64"/>
      <c r="AUI59" s="64"/>
      <c r="AUJ59" s="64"/>
      <c r="AUK59" s="64"/>
      <c r="AUL59" s="64"/>
      <c r="AUM59" s="64"/>
      <c r="AUN59" s="64"/>
      <c r="AUO59" s="64"/>
      <c r="AUP59" s="64"/>
      <c r="AUQ59" s="64"/>
      <c r="AUR59" s="64"/>
      <c r="AUS59" s="64"/>
      <c r="AUT59" s="64"/>
      <c r="AUU59" s="64"/>
      <c r="AUV59" s="64"/>
      <c r="AUW59" s="64"/>
      <c r="AUX59" s="64"/>
      <c r="AUY59" s="64"/>
      <c r="AUZ59" s="64"/>
      <c r="AVA59" s="64"/>
      <c r="AVB59" s="64"/>
      <c r="AVC59" s="64"/>
      <c r="AVD59" s="64"/>
      <c r="AVE59" s="64"/>
      <c r="AVF59" s="64"/>
      <c r="AVG59" s="64"/>
      <c r="AVH59" s="64"/>
      <c r="AVI59" s="64"/>
      <c r="AVJ59" s="64"/>
      <c r="AVK59" s="64"/>
      <c r="AVL59" s="64"/>
      <c r="AVM59" s="64"/>
      <c r="AVN59" s="64"/>
      <c r="AVO59" s="64"/>
      <c r="AVP59" s="64"/>
      <c r="AVQ59" s="64"/>
      <c r="AVR59" s="64"/>
      <c r="AVS59" s="64"/>
      <c r="AVT59" s="64"/>
      <c r="AVU59" s="64"/>
      <c r="AVV59" s="64"/>
      <c r="AVW59" s="64"/>
      <c r="AVX59" s="64"/>
      <c r="AVY59" s="64"/>
      <c r="AVZ59" s="64"/>
      <c r="AWA59" s="64"/>
      <c r="AWB59" s="64"/>
      <c r="AWC59" s="64"/>
      <c r="AWD59" s="64"/>
      <c r="AWE59" s="64"/>
      <c r="AWF59" s="64"/>
      <c r="AWG59" s="64"/>
      <c r="AWH59" s="64"/>
      <c r="AWI59" s="64"/>
      <c r="AWJ59" s="64"/>
      <c r="AWK59" s="64"/>
      <c r="AWL59" s="64"/>
      <c r="AWM59" s="64"/>
      <c r="AWN59" s="64"/>
      <c r="AWO59" s="64"/>
      <c r="AWP59" s="64"/>
      <c r="AWQ59" s="64"/>
      <c r="AWR59" s="64"/>
      <c r="AWS59" s="64"/>
      <c r="AWT59" s="64"/>
      <c r="AWU59" s="64"/>
      <c r="AWV59" s="64"/>
      <c r="AWW59" s="64"/>
      <c r="AWX59" s="64"/>
      <c r="AWY59" s="64"/>
      <c r="AWZ59" s="64"/>
      <c r="AXA59" s="64"/>
      <c r="AXB59" s="64"/>
      <c r="AXC59" s="64"/>
      <c r="AXD59" s="64"/>
      <c r="AXE59" s="64"/>
      <c r="AXF59" s="64"/>
      <c r="AXG59" s="64"/>
      <c r="AXH59" s="64"/>
      <c r="AXI59" s="64"/>
      <c r="AXJ59" s="64"/>
      <c r="AXK59" s="64"/>
      <c r="AXL59" s="64"/>
      <c r="AXM59" s="64"/>
      <c r="AXN59" s="64"/>
      <c r="AXO59" s="64"/>
      <c r="AXP59" s="64"/>
      <c r="AXQ59" s="64"/>
      <c r="AXR59" s="64"/>
      <c r="AXS59" s="64"/>
      <c r="AXT59" s="64"/>
      <c r="AXU59" s="64"/>
      <c r="AXV59" s="64"/>
      <c r="AXW59" s="64"/>
      <c r="AXX59" s="64"/>
      <c r="AXY59" s="64"/>
      <c r="AXZ59" s="64"/>
      <c r="AYA59" s="64"/>
      <c r="AYB59" s="64"/>
      <c r="AYC59" s="64"/>
      <c r="AYD59" s="64"/>
      <c r="AYE59" s="64"/>
      <c r="AYF59" s="64"/>
      <c r="AYG59" s="64"/>
      <c r="AYH59" s="64"/>
      <c r="AYI59" s="64"/>
      <c r="AYJ59" s="64"/>
      <c r="AYK59" s="64"/>
      <c r="AYL59" s="64"/>
      <c r="AYM59" s="64"/>
      <c r="AYN59" s="64"/>
      <c r="AYO59" s="64"/>
      <c r="AYP59" s="64"/>
      <c r="AYQ59" s="64"/>
      <c r="AYR59" s="64"/>
      <c r="AYS59" s="64"/>
      <c r="AYT59" s="64"/>
      <c r="AYU59" s="64"/>
      <c r="AYV59" s="64"/>
      <c r="AYW59" s="64"/>
      <c r="AYX59" s="64"/>
      <c r="AYY59" s="64"/>
      <c r="AYZ59" s="64"/>
      <c r="AZA59" s="64"/>
      <c r="AZB59" s="64"/>
      <c r="AZC59" s="64"/>
      <c r="AZD59" s="64"/>
      <c r="AZE59" s="64"/>
      <c r="AZF59" s="64"/>
      <c r="AZG59" s="64"/>
      <c r="AZH59" s="64"/>
      <c r="AZI59" s="64"/>
      <c r="AZJ59" s="64"/>
      <c r="AZK59" s="64"/>
      <c r="AZL59" s="64"/>
      <c r="AZM59" s="64"/>
      <c r="AZN59" s="64"/>
      <c r="AZO59" s="64"/>
      <c r="AZP59" s="64"/>
      <c r="AZQ59" s="64"/>
      <c r="AZR59" s="64"/>
      <c r="AZS59" s="64"/>
      <c r="AZT59" s="64"/>
      <c r="AZU59" s="64"/>
      <c r="AZV59" s="64"/>
      <c r="AZW59" s="64"/>
      <c r="AZX59" s="64"/>
      <c r="AZY59" s="64"/>
      <c r="AZZ59" s="64"/>
      <c r="BAA59" s="64"/>
      <c r="BAB59" s="64"/>
      <c r="BAC59" s="64"/>
      <c r="BAD59" s="64"/>
      <c r="BAE59" s="64"/>
      <c r="BAF59" s="64"/>
      <c r="BAG59" s="64"/>
      <c r="BAH59" s="64"/>
      <c r="BAI59" s="64"/>
      <c r="BAJ59" s="64"/>
      <c r="BAK59" s="64"/>
      <c r="BAL59" s="64"/>
      <c r="BAM59" s="64"/>
      <c r="BAN59" s="64"/>
      <c r="BAO59" s="64"/>
      <c r="BAP59" s="64"/>
      <c r="BAQ59" s="64"/>
      <c r="BAR59" s="64"/>
      <c r="BAS59" s="64"/>
      <c r="BAT59" s="64"/>
      <c r="BAU59" s="64"/>
      <c r="BAV59" s="64"/>
      <c r="BAW59" s="64"/>
      <c r="BAX59" s="64"/>
      <c r="BAY59" s="64"/>
      <c r="BAZ59" s="64"/>
      <c r="BBA59" s="64"/>
      <c r="BBB59" s="64"/>
      <c r="BBC59" s="64"/>
      <c r="BBD59" s="64"/>
      <c r="BBE59" s="64"/>
      <c r="BBF59" s="64"/>
      <c r="BBG59" s="64"/>
      <c r="BBH59" s="64"/>
      <c r="BBI59" s="64"/>
      <c r="BBJ59" s="64"/>
      <c r="BBK59" s="64"/>
      <c r="BBL59" s="64"/>
      <c r="BBM59" s="64"/>
      <c r="BBN59" s="64"/>
      <c r="BBO59" s="64"/>
      <c r="BBP59" s="64"/>
      <c r="BBQ59" s="64"/>
      <c r="BBR59" s="64"/>
      <c r="BBS59" s="64"/>
      <c r="BBT59" s="64"/>
      <c r="BBU59" s="64"/>
      <c r="BBV59" s="64"/>
      <c r="BBW59" s="64"/>
      <c r="BBX59" s="64"/>
      <c r="BBY59" s="64"/>
      <c r="BBZ59" s="64"/>
      <c r="BCA59" s="64"/>
      <c r="BCB59" s="64"/>
      <c r="BCC59" s="64"/>
      <c r="BCD59" s="64"/>
      <c r="BCE59" s="64"/>
      <c r="BCF59" s="64"/>
      <c r="BCG59" s="64"/>
      <c r="BCH59" s="64"/>
      <c r="BCI59" s="64"/>
      <c r="BCJ59" s="64"/>
      <c r="BCK59" s="64"/>
      <c r="BCL59" s="64"/>
      <c r="BCM59" s="64"/>
      <c r="BCN59" s="64"/>
      <c r="BCO59" s="64"/>
      <c r="BCP59" s="64"/>
      <c r="BCQ59" s="64"/>
      <c r="BCR59" s="64"/>
      <c r="BCS59" s="64"/>
      <c r="BCT59" s="64"/>
      <c r="BCU59" s="64"/>
      <c r="BCV59" s="64"/>
      <c r="BCW59" s="64"/>
      <c r="BCX59" s="64"/>
      <c r="BCY59" s="64"/>
      <c r="BCZ59" s="64"/>
      <c r="BDA59" s="64"/>
      <c r="BDB59" s="64"/>
      <c r="BDC59" s="64"/>
      <c r="BDD59" s="64"/>
      <c r="BDE59" s="64"/>
      <c r="BDF59" s="64"/>
      <c r="BDG59" s="64"/>
      <c r="BDH59" s="64"/>
      <c r="BDI59" s="64"/>
      <c r="BDJ59" s="64"/>
      <c r="BDK59" s="64"/>
      <c r="BDL59" s="64"/>
      <c r="BDM59" s="64"/>
      <c r="BDN59" s="64"/>
      <c r="BDO59" s="64"/>
      <c r="BDP59" s="64"/>
      <c r="BDQ59" s="64"/>
      <c r="BDR59" s="64"/>
      <c r="BDS59" s="64"/>
      <c r="BDT59" s="64"/>
      <c r="BDU59" s="64"/>
      <c r="BDV59" s="64"/>
      <c r="BDW59" s="64"/>
      <c r="BDX59" s="64"/>
      <c r="BDY59" s="64"/>
      <c r="BDZ59" s="64"/>
      <c r="BEA59" s="64"/>
      <c r="BEB59" s="64"/>
      <c r="BEC59" s="64"/>
      <c r="BED59" s="64"/>
      <c r="BEE59" s="64"/>
      <c r="BEF59" s="64"/>
      <c r="BEG59" s="64"/>
      <c r="BEH59" s="64"/>
      <c r="BEI59" s="64"/>
      <c r="BEJ59" s="64"/>
      <c r="BEK59" s="64"/>
      <c r="BEL59" s="64"/>
      <c r="BEM59" s="64"/>
      <c r="BEN59" s="64"/>
      <c r="BEO59" s="64"/>
      <c r="BEP59" s="64"/>
      <c r="BEQ59" s="64"/>
      <c r="BER59" s="64"/>
      <c r="BES59" s="64"/>
      <c r="BET59" s="64"/>
      <c r="BEU59" s="64"/>
      <c r="BEV59" s="64"/>
      <c r="BEW59" s="64"/>
      <c r="BEX59" s="64"/>
      <c r="BEY59" s="64"/>
      <c r="BEZ59" s="64"/>
      <c r="BFA59" s="64"/>
      <c r="BFB59" s="64"/>
      <c r="BFC59" s="64"/>
      <c r="BFD59" s="64"/>
      <c r="BFE59" s="64"/>
      <c r="BFF59" s="64"/>
      <c r="BFG59" s="64"/>
      <c r="BFH59" s="64"/>
      <c r="BFI59" s="64"/>
      <c r="BFJ59" s="64"/>
      <c r="BFK59" s="64"/>
      <c r="BFL59" s="64"/>
      <c r="BFM59" s="64"/>
      <c r="BFN59" s="64"/>
      <c r="BFO59" s="64"/>
      <c r="BFP59" s="64"/>
      <c r="BFQ59" s="64"/>
      <c r="BFR59" s="64"/>
      <c r="BFS59" s="64"/>
      <c r="BFT59" s="64"/>
      <c r="BFU59" s="64"/>
      <c r="BFV59" s="64"/>
      <c r="BFW59" s="64"/>
      <c r="BFX59" s="64"/>
      <c r="BFY59" s="64"/>
      <c r="BFZ59" s="64"/>
      <c r="BGA59" s="64"/>
      <c r="BGB59" s="64"/>
      <c r="BGC59" s="64"/>
      <c r="BGD59" s="64"/>
      <c r="BGE59" s="64"/>
      <c r="BGF59" s="64"/>
      <c r="BGG59" s="64"/>
      <c r="BGH59" s="64"/>
      <c r="BGI59" s="64"/>
      <c r="BGJ59" s="64"/>
      <c r="BGK59" s="64"/>
      <c r="BGL59" s="64"/>
      <c r="BGM59" s="64"/>
      <c r="BGN59" s="64"/>
      <c r="BGO59" s="64"/>
      <c r="BGP59" s="64"/>
      <c r="BGQ59" s="64"/>
      <c r="BGR59" s="64"/>
      <c r="BGS59" s="64"/>
      <c r="BGT59" s="64"/>
      <c r="BGU59" s="64"/>
      <c r="BGV59" s="64"/>
      <c r="BGW59" s="64"/>
      <c r="BGX59" s="64"/>
      <c r="BGY59" s="64"/>
      <c r="BGZ59" s="64"/>
      <c r="BHA59" s="64"/>
      <c r="BHB59" s="64"/>
      <c r="BHC59" s="64"/>
      <c r="BHD59" s="64"/>
      <c r="BHE59" s="64"/>
      <c r="BHF59" s="64"/>
      <c r="BHG59" s="64"/>
      <c r="BHH59" s="64"/>
      <c r="BHI59" s="64"/>
      <c r="BHJ59" s="64"/>
      <c r="BHK59" s="64"/>
      <c r="BHL59" s="64"/>
      <c r="BHM59" s="64"/>
      <c r="BHN59" s="64"/>
      <c r="BHO59" s="64"/>
      <c r="BHP59" s="64"/>
      <c r="BHQ59" s="64"/>
      <c r="BHR59" s="64"/>
      <c r="BHS59" s="64"/>
      <c r="BHT59" s="64"/>
      <c r="BHU59" s="64"/>
      <c r="BHV59" s="64"/>
      <c r="BHW59" s="64"/>
      <c r="BHX59" s="64"/>
      <c r="BHY59" s="64"/>
      <c r="BHZ59" s="64"/>
      <c r="BIA59" s="64"/>
      <c r="BIB59" s="64"/>
      <c r="BIC59" s="64"/>
      <c r="BID59" s="64"/>
      <c r="BIE59" s="64"/>
      <c r="BIF59" s="64"/>
      <c r="BIG59" s="64"/>
      <c r="BIH59" s="64"/>
      <c r="BII59" s="64"/>
      <c r="BIJ59" s="64"/>
      <c r="BIK59" s="64"/>
      <c r="BIL59" s="64"/>
      <c r="BIM59" s="64"/>
      <c r="BIN59" s="64"/>
      <c r="BIO59" s="64"/>
      <c r="BIP59" s="64"/>
      <c r="BIQ59" s="64"/>
      <c r="BIR59" s="64"/>
      <c r="BIS59" s="64"/>
      <c r="BIT59" s="64"/>
      <c r="BIU59" s="64"/>
      <c r="BIV59" s="64"/>
      <c r="BIW59" s="64"/>
      <c r="BIX59" s="64"/>
      <c r="BIY59" s="64"/>
      <c r="BIZ59" s="64"/>
      <c r="BJA59" s="64"/>
      <c r="BJB59" s="64"/>
      <c r="BJC59" s="64"/>
      <c r="BJD59" s="64"/>
      <c r="BJE59" s="64"/>
      <c r="BJF59" s="64"/>
      <c r="BJG59" s="64"/>
      <c r="BJH59" s="64"/>
      <c r="BJI59" s="64"/>
      <c r="BJJ59" s="64"/>
      <c r="BJK59" s="64"/>
      <c r="BJL59" s="64"/>
      <c r="BJM59" s="64"/>
      <c r="BJN59" s="64"/>
      <c r="BJO59" s="64"/>
      <c r="BJP59" s="64"/>
      <c r="BJQ59" s="64"/>
      <c r="BJR59" s="64"/>
      <c r="BJS59" s="64"/>
      <c r="BJT59" s="64"/>
      <c r="BJU59" s="64"/>
      <c r="BJV59" s="64"/>
      <c r="BJW59" s="64"/>
      <c r="BJX59" s="64"/>
      <c r="BJY59" s="64"/>
      <c r="BJZ59" s="64"/>
      <c r="BKA59" s="64"/>
      <c r="BKB59" s="64"/>
      <c r="BKC59" s="64"/>
      <c r="BKD59" s="64"/>
      <c r="BKE59" s="64"/>
      <c r="BKF59" s="64"/>
      <c r="BKG59" s="64"/>
      <c r="BKH59" s="64"/>
      <c r="BKI59" s="64"/>
      <c r="BKJ59" s="64"/>
      <c r="BKK59" s="64"/>
      <c r="BKL59" s="64"/>
      <c r="BKM59" s="64"/>
      <c r="BKN59" s="64"/>
      <c r="BKO59" s="64"/>
      <c r="BKP59" s="64"/>
      <c r="BKQ59" s="64"/>
      <c r="BKR59" s="64"/>
      <c r="BKS59" s="64"/>
      <c r="BKT59" s="64"/>
      <c r="BKU59" s="64"/>
      <c r="BKV59" s="64"/>
      <c r="BKW59" s="64"/>
      <c r="BKX59" s="64"/>
      <c r="BKY59" s="64"/>
      <c r="BKZ59" s="64"/>
      <c r="BLA59" s="64"/>
      <c r="BLB59" s="64"/>
      <c r="BLC59" s="64"/>
      <c r="BLD59" s="64"/>
      <c r="BLE59" s="64"/>
      <c r="BLF59" s="64"/>
      <c r="BLG59" s="64"/>
      <c r="BLH59" s="64"/>
      <c r="BLI59" s="64"/>
      <c r="BLJ59" s="64"/>
      <c r="BLK59" s="64"/>
      <c r="BLL59" s="64"/>
      <c r="BLM59" s="64"/>
      <c r="BLN59" s="64"/>
      <c r="BLO59" s="64"/>
      <c r="BLP59" s="64"/>
      <c r="BLQ59" s="64"/>
      <c r="BLR59" s="64"/>
      <c r="BLS59" s="64"/>
      <c r="BLT59" s="64"/>
      <c r="BLU59" s="64"/>
      <c r="BLV59" s="64"/>
      <c r="BLW59" s="64"/>
      <c r="BLX59" s="64"/>
      <c r="BLY59" s="64"/>
      <c r="BLZ59" s="64"/>
      <c r="BMA59" s="64"/>
      <c r="BMB59" s="64"/>
      <c r="BMC59" s="64"/>
      <c r="BMD59" s="64"/>
      <c r="BME59" s="64"/>
      <c r="BMF59" s="64"/>
      <c r="BMG59" s="64"/>
      <c r="BMH59" s="64"/>
      <c r="BMI59" s="64"/>
      <c r="BMJ59" s="64"/>
      <c r="BMK59" s="64"/>
      <c r="BML59" s="64"/>
      <c r="BMM59" s="64"/>
      <c r="BMN59" s="64"/>
      <c r="BMO59" s="64"/>
      <c r="BMP59" s="64"/>
      <c r="BMQ59" s="64"/>
      <c r="BMR59" s="64"/>
      <c r="BMS59" s="64"/>
      <c r="BMT59" s="64"/>
      <c r="BMU59" s="64"/>
      <c r="BMV59" s="64"/>
      <c r="BMW59" s="64"/>
      <c r="BMX59" s="64"/>
      <c r="BMY59" s="64"/>
      <c r="BMZ59" s="64"/>
      <c r="BNA59" s="64"/>
      <c r="BNB59" s="64"/>
      <c r="BNC59" s="64"/>
      <c r="BND59" s="64"/>
      <c r="BNE59" s="64"/>
      <c r="BNF59" s="64"/>
      <c r="BNG59" s="64"/>
      <c r="BNH59" s="64"/>
      <c r="BNI59" s="64"/>
      <c r="BNJ59" s="64"/>
      <c r="BNK59" s="64"/>
      <c r="BNL59" s="64"/>
      <c r="BNM59" s="64"/>
      <c r="BNN59" s="64"/>
      <c r="BNO59" s="64"/>
      <c r="BNP59" s="64"/>
      <c r="BNQ59" s="64"/>
      <c r="BNR59" s="64"/>
      <c r="BNS59" s="64"/>
      <c r="BNT59" s="64"/>
      <c r="BNU59" s="64"/>
      <c r="BNV59" s="64"/>
      <c r="BNW59" s="64"/>
      <c r="BNX59" s="64"/>
      <c r="BNY59" s="64"/>
      <c r="BNZ59" s="64"/>
      <c r="BOA59" s="64"/>
      <c r="BOB59" s="64"/>
      <c r="BOC59" s="64"/>
      <c r="BOD59" s="64"/>
      <c r="BOE59" s="64"/>
      <c r="BOF59" s="64"/>
      <c r="BOG59" s="64"/>
      <c r="BOH59" s="64"/>
      <c r="BOI59" s="64"/>
      <c r="BOJ59" s="64"/>
      <c r="BOK59" s="64"/>
      <c r="BOL59" s="64"/>
      <c r="BOM59" s="64"/>
      <c r="BON59" s="64"/>
      <c r="BOO59" s="64"/>
      <c r="BOP59" s="64"/>
      <c r="BOQ59" s="64"/>
      <c r="BOR59" s="64"/>
      <c r="BOS59" s="64"/>
      <c r="BOT59" s="64"/>
      <c r="BOU59" s="64"/>
      <c r="BOV59" s="64"/>
      <c r="BOW59" s="64"/>
      <c r="BOX59" s="64"/>
      <c r="BOY59" s="64"/>
      <c r="BOZ59" s="64"/>
      <c r="BPA59" s="64"/>
      <c r="BPB59" s="64"/>
      <c r="BPC59" s="64"/>
      <c r="BPD59" s="64"/>
      <c r="BPE59" s="64"/>
      <c r="BPF59" s="64"/>
      <c r="BPG59" s="64"/>
      <c r="BPH59" s="64"/>
      <c r="BPI59" s="64"/>
      <c r="BPJ59" s="64"/>
      <c r="BPK59" s="64"/>
      <c r="BPL59" s="64"/>
      <c r="BPM59" s="64"/>
      <c r="BPN59" s="64"/>
      <c r="BPO59" s="64"/>
      <c r="BPP59" s="64"/>
      <c r="BPQ59" s="64"/>
      <c r="BPR59" s="64"/>
      <c r="BPS59" s="64"/>
      <c r="BPT59" s="64"/>
      <c r="BPU59" s="64"/>
      <c r="BPV59" s="64"/>
      <c r="BPW59" s="64"/>
      <c r="BPX59" s="64"/>
      <c r="BPY59" s="64"/>
      <c r="BPZ59" s="64"/>
      <c r="BQA59" s="64"/>
      <c r="BQB59" s="64"/>
      <c r="BQC59" s="64"/>
      <c r="BQD59" s="64"/>
      <c r="BQE59" s="64"/>
      <c r="BQF59" s="64"/>
      <c r="BQG59" s="64"/>
      <c r="BQH59" s="64"/>
      <c r="BQI59" s="64"/>
      <c r="BQJ59" s="64"/>
      <c r="BQK59" s="64"/>
      <c r="BQL59" s="64"/>
      <c r="BQM59" s="64"/>
      <c r="BQN59" s="64"/>
      <c r="BQO59" s="64"/>
      <c r="BQP59" s="64"/>
      <c r="BQQ59" s="64"/>
      <c r="BQR59" s="64"/>
      <c r="BQS59" s="64"/>
      <c r="BQT59" s="64"/>
      <c r="BQU59" s="64"/>
      <c r="BQV59" s="64"/>
      <c r="BQW59" s="64"/>
      <c r="BQX59" s="64"/>
      <c r="BQY59" s="64"/>
      <c r="BQZ59" s="64"/>
      <c r="BRA59" s="64"/>
      <c r="BRB59" s="64"/>
      <c r="BRC59" s="64"/>
      <c r="BRD59" s="64"/>
      <c r="BRE59" s="64"/>
      <c r="BRF59" s="64"/>
      <c r="BRG59" s="64"/>
      <c r="BRH59" s="64"/>
      <c r="BRI59" s="64"/>
      <c r="BRJ59" s="64"/>
      <c r="BRK59" s="64"/>
      <c r="BRL59" s="64"/>
      <c r="BRM59" s="64"/>
      <c r="BRN59" s="64"/>
      <c r="BRO59" s="64"/>
      <c r="BRP59" s="64"/>
      <c r="BRQ59" s="64"/>
      <c r="BRR59" s="64"/>
      <c r="BRS59" s="64"/>
      <c r="BRT59" s="64"/>
      <c r="BRU59" s="64"/>
      <c r="BRV59" s="64"/>
      <c r="BRW59" s="64"/>
      <c r="BRX59" s="64"/>
      <c r="BRY59" s="64"/>
      <c r="BRZ59" s="64"/>
      <c r="BSA59" s="64"/>
      <c r="BSB59" s="64"/>
      <c r="BSC59" s="64"/>
      <c r="BSD59" s="64"/>
      <c r="BSE59" s="64"/>
      <c r="BSF59" s="64"/>
      <c r="BSG59" s="64"/>
      <c r="BSH59" s="64"/>
      <c r="BSI59" s="64"/>
      <c r="BSJ59" s="64"/>
      <c r="BSK59" s="64"/>
      <c r="BSL59" s="64"/>
      <c r="BSM59" s="64"/>
      <c r="BSN59" s="64"/>
      <c r="BSO59" s="64"/>
      <c r="BSP59" s="64"/>
      <c r="BSQ59" s="64"/>
      <c r="BSR59" s="64"/>
      <c r="BSS59" s="64"/>
      <c r="BST59" s="64"/>
      <c r="BSU59" s="64"/>
      <c r="BSV59" s="64"/>
      <c r="BSW59" s="64"/>
      <c r="BSX59" s="64"/>
      <c r="BSY59" s="64"/>
      <c r="BSZ59" s="64"/>
      <c r="BTA59" s="64"/>
      <c r="BTB59" s="64"/>
      <c r="BTC59" s="64"/>
      <c r="BTD59" s="64"/>
      <c r="BTE59" s="64"/>
      <c r="BTF59" s="64"/>
      <c r="BTG59" s="64"/>
      <c r="BTH59" s="64"/>
      <c r="BTI59" s="64"/>
      <c r="BTJ59" s="64"/>
      <c r="BTK59" s="64"/>
      <c r="BTL59" s="64"/>
      <c r="BTM59" s="64"/>
      <c r="BTN59" s="64"/>
      <c r="BTO59" s="64"/>
      <c r="BTP59" s="64"/>
      <c r="BTQ59" s="64"/>
      <c r="BTR59" s="64"/>
      <c r="BTS59" s="64"/>
      <c r="BTT59" s="64"/>
      <c r="BTU59" s="64"/>
      <c r="BTV59" s="64"/>
      <c r="BTW59" s="64"/>
      <c r="BTX59" s="64"/>
      <c r="BTY59" s="64"/>
      <c r="BTZ59" s="64"/>
      <c r="BUA59" s="64"/>
      <c r="BUB59" s="64"/>
      <c r="BUC59" s="64"/>
      <c r="BUD59" s="64"/>
      <c r="BUE59" s="64"/>
      <c r="BUF59" s="64"/>
      <c r="BUG59" s="64"/>
      <c r="BUH59" s="64"/>
      <c r="BUI59" s="64"/>
      <c r="BUJ59" s="64"/>
      <c r="BUK59" s="64"/>
      <c r="BUL59" s="64"/>
      <c r="BUM59" s="64"/>
      <c r="BUN59" s="64"/>
      <c r="BUO59" s="64"/>
      <c r="BUP59" s="64"/>
      <c r="BUQ59" s="64"/>
      <c r="BUR59" s="64"/>
      <c r="BUS59" s="64"/>
      <c r="BUT59" s="64"/>
      <c r="BUU59" s="64"/>
      <c r="BUV59" s="64"/>
      <c r="BUW59" s="64"/>
      <c r="BUX59" s="64"/>
      <c r="BUY59" s="64"/>
      <c r="BUZ59" s="64"/>
      <c r="BVA59" s="64"/>
      <c r="BVB59" s="64"/>
      <c r="BVC59" s="64"/>
      <c r="BVD59" s="64"/>
      <c r="BVE59" s="64"/>
      <c r="BVF59" s="64"/>
      <c r="BVG59" s="64"/>
      <c r="BVH59" s="64"/>
      <c r="BVI59" s="64"/>
      <c r="BVJ59" s="64"/>
      <c r="BVK59" s="64"/>
      <c r="BVL59" s="64"/>
      <c r="BVM59" s="64"/>
      <c r="BVN59" s="64"/>
      <c r="BVO59" s="64"/>
      <c r="BVP59" s="64"/>
      <c r="BVQ59" s="64"/>
      <c r="BVR59" s="64"/>
      <c r="BVS59" s="64"/>
      <c r="BVT59" s="64"/>
      <c r="BVU59" s="64"/>
      <c r="BVV59" s="64"/>
      <c r="BVW59" s="64"/>
      <c r="BVX59" s="64"/>
      <c r="BVY59" s="64"/>
      <c r="BVZ59" s="64"/>
      <c r="BWA59" s="64"/>
      <c r="BWB59" s="64"/>
      <c r="BWC59" s="64"/>
      <c r="BWD59" s="64"/>
      <c r="BWE59" s="64"/>
      <c r="BWF59" s="64"/>
      <c r="BWG59" s="64"/>
      <c r="BWH59" s="64"/>
      <c r="BWI59" s="64"/>
      <c r="BWJ59" s="64"/>
      <c r="BWK59" s="64"/>
      <c r="BWL59" s="64"/>
      <c r="BWM59" s="64"/>
      <c r="BWN59" s="64"/>
      <c r="BWO59" s="64"/>
      <c r="BWP59" s="64"/>
      <c r="BWQ59" s="64"/>
      <c r="BWR59" s="64"/>
      <c r="BWS59" s="64"/>
      <c r="BWT59" s="64"/>
      <c r="BWU59" s="64"/>
      <c r="BWV59" s="64"/>
      <c r="BWW59" s="64"/>
      <c r="BWX59" s="64"/>
      <c r="BWY59" s="64"/>
      <c r="BWZ59" s="64"/>
      <c r="BXA59" s="64"/>
      <c r="BXB59" s="64"/>
      <c r="BXC59" s="64"/>
      <c r="BXD59" s="64"/>
      <c r="BXE59" s="64"/>
      <c r="BXF59" s="64"/>
      <c r="BXG59" s="64"/>
      <c r="BXH59" s="64"/>
      <c r="BXI59" s="64"/>
      <c r="BXJ59" s="64"/>
      <c r="BXK59" s="64"/>
      <c r="BXL59" s="64"/>
      <c r="BXM59" s="64"/>
      <c r="BXN59" s="64"/>
      <c r="BXO59" s="64"/>
      <c r="BXP59" s="64"/>
      <c r="BXQ59" s="64"/>
      <c r="BXR59" s="64"/>
      <c r="BXS59" s="64"/>
      <c r="BXT59" s="64"/>
      <c r="BXU59" s="64"/>
      <c r="BXV59" s="64"/>
      <c r="BXW59" s="64"/>
      <c r="BXX59" s="64"/>
      <c r="BXY59" s="64"/>
      <c r="BXZ59" s="64"/>
      <c r="BYA59" s="64"/>
      <c r="BYB59" s="64"/>
      <c r="BYC59" s="64"/>
      <c r="BYD59" s="64"/>
      <c r="BYE59" s="64"/>
      <c r="BYF59" s="64"/>
      <c r="BYG59" s="64"/>
      <c r="BYH59" s="64"/>
      <c r="BYI59" s="64"/>
      <c r="BYJ59" s="64"/>
      <c r="BYK59" s="64"/>
      <c r="BYL59" s="64"/>
      <c r="BYM59" s="64"/>
      <c r="BYN59" s="64"/>
      <c r="BYO59" s="64"/>
      <c r="BYP59" s="64"/>
      <c r="BYQ59" s="64"/>
      <c r="BYR59" s="64"/>
      <c r="BYS59" s="64"/>
      <c r="BYT59" s="64"/>
      <c r="BYU59" s="64"/>
      <c r="BYV59" s="64"/>
      <c r="BYW59" s="64"/>
      <c r="BYX59" s="64"/>
      <c r="BYY59" s="64"/>
      <c r="BYZ59" s="64"/>
      <c r="BZA59" s="64"/>
      <c r="BZB59" s="64"/>
      <c r="BZC59" s="64"/>
      <c r="BZD59" s="64"/>
      <c r="BZE59" s="64"/>
      <c r="BZF59" s="64"/>
      <c r="BZG59" s="64"/>
      <c r="BZH59" s="64"/>
      <c r="BZI59" s="64"/>
      <c r="BZJ59" s="64"/>
      <c r="BZK59" s="64"/>
      <c r="BZL59" s="64"/>
      <c r="BZM59" s="64"/>
      <c r="BZN59" s="64"/>
      <c r="BZO59" s="64"/>
      <c r="BZP59" s="64"/>
      <c r="BZQ59" s="64"/>
      <c r="BZR59" s="64"/>
      <c r="BZS59" s="64"/>
      <c r="BZT59" s="64"/>
      <c r="BZU59" s="64"/>
      <c r="BZV59" s="64"/>
      <c r="BZW59" s="64"/>
      <c r="BZX59" s="64"/>
      <c r="BZY59" s="64"/>
      <c r="BZZ59" s="64"/>
      <c r="CAA59" s="64"/>
      <c r="CAB59" s="64"/>
      <c r="CAC59" s="64"/>
      <c r="CAD59" s="64"/>
      <c r="CAE59" s="64"/>
      <c r="CAF59" s="64"/>
      <c r="CAG59" s="64"/>
      <c r="CAH59" s="64"/>
      <c r="CAI59" s="64"/>
      <c r="CAJ59" s="64"/>
      <c r="CAK59" s="64"/>
      <c r="CAL59" s="64"/>
      <c r="CAM59" s="64"/>
      <c r="CAN59" s="64"/>
      <c r="CAO59" s="64"/>
      <c r="CAP59" s="64"/>
      <c r="CAQ59" s="64"/>
      <c r="CAR59" s="64"/>
      <c r="CAS59" s="64"/>
      <c r="CAT59" s="64"/>
      <c r="CAU59" s="64"/>
      <c r="CAV59" s="64"/>
      <c r="CAW59" s="64"/>
      <c r="CAX59" s="64"/>
      <c r="CAY59" s="64"/>
      <c r="CAZ59" s="64"/>
      <c r="CBA59" s="64"/>
      <c r="CBB59" s="64"/>
      <c r="CBC59" s="64"/>
      <c r="CBD59" s="64"/>
      <c r="CBE59" s="64"/>
      <c r="CBF59" s="64"/>
      <c r="CBG59" s="64"/>
      <c r="CBH59" s="64"/>
      <c r="CBI59" s="64"/>
      <c r="CBJ59" s="64"/>
      <c r="CBK59" s="64"/>
      <c r="CBL59" s="64"/>
      <c r="CBM59" s="64"/>
      <c r="CBN59" s="64"/>
      <c r="CBO59" s="64"/>
      <c r="CBP59" s="64"/>
      <c r="CBQ59" s="64"/>
      <c r="CBR59" s="64"/>
      <c r="CBS59" s="64"/>
      <c r="CBT59" s="64"/>
      <c r="CBU59" s="64"/>
      <c r="CBV59" s="64"/>
      <c r="CBW59" s="64"/>
      <c r="CBX59" s="64"/>
      <c r="CBY59" s="64"/>
      <c r="CBZ59" s="64"/>
      <c r="CCA59" s="64"/>
      <c r="CCB59" s="64"/>
      <c r="CCC59" s="64"/>
      <c r="CCD59" s="64"/>
      <c r="CCE59" s="64"/>
      <c r="CCF59" s="64"/>
      <c r="CCG59" s="64"/>
      <c r="CCH59" s="64"/>
      <c r="CCI59" s="64"/>
      <c r="CCJ59" s="64"/>
      <c r="CCK59" s="64"/>
      <c r="CCL59" s="64"/>
      <c r="CCM59" s="64"/>
      <c r="CCN59" s="64"/>
      <c r="CCO59" s="64"/>
      <c r="CCP59" s="64"/>
      <c r="CCQ59" s="64"/>
      <c r="CCR59" s="64"/>
      <c r="CCS59" s="64"/>
      <c r="CCT59" s="64"/>
      <c r="CCU59" s="64"/>
      <c r="CCV59" s="64"/>
      <c r="CCW59" s="64"/>
      <c r="CCX59" s="64"/>
      <c r="CCY59" s="64"/>
      <c r="CCZ59" s="64"/>
      <c r="CDA59" s="64"/>
      <c r="CDB59" s="64"/>
      <c r="CDC59" s="64"/>
      <c r="CDD59" s="64"/>
      <c r="CDE59" s="64"/>
      <c r="CDF59" s="64"/>
      <c r="CDG59" s="64"/>
      <c r="CDH59" s="64"/>
      <c r="CDI59" s="64"/>
      <c r="CDJ59" s="64"/>
      <c r="CDK59" s="64"/>
      <c r="CDL59" s="64"/>
      <c r="CDM59" s="64"/>
      <c r="CDN59" s="64"/>
      <c r="CDO59" s="64"/>
      <c r="CDP59" s="64"/>
      <c r="CDQ59" s="64"/>
      <c r="CDR59" s="64"/>
      <c r="CDS59" s="64"/>
      <c r="CDT59" s="64"/>
      <c r="CDU59" s="64"/>
      <c r="CDV59" s="64"/>
      <c r="CDW59" s="64"/>
      <c r="CDX59" s="64"/>
      <c r="CDY59" s="64"/>
      <c r="CDZ59" s="64"/>
      <c r="CEA59" s="64"/>
      <c r="CEB59" s="64"/>
      <c r="CEC59" s="64"/>
      <c r="CED59" s="64"/>
      <c r="CEE59" s="64"/>
      <c r="CEF59" s="64"/>
      <c r="CEG59" s="64"/>
      <c r="CEH59" s="64"/>
      <c r="CEI59" s="64"/>
      <c r="CEJ59" s="64"/>
      <c r="CEK59" s="64"/>
      <c r="CEL59" s="64"/>
      <c r="CEM59" s="64"/>
      <c r="CEN59" s="64"/>
      <c r="CEO59" s="64"/>
      <c r="CEP59" s="64"/>
      <c r="CEQ59" s="64"/>
      <c r="CER59" s="64"/>
      <c r="CES59" s="64"/>
      <c r="CET59" s="64"/>
      <c r="CEU59" s="64"/>
      <c r="CEV59" s="64"/>
      <c r="CEW59" s="64"/>
      <c r="CEX59" s="64"/>
      <c r="CEY59" s="64"/>
      <c r="CEZ59" s="64"/>
      <c r="CFA59" s="64"/>
      <c r="CFB59" s="64"/>
      <c r="CFC59" s="64"/>
      <c r="CFD59" s="64"/>
      <c r="CFE59" s="64"/>
      <c r="CFF59" s="64"/>
      <c r="CFG59" s="64"/>
      <c r="CFH59" s="64"/>
      <c r="CFI59" s="64"/>
      <c r="CFJ59" s="64"/>
      <c r="CFK59" s="64"/>
      <c r="CFL59" s="64"/>
      <c r="CFM59" s="64"/>
      <c r="CFN59" s="64"/>
      <c r="CFO59" s="64"/>
      <c r="CFP59" s="64"/>
      <c r="CFQ59" s="64"/>
      <c r="CFR59" s="64"/>
      <c r="CFS59" s="64"/>
      <c r="CFT59" s="64"/>
      <c r="CFU59" s="64"/>
      <c r="CFV59" s="64"/>
      <c r="CFW59" s="64"/>
      <c r="CFX59" s="64"/>
      <c r="CFY59" s="64"/>
      <c r="CFZ59" s="64"/>
      <c r="CGA59" s="64"/>
      <c r="CGB59" s="64"/>
      <c r="CGC59" s="64"/>
      <c r="CGD59" s="64"/>
      <c r="CGE59" s="64"/>
      <c r="CGF59" s="64"/>
      <c r="CGG59" s="64"/>
      <c r="CGH59" s="64"/>
      <c r="CGI59" s="64"/>
      <c r="CGJ59" s="64"/>
      <c r="CGK59" s="64"/>
      <c r="CGL59" s="64"/>
      <c r="CGM59" s="64"/>
      <c r="CGN59" s="64"/>
      <c r="CGO59" s="64"/>
      <c r="CGP59" s="64"/>
      <c r="CGQ59" s="64"/>
      <c r="CGR59" s="64"/>
      <c r="CGS59" s="64"/>
      <c r="CGT59" s="64"/>
      <c r="CGU59" s="64"/>
      <c r="CGV59" s="64"/>
      <c r="CGW59" s="64"/>
      <c r="CGX59" s="64"/>
      <c r="CGY59" s="64"/>
      <c r="CGZ59" s="64"/>
      <c r="CHA59" s="64"/>
      <c r="CHB59" s="64"/>
      <c r="CHC59" s="64"/>
      <c r="CHD59" s="64"/>
      <c r="CHE59" s="64"/>
      <c r="CHF59" s="64"/>
      <c r="CHG59" s="64"/>
      <c r="CHH59" s="64"/>
      <c r="CHI59" s="64"/>
      <c r="CHJ59" s="64"/>
      <c r="CHK59" s="64"/>
      <c r="CHL59" s="64"/>
      <c r="CHM59" s="64"/>
      <c r="CHN59" s="64"/>
      <c r="CHO59" s="64"/>
      <c r="CHP59" s="64"/>
      <c r="CHQ59" s="64"/>
      <c r="CHR59" s="64"/>
      <c r="CHS59" s="64"/>
      <c r="CHT59" s="64"/>
      <c r="CHU59" s="64"/>
      <c r="CHV59" s="64"/>
      <c r="CHW59" s="64"/>
      <c r="CHX59" s="64"/>
      <c r="CHY59" s="64"/>
      <c r="CHZ59" s="64"/>
      <c r="CIA59" s="64"/>
      <c r="CIB59" s="64"/>
      <c r="CIC59" s="64"/>
      <c r="CID59" s="64"/>
      <c r="CIE59" s="64"/>
      <c r="CIF59" s="64"/>
      <c r="CIG59" s="64"/>
      <c r="CIH59" s="64"/>
      <c r="CII59" s="64"/>
      <c r="CIJ59" s="64"/>
      <c r="CIK59" s="64"/>
      <c r="CIL59" s="64"/>
      <c r="CIM59" s="64"/>
      <c r="CIN59" s="64"/>
      <c r="CIO59" s="64"/>
      <c r="CIP59" s="64"/>
      <c r="CIQ59" s="64"/>
      <c r="CIR59" s="64"/>
      <c r="CIS59" s="64"/>
      <c r="CIT59" s="64"/>
      <c r="CIU59" s="64"/>
      <c r="CIV59" s="64"/>
      <c r="CIW59" s="64"/>
      <c r="CIX59" s="64"/>
      <c r="CIY59" s="64"/>
      <c r="CIZ59" s="64"/>
      <c r="CJA59" s="64"/>
      <c r="CJB59" s="64"/>
      <c r="CJC59" s="64"/>
      <c r="CJD59" s="64"/>
      <c r="CJE59" s="64"/>
      <c r="CJF59" s="64"/>
      <c r="CJG59" s="64"/>
      <c r="CJH59" s="64"/>
      <c r="CJI59" s="64"/>
      <c r="CJJ59" s="64"/>
      <c r="CJK59" s="64"/>
      <c r="CJL59" s="64"/>
      <c r="CJM59" s="64"/>
      <c r="CJN59" s="64"/>
      <c r="CJO59" s="64"/>
      <c r="CJP59" s="64"/>
      <c r="CJQ59" s="64"/>
      <c r="CJR59" s="64"/>
      <c r="CJS59" s="64"/>
      <c r="CJT59" s="64"/>
      <c r="CJU59" s="64"/>
      <c r="CJV59" s="64"/>
      <c r="CJW59" s="64"/>
      <c r="CJX59" s="64"/>
      <c r="CJY59" s="64"/>
      <c r="CJZ59" s="64"/>
      <c r="CKA59" s="64"/>
      <c r="CKB59" s="64"/>
      <c r="CKC59" s="64"/>
      <c r="CKD59" s="64"/>
      <c r="CKE59" s="64"/>
      <c r="CKF59" s="64"/>
      <c r="CKG59" s="64"/>
      <c r="CKH59" s="64"/>
      <c r="CKI59" s="64"/>
      <c r="CKJ59" s="64"/>
      <c r="CKK59" s="64"/>
      <c r="CKL59" s="64"/>
      <c r="CKM59" s="64"/>
      <c r="CKN59" s="64"/>
      <c r="CKO59" s="64"/>
      <c r="CKP59" s="64"/>
      <c r="CKQ59" s="64"/>
      <c r="CKR59" s="64"/>
      <c r="CKS59" s="64"/>
      <c r="CKT59" s="64"/>
      <c r="CKU59" s="64"/>
      <c r="CKV59" s="64"/>
      <c r="CKW59" s="64"/>
      <c r="CKX59" s="64"/>
      <c r="CKY59" s="64"/>
      <c r="CKZ59" s="64"/>
      <c r="CLA59" s="64"/>
      <c r="CLB59" s="64"/>
      <c r="CLC59" s="64"/>
      <c r="CLD59" s="64"/>
      <c r="CLE59" s="64"/>
      <c r="CLF59" s="64"/>
      <c r="CLG59" s="64"/>
      <c r="CLH59" s="64"/>
      <c r="CLI59" s="64"/>
      <c r="CLJ59" s="64"/>
      <c r="CLK59" s="64"/>
      <c r="CLL59" s="64"/>
      <c r="CLM59" s="64"/>
      <c r="CLN59" s="64"/>
      <c r="CLO59" s="64"/>
      <c r="CLP59" s="64"/>
      <c r="CLQ59" s="64"/>
      <c r="CLR59" s="64"/>
      <c r="CLS59" s="64"/>
      <c r="CLT59" s="64"/>
      <c r="CLU59" s="64"/>
      <c r="CLV59" s="64"/>
      <c r="CLW59" s="64"/>
      <c r="CLX59" s="64"/>
      <c r="CLY59" s="64"/>
      <c r="CLZ59" s="64"/>
      <c r="CMA59" s="64"/>
      <c r="CMB59" s="64"/>
      <c r="CMC59" s="64"/>
      <c r="CMD59" s="64"/>
      <c r="CME59" s="64"/>
      <c r="CMF59" s="64"/>
      <c r="CMG59" s="64"/>
      <c r="CMH59" s="64"/>
      <c r="CMI59" s="64"/>
      <c r="CMJ59" s="64"/>
      <c r="CMK59" s="64"/>
      <c r="CML59" s="64"/>
      <c r="CMM59" s="64"/>
      <c r="CMN59" s="64"/>
      <c r="CMO59" s="64"/>
      <c r="CMP59" s="64"/>
      <c r="CMQ59" s="64"/>
      <c r="CMR59" s="64"/>
      <c r="CMS59" s="64"/>
      <c r="CMT59" s="64"/>
      <c r="CMU59" s="64"/>
      <c r="CMV59" s="64"/>
      <c r="CMW59" s="64"/>
      <c r="CMX59" s="64"/>
      <c r="CMY59" s="64"/>
      <c r="CMZ59" s="64"/>
      <c r="CNA59" s="64"/>
      <c r="CNB59" s="64"/>
      <c r="CNC59" s="64"/>
      <c r="CND59" s="64"/>
      <c r="CNE59" s="64"/>
      <c r="CNF59" s="64"/>
      <c r="CNG59" s="64"/>
      <c r="CNH59" s="64"/>
      <c r="CNI59" s="64"/>
      <c r="CNJ59" s="64"/>
      <c r="CNK59" s="64"/>
      <c r="CNL59" s="64"/>
      <c r="CNM59" s="64"/>
      <c r="CNN59" s="64"/>
      <c r="CNO59" s="64"/>
      <c r="CNP59" s="64"/>
      <c r="CNQ59" s="64"/>
      <c r="CNR59" s="64"/>
      <c r="CNS59" s="64"/>
      <c r="CNT59" s="64"/>
      <c r="CNU59" s="64"/>
      <c r="CNV59" s="64"/>
      <c r="CNW59" s="64"/>
      <c r="CNX59" s="64"/>
      <c r="CNY59" s="64"/>
      <c r="CNZ59" s="64"/>
      <c r="COA59" s="64"/>
      <c r="COB59" s="64"/>
      <c r="COC59" s="64"/>
      <c r="COD59" s="64"/>
      <c r="COE59" s="64"/>
      <c r="COF59" s="64"/>
      <c r="COG59" s="64"/>
      <c r="COH59" s="64"/>
      <c r="COI59" s="64"/>
      <c r="COJ59" s="64"/>
      <c r="COK59" s="64"/>
      <c r="COL59" s="64"/>
      <c r="COM59" s="64"/>
      <c r="CON59" s="64"/>
      <c r="COO59" s="64"/>
      <c r="COP59" s="64"/>
      <c r="COQ59" s="64"/>
      <c r="COR59" s="64"/>
      <c r="COS59" s="64"/>
      <c r="COT59" s="64"/>
      <c r="COU59" s="64"/>
      <c r="COV59" s="64"/>
      <c r="COW59" s="64"/>
      <c r="COX59" s="64"/>
      <c r="COY59" s="64"/>
      <c r="COZ59" s="64"/>
      <c r="CPA59" s="64"/>
      <c r="CPB59" s="64"/>
      <c r="CPC59" s="64"/>
      <c r="CPD59" s="64"/>
      <c r="CPE59" s="64"/>
      <c r="CPF59" s="64"/>
      <c r="CPG59" s="64"/>
      <c r="CPH59" s="64"/>
      <c r="CPI59" s="64"/>
      <c r="CPJ59" s="64"/>
      <c r="CPK59" s="64"/>
      <c r="CPL59" s="64"/>
      <c r="CPM59" s="64"/>
      <c r="CPN59" s="64"/>
      <c r="CPO59" s="64"/>
      <c r="CPP59" s="64"/>
      <c r="CPQ59" s="64"/>
      <c r="CPR59" s="64"/>
      <c r="CPS59" s="64"/>
      <c r="CPT59" s="64"/>
      <c r="CPU59" s="64"/>
      <c r="CPV59" s="64"/>
      <c r="CPW59" s="64"/>
      <c r="CPX59" s="64"/>
      <c r="CPY59" s="64"/>
      <c r="CPZ59" s="64"/>
      <c r="CQA59" s="64"/>
      <c r="CQB59" s="64"/>
      <c r="CQC59" s="64"/>
      <c r="CQD59" s="64"/>
      <c r="CQE59" s="64"/>
      <c r="CQF59" s="64"/>
      <c r="CQG59" s="64"/>
      <c r="CQH59" s="64"/>
      <c r="CQI59" s="64"/>
      <c r="CQJ59" s="64"/>
      <c r="CQK59" s="64"/>
      <c r="CQL59" s="64"/>
      <c r="CQM59" s="64"/>
      <c r="CQN59" s="64"/>
      <c r="CQO59" s="64"/>
      <c r="CQP59" s="64"/>
      <c r="CQQ59" s="64"/>
      <c r="CQR59" s="64"/>
      <c r="CQS59" s="64"/>
      <c r="CQT59" s="64"/>
      <c r="CQU59" s="64"/>
      <c r="CQV59" s="64"/>
      <c r="CQW59" s="64"/>
      <c r="CQX59" s="64"/>
      <c r="CQY59" s="64"/>
      <c r="CQZ59" s="64"/>
      <c r="CRA59" s="64"/>
      <c r="CRB59" s="64"/>
      <c r="CRC59" s="64"/>
      <c r="CRD59" s="64"/>
      <c r="CRE59" s="64"/>
      <c r="CRF59" s="64"/>
      <c r="CRG59" s="64"/>
      <c r="CRH59" s="64"/>
      <c r="CRI59" s="64"/>
      <c r="CRJ59" s="64"/>
      <c r="CRK59" s="64"/>
      <c r="CRL59" s="64"/>
      <c r="CRM59" s="64"/>
      <c r="CRN59" s="64"/>
      <c r="CRO59" s="64"/>
      <c r="CRP59" s="64"/>
      <c r="CRQ59" s="64"/>
      <c r="CRR59" s="64"/>
      <c r="CRS59" s="64"/>
      <c r="CRT59" s="64"/>
      <c r="CRU59" s="64"/>
      <c r="CRV59" s="64"/>
      <c r="CRW59" s="64"/>
      <c r="CRX59" s="64"/>
      <c r="CRY59" s="64"/>
      <c r="CRZ59" s="64"/>
      <c r="CSA59" s="64"/>
      <c r="CSB59" s="64"/>
      <c r="CSC59" s="64"/>
      <c r="CSD59" s="64"/>
      <c r="CSE59" s="64"/>
      <c r="CSF59" s="64"/>
      <c r="CSG59" s="64"/>
      <c r="CSH59" s="64"/>
      <c r="CSI59" s="64"/>
      <c r="CSJ59" s="64"/>
      <c r="CSK59" s="64"/>
      <c r="CSL59" s="64"/>
      <c r="CSM59" s="64"/>
      <c r="CSN59" s="64"/>
      <c r="CSO59" s="64"/>
      <c r="CSP59" s="64"/>
      <c r="CSQ59" s="64"/>
      <c r="CSR59" s="64"/>
      <c r="CSS59" s="64"/>
      <c r="CST59" s="64"/>
      <c r="CSU59" s="64"/>
      <c r="CSV59" s="64"/>
      <c r="CSW59" s="64"/>
      <c r="CSX59" s="64"/>
      <c r="CSY59" s="64"/>
      <c r="CSZ59" s="64"/>
      <c r="CTA59" s="64"/>
      <c r="CTB59" s="64"/>
      <c r="CTC59" s="64"/>
      <c r="CTD59" s="64"/>
      <c r="CTE59" s="64"/>
      <c r="CTF59" s="64"/>
      <c r="CTG59" s="64"/>
      <c r="CTH59" s="64"/>
      <c r="CTI59" s="64"/>
      <c r="CTJ59" s="64"/>
      <c r="CTK59" s="64"/>
      <c r="CTL59" s="64"/>
      <c r="CTM59" s="64"/>
      <c r="CTN59" s="64"/>
      <c r="CTO59" s="64"/>
      <c r="CTP59" s="64"/>
      <c r="CTQ59" s="64"/>
      <c r="CTR59" s="64"/>
      <c r="CTS59" s="64"/>
      <c r="CTT59" s="64"/>
      <c r="CTU59" s="64"/>
      <c r="CTV59" s="64"/>
      <c r="CTW59" s="64"/>
      <c r="CTX59" s="64"/>
      <c r="CTY59" s="64"/>
      <c r="CTZ59" s="64"/>
      <c r="CUA59" s="64"/>
      <c r="CUB59" s="64"/>
      <c r="CUC59" s="64"/>
      <c r="CUD59" s="64"/>
      <c r="CUE59" s="64"/>
      <c r="CUF59" s="64"/>
      <c r="CUG59" s="64"/>
      <c r="CUH59" s="64"/>
      <c r="CUI59" s="64"/>
      <c r="CUJ59" s="64"/>
      <c r="CUK59" s="64"/>
      <c r="CUL59" s="64"/>
      <c r="CUM59" s="64"/>
      <c r="CUN59" s="64"/>
      <c r="CUO59" s="64"/>
      <c r="CUP59" s="64"/>
      <c r="CUQ59" s="64"/>
      <c r="CUR59" s="64"/>
      <c r="CUS59" s="64"/>
      <c r="CUT59" s="64"/>
      <c r="CUU59" s="64"/>
      <c r="CUV59" s="64"/>
      <c r="CUW59" s="64"/>
      <c r="CUX59" s="64"/>
      <c r="CUY59" s="64"/>
      <c r="CUZ59" s="64"/>
      <c r="CVA59" s="64"/>
      <c r="CVB59" s="64"/>
      <c r="CVC59" s="64"/>
      <c r="CVD59" s="64"/>
      <c r="CVE59" s="64"/>
      <c r="CVF59" s="64"/>
      <c r="CVG59" s="64"/>
      <c r="CVH59" s="64"/>
      <c r="CVI59" s="64"/>
      <c r="CVJ59" s="64"/>
      <c r="CVK59" s="64"/>
      <c r="CVL59" s="64"/>
      <c r="CVM59" s="64"/>
      <c r="CVN59" s="64"/>
      <c r="CVO59" s="64"/>
      <c r="CVP59" s="64"/>
      <c r="CVQ59" s="64"/>
      <c r="CVR59" s="64"/>
      <c r="CVS59" s="64"/>
      <c r="CVT59" s="64"/>
      <c r="CVU59" s="64"/>
      <c r="CVV59" s="64"/>
      <c r="CVW59" s="64"/>
      <c r="CVX59" s="64"/>
      <c r="CVY59" s="64"/>
      <c r="CVZ59" s="64"/>
      <c r="CWA59" s="64"/>
      <c r="CWB59" s="64"/>
      <c r="CWC59" s="64"/>
      <c r="CWD59" s="64"/>
      <c r="CWE59" s="64"/>
      <c r="CWF59" s="64"/>
      <c r="CWG59" s="64"/>
      <c r="CWH59" s="64"/>
      <c r="CWI59" s="64"/>
      <c r="CWJ59" s="64"/>
      <c r="CWK59" s="64"/>
      <c r="CWL59" s="64"/>
      <c r="CWM59" s="64"/>
      <c r="CWN59" s="64"/>
      <c r="CWO59" s="64"/>
      <c r="CWP59" s="64"/>
      <c r="CWQ59" s="64"/>
      <c r="CWR59" s="64"/>
      <c r="CWS59" s="64"/>
      <c r="CWT59" s="64"/>
      <c r="CWU59" s="64"/>
      <c r="CWV59" s="64"/>
      <c r="CWW59" s="64"/>
      <c r="CWX59" s="64"/>
      <c r="CWY59" s="64"/>
      <c r="CWZ59" s="64"/>
      <c r="CXA59" s="64"/>
      <c r="CXB59" s="64"/>
      <c r="CXC59" s="64"/>
      <c r="CXD59" s="64"/>
      <c r="CXE59" s="64"/>
      <c r="CXF59" s="64"/>
      <c r="CXG59" s="64"/>
      <c r="CXH59" s="64"/>
      <c r="CXI59" s="64"/>
      <c r="CXJ59" s="64"/>
      <c r="CXK59" s="64"/>
      <c r="CXL59" s="64"/>
      <c r="CXM59" s="64"/>
      <c r="CXN59" s="64"/>
      <c r="CXO59" s="64"/>
      <c r="CXP59" s="64"/>
      <c r="CXQ59" s="64"/>
      <c r="CXR59" s="64"/>
      <c r="CXS59" s="64"/>
      <c r="CXT59" s="64"/>
      <c r="CXU59" s="64"/>
      <c r="CXV59" s="64"/>
      <c r="CXW59" s="64"/>
      <c r="CXX59" s="64"/>
      <c r="CXY59" s="64"/>
      <c r="CXZ59" s="64"/>
      <c r="CYA59" s="64"/>
      <c r="CYB59" s="64"/>
      <c r="CYC59" s="64"/>
      <c r="CYD59" s="64"/>
      <c r="CYE59" s="64"/>
      <c r="CYF59" s="64"/>
      <c r="CYG59" s="64"/>
      <c r="CYH59" s="64"/>
      <c r="CYI59" s="64"/>
      <c r="CYJ59" s="64"/>
      <c r="CYK59" s="64"/>
      <c r="CYL59" s="64"/>
      <c r="CYM59" s="64"/>
      <c r="CYN59" s="64"/>
      <c r="CYO59" s="64"/>
      <c r="CYP59" s="64"/>
      <c r="CYQ59" s="64"/>
      <c r="CYR59" s="64"/>
      <c r="CYS59" s="64"/>
      <c r="CYT59" s="64"/>
      <c r="CYU59" s="64"/>
      <c r="CYV59" s="64"/>
      <c r="CYW59" s="64"/>
      <c r="CYX59" s="64"/>
      <c r="CYY59" s="64"/>
      <c r="CYZ59" s="64"/>
      <c r="CZA59" s="64"/>
      <c r="CZB59" s="64"/>
      <c r="CZC59" s="64"/>
      <c r="CZD59" s="64"/>
      <c r="CZE59" s="64"/>
      <c r="CZF59" s="64"/>
      <c r="CZG59" s="64"/>
      <c r="CZH59" s="64"/>
      <c r="CZI59" s="64"/>
      <c r="CZJ59" s="64"/>
      <c r="CZK59" s="64"/>
      <c r="CZL59" s="64"/>
      <c r="CZM59" s="64"/>
      <c r="CZN59" s="64"/>
      <c r="CZO59" s="64"/>
      <c r="CZP59" s="64"/>
      <c r="CZQ59" s="64"/>
      <c r="CZR59" s="64"/>
      <c r="CZS59" s="64"/>
      <c r="CZT59" s="64"/>
      <c r="CZU59" s="64"/>
      <c r="CZV59" s="64"/>
      <c r="CZW59" s="64"/>
      <c r="CZX59" s="64"/>
      <c r="CZY59" s="64"/>
      <c r="CZZ59" s="64"/>
      <c r="DAA59" s="64"/>
      <c r="DAB59" s="64"/>
      <c r="DAC59" s="64"/>
      <c r="DAD59" s="64"/>
      <c r="DAE59" s="64"/>
      <c r="DAF59" s="64"/>
      <c r="DAG59" s="64"/>
      <c r="DAH59" s="64"/>
      <c r="DAI59" s="64"/>
      <c r="DAJ59" s="64"/>
      <c r="DAK59" s="64"/>
      <c r="DAL59" s="64"/>
      <c r="DAM59" s="64"/>
      <c r="DAN59" s="64"/>
      <c r="DAO59" s="64"/>
      <c r="DAP59" s="64"/>
      <c r="DAQ59" s="64"/>
      <c r="DAR59" s="64"/>
      <c r="DAS59" s="64"/>
      <c r="DAT59" s="64"/>
      <c r="DAU59" s="64"/>
      <c r="DAV59" s="64"/>
      <c r="DAW59" s="64"/>
      <c r="DAX59" s="64"/>
      <c r="DAY59" s="64"/>
      <c r="DAZ59" s="64"/>
      <c r="DBA59" s="64"/>
      <c r="DBB59" s="64"/>
      <c r="DBC59" s="64"/>
      <c r="DBD59" s="64"/>
      <c r="DBE59" s="64"/>
      <c r="DBF59" s="64"/>
      <c r="DBG59" s="64"/>
      <c r="DBH59" s="64"/>
      <c r="DBI59" s="64"/>
      <c r="DBJ59" s="64"/>
      <c r="DBK59" s="64"/>
      <c r="DBL59" s="64"/>
      <c r="DBM59" s="64"/>
      <c r="DBN59" s="64"/>
      <c r="DBO59" s="64"/>
      <c r="DBP59" s="64"/>
      <c r="DBQ59" s="64"/>
      <c r="DBR59" s="64"/>
      <c r="DBS59" s="64"/>
      <c r="DBT59" s="64"/>
      <c r="DBU59" s="64"/>
      <c r="DBV59" s="64"/>
      <c r="DBW59" s="64"/>
      <c r="DBX59" s="64"/>
      <c r="DBY59" s="64"/>
      <c r="DBZ59" s="64"/>
      <c r="DCA59" s="64"/>
      <c r="DCB59" s="64"/>
      <c r="DCC59" s="64"/>
      <c r="DCD59" s="64"/>
      <c r="DCE59" s="64"/>
      <c r="DCF59" s="64"/>
      <c r="DCG59" s="64"/>
      <c r="DCH59" s="64"/>
      <c r="DCI59" s="64"/>
      <c r="DCJ59" s="64"/>
      <c r="DCK59" s="64"/>
      <c r="DCL59" s="64"/>
      <c r="DCM59" s="64"/>
      <c r="DCN59" s="64"/>
      <c r="DCO59" s="64"/>
      <c r="DCP59" s="64"/>
      <c r="DCQ59" s="64"/>
      <c r="DCR59" s="64"/>
      <c r="DCS59" s="64"/>
      <c r="DCT59" s="64"/>
      <c r="DCU59" s="64"/>
      <c r="DCV59" s="64"/>
      <c r="DCW59" s="64"/>
      <c r="DCX59" s="64"/>
      <c r="DCY59" s="64"/>
      <c r="DCZ59" s="64"/>
      <c r="DDA59" s="64"/>
      <c r="DDB59" s="64"/>
      <c r="DDC59" s="64"/>
      <c r="DDD59" s="64"/>
      <c r="DDE59" s="64"/>
      <c r="DDF59" s="64"/>
      <c r="DDG59" s="64"/>
      <c r="DDH59" s="64"/>
      <c r="DDI59" s="64"/>
      <c r="DDJ59" s="64"/>
      <c r="DDK59" s="64"/>
      <c r="DDL59" s="64"/>
      <c r="DDM59" s="64"/>
      <c r="DDN59" s="64"/>
      <c r="DDO59" s="64"/>
      <c r="DDP59" s="64"/>
      <c r="DDQ59" s="64"/>
      <c r="DDR59" s="64"/>
      <c r="DDS59" s="64"/>
      <c r="DDT59" s="64"/>
      <c r="DDU59" s="64"/>
      <c r="DDV59" s="64"/>
      <c r="DDW59" s="64"/>
      <c r="DDX59" s="64"/>
      <c r="DDY59" s="64"/>
      <c r="DDZ59" s="64"/>
      <c r="DEA59" s="64"/>
      <c r="DEB59" s="64"/>
      <c r="DEC59" s="64"/>
      <c r="DED59" s="64"/>
      <c r="DEE59" s="64"/>
      <c r="DEF59" s="64"/>
      <c r="DEG59" s="64"/>
      <c r="DEH59" s="64"/>
      <c r="DEI59" s="64"/>
      <c r="DEJ59" s="64"/>
      <c r="DEK59" s="64"/>
      <c r="DEL59" s="64"/>
      <c r="DEM59" s="64"/>
      <c r="DEN59" s="64"/>
      <c r="DEO59" s="64"/>
      <c r="DEP59" s="64"/>
      <c r="DEQ59" s="64"/>
      <c r="DER59" s="64"/>
      <c r="DES59" s="64"/>
      <c r="DET59" s="64"/>
      <c r="DEU59" s="64"/>
      <c r="DEV59" s="64"/>
      <c r="DEW59" s="64"/>
      <c r="DEX59" s="64"/>
      <c r="DEY59" s="64"/>
      <c r="DEZ59" s="64"/>
      <c r="DFA59" s="64"/>
      <c r="DFB59" s="64"/>
      <c r="DFC59" s="64"/>
      <c r="DFD59" s="64"/>
      <c r="DFE59" s="64"/>
      <c r="DFF59" s="64"/>
      <c r="DFG59" s="64"/>
      <c r="DFH59" s="64"/>
      <c r="DFI59" s="64"/>
      <c r="DFJ59" s="64"/>
      <c r="DFK59" s="64"/>
      <c r="DFL59" s="64"/>
      <c r="DFM59" s="64"/>
      <c r="DFN59" s="64"/>
      <c r="DFO59" s="64"/>
      <c r="DFP59" s="64"/>
      <c r="DFQ59" s="64"/>
      <c r="DFR59" s="64"/>
      <c r="DFS59" s="64"/>
      <c r="DFT59" s="64"/>
      <c r="DFU59" s="64"/>
      <c r="DFV59" s="64"/>
      <c r="DFW59" s="64"/>
      <c r="DFX59" s="64"/>
      <c r="DFY59" s="64"/>
      <c r="DFZ59" s="64"/>
      <c r="DGA59" s="64"/>
      <c r="DGB59" s="64"/>
      <c r="DGC59" s="64"/>
      <c r="DGD59" s="64"/>
      <c r="DGE59" s="64"/>
      <c r="DGF59" s="64"/>
      <c r="DGG59" s="64"/>
      <c r="DGH59" s="64"/>
      <c r="DGI59" s="64"/>
      <c r="DGJ59" s="64"/>
      <c r="DGK59" s="64"/>
      <c r="DGL59" s="64"/>
      <c r="DGM59" s="64"/>
      <c r="DGN59" s="64"/>
      <c r="DGO59" s="64"/>
      <c r="DGP59" s="64"/>
      <c r="DGQ59" s="64"/>
      <c r="DGR59" s="64"/>
      <c r="DGS59" s="64"/>
      <c r="DGT59" s="64"/>
      <c r="DGU59" s="64"/>
      <c r="DGV59" s="64"/>
      <c r="DGW59" s="64"/>
      <c r="DGX59" s="64"/>
      <c r="DGY59" s="64"/>
      <c r="DGZ59" s="64"/>
      <c r="DHA59" s="64"/>
      <c r="DHB59" s="64"/>
      <c r="DHC59" s="64"/>
      <c r="DHD59" s="64"/>
      <c r="DHE59" s="64"/>
      <c r="DHF59" s="64"/>
      <c r="DHG59" s="64"/>
      <c r="DHH59" s="64"/>
      <c r="DHI59" s="64"/>
      <c r="DHJ59" s="64"/>
      <c r="DHK59" s="64"/>
      <c r="DHL59" s="64"/>
      <c r="DHM59" s="64"/>
      <c r="DHN59" s="64"/>
      <c r="DHO59" s="64"/>
      <c r="DHP59" s="64"/>
      <c r="DHQ59" s="64"/>
      <c r="DHR59" s="64"/>
      <c r="DHS59" s="64"/>
      <c r="DHT59" s="64"/>
      <c r="DHU59" s="64"/>
      <c r="DHV59" s="64"/>
      <c r="DHW59" s="64"/>
      <c r="DHX59" s="64"/>
      <c r="DHY59" s="64"/>
      <c r="DHZ59" s="64"/>
      <c r="DIA59" s="64"/>
      <c r="DIB59" s="64"/>
      <c r="DIC59" s="64"/>
      <c r="DID59" s="64"/>
      <c r="DIE59" s="64"/>
      <c r="DIF59" s="64"/>
      <c r="DIG59" s="64"/>
      <c r="DIH59" s="64"/>
      <c r="DII59" s="64"/>
      <c r="DIJ59" s="64"/>
      <c r="DIK59" s="64"/>
      <c r="DIL59" s="64"/>
      <c r="DIM59" s="64"/>
      <c r="DIN59" s="64"/>
      <c r="DIO59" s="64"/>
      <c r="DIP59" s="64"/>
      <c r="DIQ59" s="64"/>
      <c r="DIR59" s="64"/>
      <c r="DIS59" s="64"/>
      <c r="DIT59" s="64"/>
      <c r="DIU59" s="64"/>
      <c r="DIV59" s="64"/>
      <c r="DIW59" s="64"/>
      <c r="DIX59" s="64"/>
      <c r="DIY59" s="64"/>
      <c r="DIZ59" s="64"/>
      <c r="DJA59" s="64"/>
      <c r="DJB59" s="64"/>
      <c r="DJC59" s="64"/>
      <c r="DJD59" s="64"/>
      <c r="DJE59" s="64"/>
      <c r="DJF59" s="64"/>
      <c r="DJG59" s="64"/>
      <c r="DJH59" s="64"/>
      <c r="DJI59" s="64"/>
      <c r="DJJ59" s="64"/>
      <c r="DJK59" s="64"/>
      <c r="DJL59" s="64"/>
      <c r="DJM59" s="64"/>
      <c r="DJN59" s="64"/>
      <c r="DJO59" s="64"/>
      <c r="DJP59" s="64"/>
      <c r="DJQ59" s="64"/>
      <c r="DJR59" s="64"/>
      <c r="DJS59" s="64"/>
      <c r="DJT59" s="64"/>
      <c r="DJU59" s="64"/>
      <c r="DJV59" s="64"/>
      <c r="DJW59" s="64"/>
      <c r="DJX59" s="64"/>
      <c r="DJY59" s="64"/>
      <c r="DJZ59" s="64"/>
      <c r="DKA59" s="64"/>
      <c r="DKB59" s="64"/>
      <c r="DKC59" s="64"/>
      <c r="DKD59" s="64"/>
      <c r="DKE59" s="64"/>
      <c r="DKF59" s="64"/>
      <c r="DKG59" s="64"/>
      <c r="DKH59" s="64"/>
      <c r="DKI59" s="64"/>
      <c r="DKJ59" s="64"/>
      <c r="DKK59" s="64"/>
      <c r="DKL59" s="64"/>
      <c r="DKM59" s="64"/>
      <c r="DKN59" s="64"/>
      <c r="DKO59" s="64"/>
      <c r="DKP59" s="64"/>
      <c r="DKQ59" s="64"/>
      <c r="DKR59" s="64"/>
      <c r="DKS59" s="64"/>
      <c r="DKT59" s="64"/>
      <c r="DKU59" s="64"/>
      <c r="DKV59" s="64"/>
      <c r="DKW59" s="64"/>
      <c r="DKX59" s="64"/>
      <c r="DKY59" s="64"/>
      <c r="DKZ59" s="64"/>
      <c r="DLA59" s="64"/>
      <c r="DLB59" s="64"/>
      <c r="DLC59" s="64"/>
      <c r="DLD59" s="64"/>
      <c r="DLE59" s="64"/>
      <c r="DLF59" s="64"/>
      <c r="DLG59" s="64"/>
      <c r="DLH59" s="64"/>
      <c r="DLI59" s="64"/>
      <c r="DLJ59" s="64"/>
      <c r="DLK59" s="64"/>
      <c r="DLL59" s="64"/>
      <c r="DLM59" s="64"/>
      <c r="DLN59" s="64"/>
      <c r="DLO59" s="64"/>
      <c r="DLP59" s="64"/>
      <c r="DLQ59" s="64"/>
      <c r="DLR59" s="64"/>
      <c r="DLS59" s="64"/>
      <c r="DLT59" s="64"/>
      <c r="DLU59" s="64"/>
      <c r="DLV59" s="64"/>
      <c r="DLW59" s="64"/>
      <c r="DLX59" s="64"/>
      <c r="DLY59" s="64"/>
      <c r="DLZ59" s="64"/>
      <c r="DMA59" s="64"/>
      <c r="DMB59" s="64"/>
      <c r="DMC59" s="64"/>
      <c r="DMD59" s="64"/>
      <c r="DME59" s="64"/>
      <c r="DMF59" s="64"/>
      <c r="DMG59" s="64"/>
      <c r="DMH59" s="64"/>
      <c r="DMI59" s="64"/>
      <c r="DMJ59" s="64"/>
      <c r="DMK59" s="64"/>
      <c r="DML59" s="64"/>
      <c r="DMM59" s="64"/>
      <c r="DMN59" s="64"/>
      <c r="DMO59" s="64"/>
      <c r="DMP59" s="64"/>
      <c r="DMQ59" s="64"/>
      <c r="DMR59" s="64"/>
      <c r="DMS59" s="64"/>
      <c r="DMT59" s="64"/>
      <c r="DMU59" s="64"/>
      <c r="DMV59" s="64"/>
      <c r="DMW59" s="64"/>
      <c r="DMX59" s="64"/>
      <c r="DMY59" s="64"/>
      <c r="DMZ59" s="64"/>
      <c r="DNA59" s="64"/>
      <c r="DNB59" s="64"/>
      <c r="DNC59" s="64"/>
      <c r="DND59" s="64"/>
      <c r="DNE59" s="64"/>
      <c r="DNF59" s="64"/>
      <c r="DNG59" s="64"/>
      <c r="DNH59" s="64"/>
      <c r="DNI59" s="64"/>
      <c r="DNJ59" s="64"/>
      <c r="DNK59" s="64"/>
      <c r="DNL59" s="64"/>
      <c r="DNM59" s="64"/>
      <c r="DNN59" s="64"/>
      <c r="DNO59" s="64"/>
      <c r="DNP59" s="64"/>
      <c r="DNQ59" s="64"/>
      <c r="DNR59" s="64"/>
      <c r="DNS59" s="64"/>
      <c r="DNT59" s="64"/>
      <c r="DNU59" s="64"/>
      <c r="DNV59" s="64"/>
      <c r="DNW59" s="64"/>
      <c r="DNX59" s="64"/>
      <c r="DNY59" s="64"/>
      <c r="DNZ59" s="64"/>
      <c r="DOA59" s="64"/>
      <c r="DOB59" s="64"/>
      <c r="DOC59" s="64"/>
      <c r="DOD59" s="64"/>
      <c r="DOE59" s="64"/>
      <c r="DOF59" s="64"/>
      <c r="DOG59" s="64"/>
      <c r="DOH59" s="64"/>
      <c r="DOI59" s="64"/>
      <c r="DOJ59" s="64"/>
      <c r="DOK59" s="64"/>
      <c r="DOL59" s="64"/>
      <c r="DOM59" s="64"/>
      <c r="DON59" s="64"/>
      <c r="DOO59" s="64"/>
      <c r="DOP59" s="64"/>
      <c r="DOQ59" s="64"/>
      <c r="DOR59" s="64"/>
      <c r="DOS59" s="64"/>
      <c r="DOT59" s="64"/>
      <c r="DOU59" s="64"/>
      <c r="DOV59" s="64"/>
      <c r="DOW59" s="64"/>
      <c r="DOX59" s="64"/>
      <c r="DOY59" s="64"/>
      <c r="DOZ59" s="64"/>
      <c r="DPA59" s="64"/>
      <c r="DPB59" s="64"/>
      <c r="DPC59" s="64"/>
      <c r="DPD59" s="64"/>
      <c r="DPE59" s="64"/>
      <c r="DPF59" s="64"/>
      <c r="DPG59" s="64"/>
      <c r="DPH59" s="64"/>
      <c r="DPI59" s="64"/>
      <c r="DPJ59" s="64"/>
      <c r="DPK59" s="64"/>
      <c r="DPL59" s="64"/>
      <c r="DPM59" s="64"/>
      <c r="DPN59" s="64"/>
      <c r="DPO59" s="64"/>
      <c r="DPP59" s="64"/>
      <c r="DPQ59" s="64"/>
      <c r="DPR59" s="64"/>
      <c r="DPS59" s="64"/>
      <c r="DPT59" s="64"/>
      <c r="DPU59" s="64"/>
      <c r="DPV59" s="64"/>
      <c r="DPW59" s="64"/>
      <c r="DPX59" s="64"/>
      <c r="DPY59" s="64"/>
      <c r="DPZ59" s="64"/>
      <c r="DQA59" s="64"/>
      <c r="DQB59" s="64"/>
      <c r="DQC59" s="64"/>
      <c r="DQD59" s="64"/>
      <c r="DQE59" s="64"/>
      <c r="DQF59" s="64"/>
      <c r="DQG59" s="64"/>
      <c r="DQH59" s="64"/>
      <c r="DQI59" s="64"/>
      <c r="DQJ59" s="64"/>
      <c r="DQK59" s="64"/>
      <c r="DQL59" s="64"/>
      <c r="DQM59" s="64"/>
      <c r="DQN59" s="64"/>
      <c r="DQO59" s="64"/>
      <c r="DQP59" s="64"/>
      <c r="DQQ59" s="64"/>
      <c r="DQR59" s="64"/>
      <c r="DQS59" s="64"/>
      <c r="DQT59" s="64"/>
      <c r="DQU59" s="64"/>
      <c r="DQV59" s="64"/>
      <c r="DQW59" s="64"/>
      <c r="DQX59" s="64"/>
      <c r="DQY59" s="64"/>
      <c r="DQZ59" s="64"/>
      <c r="DRA59" s="64"/>
      <c r="DRB59" s="64"/>
      <c r="DRC59" s="64"/>
      <c r="DRD59" s="64"/>
      <c r="DRE59" s="64"/>
      <c r="DRF59" s="64"/>
      <c r="DRG59" s="64"/>
      <c r="DRH59" s="64"/>
      <c r="DRI59" s="64"/>
      <c r="DRJ59" s="64"/>
      <c r="DRK59" s="64"/>
      <c r="DRL59" s="64"/>
      <c r="DRM59" s="64"/>
      <c r="DRN59" s="64"/>
      <c r="DRO59" s="64"/>
      <c r="DRP59" s="64"/>
      <c r="DRQ59" s="64"/>
      <c r="DRR59" s="64"/>
      <c r="DRS59" s="64"/>
      <c r="DRT59" s="64"/>
      <c r="DRU59" s="64"/>
      <c r="DRV59" s="64"/>
      <c r="DRW59" s="64"/>
      <c r="DRX59" s="64"/>
      <c r="DRY59" s="64"/>
      <c r="DRZ59" s="64"/>
      <c r="DSA59" s="64"/>
      <c r="DSB59" s="64"/>
      <c r="DSC59" s="64"/>
      <c r="DSD59" s="64"/>
      <c r="DSE59" s="64"/>
      <c r="DSF59" s="64"/>
      <c r="DSG59" s="64"/>
      <c r="DSH59" s="64"/>
      <c r="DSI59" s="64"/>
      <c r="DSJ59" s="64"/>
      <c r="DSK59" s="64"/>
      <c r="DSL59" s="64"/>
      <c r="DSM59" s="64"/>
      <c r="DSN59" s="64"/>
      <c r="DSO59" s="64"/>
      <c r="DSP59" s="64"/>
      <c r="DSQ59" s="64"/>
      <c r="DSR59" s="64"/>
      <c r="DSS59" s="64"/>
      <c r="DST59" s="64"/>
      <c r="DSU59" s="64"/>
      <c r="DSV59" s="64"/>
      <c r="DSW59" s="64"/>
      <c r="DSX59" s="64"/>
      <c r="DSY59" s="64"/>
      <c r="DSZ59" s="64"/>
      <c r="DTA59" s="64"/>
      <c r="DTB59" s="64"/>
      <c r="DTC59" s="64"/>
      <c r="DTD59" s="64"/>
      <c r="DTE59" s="64"/>
      <c r="DTF59" s="64"/>
      <c r="DTG59" s="64"/>
      <c r="DTH59" s="64"/>
      <c r="DTI59" s="64"/>
      <c r="DTJ59" s="64"/>
      <c r="DTK59" s="64"/>
      <c r="DTL59" s="64"/>
      <c r="DTM59" s="64"/>
      <c r="DTN59" s="64"/>
      <c r="DTO59" s="64"/>
      <c r="DTP59" s="64"/>
      <c r="DTQ59" s="64"/>
      <c r="DTR59" s="64"/>
      <c r="DTS59" s="64"/>
      <c r="DTT59" s="64"/>
      <c r="DTU59" s="64"/>
      <c r="DTV59" s="64"/>
      <c r="DTW59" s="64"/>
      <c r="DTX59" s="64"/>
      <c r="DTY59" s="64"/>
      <c r="DTZ59" s="64"/>
      <c r="DUA59" s="64"/>
      <c r="DUB59" s="64"/>
      <c r="DUC59" s="64"/>
      <c r="DUD59" s="64"/>
      <c r="DUE59" s="64"/>
      <c r="DUF59" s="64"/>
      <c r="DUG59" s="64"/>
      <c r="DUH59" s="64"/>
      <c r="DUI59" s="64"/>
      <c r="DUJ59" s="64"/>
      <c r="DUK59" s="64"/>
      <c r="DUL59" s="64"/>
      <c r="DUM59" s="64"/>
      <c r="DUN59" s="64"/>
      <c r="DUO59" s="64"/>
      <c r="DUP59" s="64"/>
      <c r="DUQ59" s="64"/>
      <c r="DUR59" s="64"/>
      <c r="DUS59" s="64"/>
      <c r="DUT59" s="64"/>
      <c r="DUU59" s="64"/>
      <c r="DUV59" s="64"/>
      <c r="DUW59" s="64"/>
      <c r="DUX59" s="64"/>
      <c r="DUY59" s="64"/>
      <c r="DUZ59" s="64"/>
      <c r="DVA59" s="64"/>
      <c r="DVB59" s="64"/>
      <c r="DVC59" s="64"/>
      <c r="DVD59" s="64"/>
      <c r="DVE59" s="64"/>
      <c r="DVF59" s="64"/>
      <c r="DVG59" s="64"/>
      <c r="DVH59" s="64"/>
      <c r="DVI59" s="64"/>
      <c r="DVJ59" s="64"/>
      <c r="DVK59" s="64"/>
      <c r="DVL59" s="64"/>
      <c r="DVM59" s="64"/>
      <c r="DVN59" s="64"/>
      <c r="DVO59" s="64"/>
      <c r="DVP59" s="64"/>
      <c r="DVQ59" s="64"/>
      <c r="DVR59" s="64"/>
      <c r="DVS59" s="64"/>
      <c r="DVT59" s="64"/>
      <c r="DVU59" s="64"/>
      <c r="DVV59" s="64"/>
      <c r="DVW59" s="64"/>
      <c r="DVX59" s="64"/>
      <c r="DVY59" s="64"/>
      <c r="DVZ59" s="64"/>
      <c r="DWA59" s="64"/>
      <c r="DWB59" s="64"/>
      <c r="DWC59" s="64"/>
      <c r="DWD59" s="64"/>
      <c r="DWE59" s="64"/>
      <c r="DWF59" s="64"/>
      <c r="DWG59" s="64"/>
      <c r="DWH59" s="64"/>
      <c r="DWI59" s="64"/>
      <c r="DWJ59" s="64"/>
      <c r="DWK59" s="64"/>
      <c r="DWL59" s="64"/>
      <c r="DWM59" s="64"/>
      <c r="DWN59" s="64"/>
      <c r="DWO59" s="64"/>
      <c r="DWP59" s="64"/>
      <c r="DWQ59" s="64"/>
      <c r="DWR59" s="64"/>
      <c r="DWS59" s="64"/>
      <c r="DWT59" s="64"/>
      <c r="DWU59" s="64"/>
      <c r="DWV59" s="64"/>
      <c r="DWW59" s="64"/>
      <c r="DWX59" s="64"/>
      <c r="DWY59" s="64"/>
      <c r="DWZ59" s="64"/>
      <c r="DXA59" s="64"/>
      <c r="DXB59" s="64"/>
      <c r="DXC59" s="64"/>
      <c r="DXD59" s="64"/>
      <c r="DXE59" s="64"/>
      <c r="DXF59" s="64"/>
      <c r="DXG59" s="64"/>
      <c r="DXH59" s="64"/>
      <c r="DXI59" s="64"/>
      <c r="DXJ59" s="64"/>
      <c r="DXK59" s="64"/>
      <c r="DXL59" s="64"/>
      <c r="DXM59" s="64"/>
      <c r="DXN59" s="64"/>
      <c r="DXO59" s="64"/>
      <c r="DXP59" s="64"/>
      <c r="DXQ59" s="64"/>
      <c r="DXR59" s="64"/>
      <c r="DXS59" s="64"/>
      <c r="DXT59" s="64"/>
      <c r="DXU59" s="64"/>
      <c r="DXV59" s="64"/>
      <c r="DXW59" s="64"/>
      <c r="DXX59" s="64"/>
      <c r="DXY59" s="64"/>
      <c r="DXZ59" s="64"/>
      <c r="DYA59" s="64"/>
      <c r="DYB59" s="64"/>
      <c r="DYC59" s="64"/>
      <c r="DYD59" s="64"/>
      <c r="DYE59" s="64"/>
      <c r="DYF59" s="64"/>
      <c r="DYG59" s="64"/>
      <c r="DYH59" s="64"/>
      <c r="DYI59" s="64"/>
      <c r="DYJ59" s="64"/>
      <c r="DYK59" s="64"/>
      <c r="DYL59" s="64"/>
      <c r="DYM59" s="64"/>
      <c r="DYN59" s="64"/>
      <c r="DYO59" s="64"/>
      <c r="DYP59" s="64"/>
      <c r="DYQ59" s="64"/>
      <c r="DYR59" s="64"/>
      <c r="DYS59" s="64"/>
      <c r="DYT59" s="64"/>
      <c r="DYU59" s="64"/>
      <c r="DYV59" s="64"/>
      <c r="DYW59" s="64"/>
      <c r="DYX59" s="64"/>
      <c r="DYY59" s="64"/>
      <c r="DYZ59" s="64"/>
      <c r="DZA59" s="64"/>
      <c r="DZB59" s="64"/>
      <c r="DZC59" s="64"/>
      <c r="DZD59" s="64"/>
      <c r="DZE59" s="64"/>
      <c r="DZF59" s="64"/>
      <c r="DZG59" s="64"/>
      <c r="DZH59" s="64"/>
      <c r="DZI59" s="64"/>
      <c r="DZJ59" s="64"/>
      <c r="DZK59" s="64"/>
      <c r="DZL59" s="64"/>
      <c r="DZM59" s="64"/>
      <c r="DZN59" s="64"/>
      <c r="DZO59" s="64"/>
      <c r="DZP59" s="64"/>
      <c r="DZQ59" s="64"/>
      <c r="DZR59" s="64"/>
      <c r="DZS59" s="64"/>
      <c r="DZT59" s="64"/>
      <c r="DZU59" s="64"/>
      <c r="DZV59" s="64"/>
      <c r="DZW59" s="64"/>
      <c r="DZX59" s="64"/>
      <c r="DZY59" s="64"/>
      <c r="DZZ59" s="64"/>
      <c r="EAA59" s="64"/>
      <c r="EAB59" s="64"/>
      <c r="EAC59" s="64"/>
      <c r="EAD59" s="64"/>
      <c r="EAE59" s="64"/>
      <c r="EAF59" s="64"/>
      <c r="EAG59" s="64"/>
      <c r="EAH59" s="64"/>
      <c r="EAI59" s="64"/>
      <c r="EAJ59" s="64"/>
      <c r="EAK59" s="64"/>
      <c r="EAL59" s="64"/>
      <c r="EAM59" s="64"/>
      <c r="EAN59" s="64"/>
      <c r="EAO59" s="64"/>
      <c r="EAP59" s="64"/>
      <c r="EAQ59" s="64"/>
      <c r="EAR59" s="64"/>
      <c r="EAS59" s="64"/>
      <c r="EAT59" s="64"/>
      <c r="EAU59" s="64"/>
      <c r="EAV59" s="64"/>
      <c r="EAW59" s="64"/>
      <c r="EAX59" s="64"/>
      <c r="EAY59" s="64"/>
      <c r="EAZ59" s="64"/>
      <c r="EBA59" s="64"/>
      <c r="EBB59" s="64"/>
      <c r="EBC59" s="64"/>
      <c r="EBD59" s="64"/>
      <c r="EBE59" s="64"/>
      <c r="EBF59" s="64"/>
      <c r="EBG59" s="64"/>
      <c r="EBH59" s="64"/>
      <c r="EBI59" s="64"/>
      <c r="EBJ59" s="64"/>
      <c r="EBK59" s="64"/>
      <c r="EBL59" s="64"/>
      <c r="EBM59" s="64"/>
      <c r="EBN59" s="64"/>
      <c r="EBO59" s="64"/>
      <c r="EBP59" s="64"/>
      <c r="EBQ59" s="64"/>
      <c r="EBR59" s="64"/>
      <c r="EBS59" s="64"/>
      <c r="EBT59" s="64"/>
      <c r="EBU59" s="64"/>
      <c r="EBV59" s="64"/>
      <c r="EBW59" s="64"/>
      <c r="EBX59" s="64"/>
      <c r="EBY59" s="64"/>
      <c r="EBZ59" s="64"/>
      <c r="ECA59" s="64"/>
      <c r="ECB59" s="64"/>
      <c r="ECC59" s="64"/>
      <c r="ECD59" s="64"/>
      <c r="ECE59" s="64"/>
      <c r="ECF59" s="64"/>
      <c r="ECG59" s="64"/>
      <c r="ECH59" s="64"/>
      <c r="ECI59" s="64"/>
      <c r="ECJ59" s="64"/>
      <c r="ECK59" s="64"/>
      <c r="ECL59" s="64"/>
      <c r="ECM59" s="64"/>
      <c r="ECN59" s="64"/>
      <c r="ECO59" s="64"/>
      <c r="ECP59" s="64"/>
      <c r="ECQ59" s="64"/>
      <c r="ECR59" s="64"/>
      <c r="ECS59" s="64"/>
      <c r="ECT59" s="64"/>
      <c r="ECU59" s="64"/>
      <c r="ECV59" s="64"/>
      <c r="ECW59" s="64"/>
      <c r="ECX59" s="64"/>
      <c r="ECY59" s="64"/>
      <c r="ECZ59" s="64"/>
      <c r="EDA59" s="64"/>
      <c r="EDB59" s="64"/>
      <c r="EDC59" s="64"/>
      <c r="EDD59" s="64"/>
      <c r="EDE59" s="64"/>
      <c r="EDF59" s="64"/>
      <c r="EDG59" s="64"/>
      <c r="EDH59" s="64"/>
      <c r="EDI59" s="64"/>
      <c r="EDJ59" s="64"/>
      <c r="EDK59" s="64"/>
      <c r="EDL59" s="64"/>
      <c r="EDM59" s="64"/>
      <c r="EDN59" s="64"/>
      <c r="EDO59" s="64"/>
      <c r="EDP59" s="64"/>
      <c r="EDQ59" s="64"/>
      <c r="EDR59" s="64"/>
      <c r="EDS59" s="64"/>
      <c r="EDT59" s="64"/>
      <c r="EDU59" s="64"/>
      <c r="EDV59" s="64"/>
      <c r="EDW59" s="64"/>
      <c r="EDX59" s="64"/>
      <c r="EDY59" s="64"/>
      <c r="EDZ59" s="64"/>
      <c r="EEA59" s="64"/>
      <c r="EEB59" s="64"/>
      <c r="EEC59" s="64"/>
      <c r="EED59" s="64"/>
      <c r="EEE59" s="64"/>
      <c r="EEF59" s="64"/>
      <c r="EEG59" s="64"/>
      <c r="EEH59" s="64"/>
      <c r="EEI59" s="64"/>
      <c r="EEJ59" s="64"/>
      <c r="EEK59" s="64"/>
      <c r="EEL59" s="64"/>
      <c r="EEM59" s="64"/>
      <c r="EEN59" s="64"/>
      <c r="EEO59" s="64"/>
      <c r="EEP59" s="64"/>
      <c r="EEQ59" s="64"/>
      <c r="EER59" s="64"/>
      <c r="EES59" s="64"/>
      <c r="EET59" s="64"/>
      <c r="EEU59" s="64"/>
      <c r="EEV59" s="64"/>
      <c r="EEW59" s="64"/>
      <c r="EEX59" s="64"/>
      <c r="EEY59" s="64"/>
      <c r="EEZ59" s="64"/>
      <c r="EFA59" s="64"/>
      <c r="EFB59" s="64"/>
      <c r="EFC59" s="64"/>
      <c r="EFD59" s="64"/>
      <c r="EFE59" s="64"/>
      <c r="EFF59" s="64"/>
      <c r="EFG59" s="64"/>
      <c r="EFH59" s="64"/>
      <c r="EFI59" s="64"/>
      <c r="EFJ59" s="64"/>
      <c r="EFK59" s="64"/>
      <c r="EFL59" s="64"/>
      <c r="EFM59" s="64"/>
      <c r="EFN59" s="64"/>
      <c r="EFO59" s="64"/>
      <c r="EFP59" s="64"/>
      <c r="EFQ59" s="64"/>
      <c r="EFR59" s="64"/>
      <c r="EFS59" s="64"/>
      <c r="EFT59" s="64"/>
      <c r="EFU59" s="64"/>
      <c r="EFV59" s="64"/>
      <c r="EFW59" s="64"/>
      <c r="EFX59" s="64"/>
      <c r="EFY59" s="64"/>
      <c r="EFZ59" s="64"/>
      <c r="EGA59" s="64"/>
      <c r="EGB59" s="64"/>
      <c r="EGC59" s="64"/>
      <c r="EGD59" s="64"/>
      <c r="EGE59" s="64"/>
      <c r="EGF59" s="64"/>
      <c r="EGG59" s="64"/>
      <c r="EGH59" s="64"/>
      <c r="EGI59" s="64"/>
      <c r="EGJ59" s="64"/>
      <c r="EGK59" s="64"/>
      <c r="EGL59" s="64"/>
      <c r="EGM59" s="64"/>
      <c r="EGN59" s="64"/>
      <c r="EGO59" s="64"/>
      <c r="EGP59" s="64"/>
      <c r="EGQ59" s="64"/>
      <c r="EGR59" s="64"/>
      <c r="EGS59" s="64"/>
      <c r="EGT59" s="64"/>
      <c r="EGU59" s="64"/>
      <c r="EGV59" s="64"/>
      <c r="EGW59" s="64"/>
      <c r="EGX59" s="64"/>
      <c r="EGY59" s="64"/>
      <c r="EGZ59" s="64"/>
      <c r="EHA59" s="64"/>
      <c r="EHB59" s="64"/>
      <c r="EHC59" s="64"/>
      <c r="EHD59" s="64"/>
      <c r="EHE59" s="64"/>
      <c r="EHF59" s="64"/>
      <c r="EHG59" s="64"/>
      <c r="EHH59" s="64"/>
      <c r="EHI59" s="64"/>
      <c r="EHJ59" s="64"/>
      <c r="EHK59" s="64"/>
      <c r="EHL59" s="64"/>
      <c r="EHM59" s="64"/>
      <c r="EHN59" s="64"/>
      <c r="EHO59" s="64"/>
      <c r="EHP59" s="64"/>
      <c r="EHQ59" s="64"/>
      <c r="EHR59" s="64"/>
      <c r="EHS59" s="64"/>
      <c r="EHT59" s="64"/>
      <c r="EHU59" s="64"/>
      <c r="EHV59" s="64"/>
      <c r="EHW59" s="64"/>
      <c r="EHX59" s="64"/>
      <c r="EHY59" s="64"/>
      <c r="EHZ59" s="64"/>
      <c r="EIA59" s="64"/>
      <c r="EIB59" s="64"/>
      <c r="EIC59" s="64"/>
      <c r="EID59" s="64"/>
      <c r="EIE59" s="64"/>
      <c r="EIF59" s="64"/>
      <c r="EIG59" s="64"/>
      <c r="EIH59" s="64"/>
      <c r="EII59" s="64"/>
      <c r="EIJ59" s="64"/>
      <c r="EIK59" s="64"/>
      <c r="EIL59" s="64"/>
      <c r="EIM59" s="64"/>
      <c r="EIN59" s="64"/>
      <c r="EIO59" s="64"/>
      <c r="EIP59" s="64"/>
      <c r="EIQ59" s="64"/>
      <c r="EIR59" s="64"/>
      <c r="EIS59" s="64"/>
      <c r="EIT59" s="64"/>
      <c r="EIU59" s="64"/>
      <c r="EIV59" s="64"/>
      <c r="EIW59" s="64"/>
      <c r="EIX59" s="64"/>
      <c r="EIY59" s="64"/>
      <c r="EIZ59" s="64"/>
      <c r="EJA59" s="64"/>
      <c r="EJB59" s="64"/>
      <c r="EJC59" s="64"/>
      <c r="EJD59" s="64"/>
      <c r="EJE59" s="64"/>
      <c r="EJF59" s="64"/>
      <c r="EJG59" s="64"/>
      <c r="EJH59" s="64"/>
      <c r="EJI59" s="64"/>
      <c r="EJJ59" s="64"/>
      <c r="EJK59" s="64"/>
      <c r="EJL59" s="64"/>
      <c r="EJM59" s="64"/>
      <c r="EJN59" s="64"/>
      <c r="EJO59" s="64"/>
      <c r="EJP59" s="64"/>
      <c r="EJQ59" s="64"/>
      <c r="EJR59" s="64"/>
      <c r="EJS59" s="64"/>
      <c r="EJT59" s="64"/>
      <c r="EJU59" s="64"/>
      <c r="EJV59" s="64"/>
      <c r="EJW59" s="64"/>
      <c r="EJX59" s="64"/>
      <c r="EJY59" s="64"/>
      <c r="EJZ59" s="64"/>
      <c r="EKA59" s="64"/>
      <c r="EKB59" s="64"/>
      <c r="EKC59" s="64"/>
      <c r="EKD59" s="64"/>
      <c r="EKE59" s="64"/>
      <c r="EKF59" s="64"/>
      <c r="EKG59" s="64"/>
      <c r="EKH59" s="64"/>
      <c r="EKI59" s="64"/>
      <c r="EKJ59" s="64"/>
      <c r="EKK59" s="64"/>
      <c r="EKL59" s="64"/>
      <c r="EKM59" s="64"/>
      <c r="EKN59" s="64"/>
      <c r="EKO59" s="64"/>
      <c r="EKP59" s="64"/>
      <c r="EKQ59" s="64"/>
      <c r="EKR59" s="64"/>
      <c r="EKS59" s="64"/>
      <c r="EKT59" s="64"/>
      <c r="EKU59" s="64"/>
      <c r="EKV59" s="64"/>
      <c r="EKW59" s="64"/>
      <c r="EKX59" s="64"/>
      <c r="EKY59" s="64"/>
      <c r="EKZ59" s="64"/>
      <c r="ELA59" s="64"/>
      <c r="ELB59" s="64"/>
      <c r="ELC59" s="64"/>
      <c r="ELD59" s="64"/>
      <c r="ELE59" s="64"/>
      <c r="ELF59" s="64"/>
      <c r="ELG59" s="64"/>
      <c r="ELH59" s="64"/>
      <c r="ELI59" s="64"/>
      <c r="ELJ59" s="64"/>
      <c r="ELK59" s="64"/>
      <c r="ELL59" s="64"/>
      <c r="ELM59" s="64"/>
      <c r="ELN59" s="64"/>
      <c r="ELO59" s="64"/>
      <c r="ELP59" s="64"/>
      <c r="ELQ59" s="64"/>
      <c r="ELR59" s="64"/>
      <c r="ELS59" s="64"/>
      <c r="ELT59" s="64"/>
      <c r="ELU59" s="64"/>
      <c r="ELV59" s="64"/>
      <c r="ELW59" s="64"/>
      <c r="ELX59" s="64"/>
      <c r="ELY59" s="64"/>
      <c r="ELZ59" s="64"/>
      <c r="EMA59" s="64"/>
      <c r="EMB59" s="64"/>
      <c r="EMC59" s="64"/>
      <c r="EMD59" s="64"/>
      <c r="EME59" s="64"/>
      <c r="EMF59" s="64"/>
      <c r="EMG59" s="64"/>
      <c r="EMH59" s="64"/>
      <c r="EMI59" s="64"/>
      <c r="EMJ59" s="64"/>
      <c r="EMK59" s="64"/>
      <c r="EML59" s="64"/>
      <c r="EMM59" s="64"/>
      <c r="EMN59" s="64"/>
      <c r="EMO59" s="64"/>
      <c r="EMP59" s="64"/>
      <c r="EMQ59" s="64"/>
      <c r="EMR59" s="64"/>
      <c r="EMS59" s="64"/>
      <c r="EMT59" s="64"/>
      <c r="EMU59" s="64"/>
      <c r="EMV59" s="64"/>
      <c r="EMW59" s="64"/>
      <c r="EMX59" s="64"/>
      <c r="EMY59" s="64"/>
      <c r="EMZ59" s="64"/>
      <c r="ENA59" s="64"/>
      <c r="ENB59" s="64"/>
      <c r="ENC59" s="64"/>
      <c r="END59" s="64"/>
      <c r="ENE59" s="64"/>
      <c r="ENF59" s="64"/>
      <c r="ENG59" s="64"/>
      <c r="ENH59" s="64"/>
      <c r="ENI59" s="64"/>
      <c r="ENJ59" s="64"/>
      <c r="ENK59" s="64"/>
      <c r="ENL59" s="64"/>
      <c r="ENM59" s="64"/>
      <c r="ENN59" s="64"/>
      <c r="ENO59" s="64"/>
      <c r="ENP59" s="64"/>
      <c r="ENQ59" s="64"/>
      <c r="ENR59" s="64"/>
      <c r="ENS59" s="64"/>
      <c r="ENT59" s="64"/>
      <c r="ENU59" s="64"/>
      <c r="ENV59" s="64"/>
      <c r="ENW59" s="64"/>
      <c r="ENX59" s="64"/>
      <c r="ENY59" s="64"/>
      <c r="ENZ59" s="64"/>
      <c r="EOA59" s="64"/>
      <c r="EOB59" s="64"/>
      <c r="EOC59" s="64"/>
      <c r="EOD59" s="64"/>
      <c r="EOE59" s="64"/>
      <c r="EOF59" s="64"/>
      <c r="EOG59" s="64"/>
      <c r="EOH59" s="64"/>
      <c r="EOI59" s="64"/>
      <c r="EOJ59" s="64"/>
      <c r="EOK59" s="64"/>
      <c r="EOL59" s="64"/>
      <c r="EOM59" s="64"/>
      <c r="EON59" s="64"/>
      <c r="EOO59" s="64"/>
      <c r="EOP59" s="64"/>
      <c r="EOQ59" s="64"/>
      <c r="EOR59" s="64"/>
      <c r="EOS59" s="64"/>
      <c r="EOT59" s="64"/>
      <c r="EOU59" s="64"/>
      <c r="EOV59" s="64"/>
      <c r="EOW59" s="64"/>
      <c r="EOX59" s="64"/>
      <c r="EOY59" s="64"/>
      <c r="EOZ59" s="64"/>
      <c r="EPA59" s="64"/>
      <c r="EPB59" s="64"/>
      <c r="EPC59" s="64"/>
      <c r="EPD59" s="64"/>
      <c r="EPE59" s="64"/>
      <c r="EPF59" s="64"/>
      <c r="EPG59" s="64"/>
      <c r="EPH59" s="64"/>
      <c r="EPI59" s="64"/>
      <c r="EPJ59" s="64"/>
      <c r="EPK59" s="64"/>
      <c r="EPL59" s="64"/>
      <c r="EPM59" s="64"/>
      <c r="EPN59" s="64"/>
      <c r="EPO59" s="64"/>
      <c r="EPP59" s="64"/>
      <c r="EPQ59" s="64"/>
      <c r="EPR59" s="64"/>
      <c r="EPS59" s="64"/>
      <c r="EPT59" s="64"/>
      <c r="EPU59" s="64"/>
      <c r="EPV59" s="64"/>
      <c r="EPW59" s="64"/>
      <c r="EPX59" s="64"/>
      <c r="EPY59" s="64"/>
      <c r="EPZ59" s="64"/>
      <c r="EQA59" s="64"/>
      <c r="EQB59" s="64"/>
      <c r="EQC59" s="64"/>
      <c r="EQD59" s="64"/>
      <c r="EQE59" s="64"/>
      <c r="EQF59" s="64"/>
      <c r="EQG59" s="64"/>
      <c r="EQH59" s="64"/>
      <c r="EQI59" s="64"/>
      <c r="EQJ59" s="64"/>
      <c r="EQK59" s="64"/>
      <c r="EQL59" s="64"/>
      <c r="EQM59" s="64"/>
      <c r="EQN59" s="64"/>
      <c r="EQO59" s="64"/>
      <c r="EQP59" s="64"/>
      <c r="EQQ59" s="64"/>
      <c r="EQR59" s="64"/>
      <c r="EQS59" s="64"/>
      <c r="EQT59" s="64"/>
      <c r="EQU59" s="64"/>
      <c r="EQV59" s="64"/>
      <c r="EQW59" s="64"/>
      <c r="EQX59" s="64"/>
      <c r="EQY59" s="64"/>
      <c r="EQZ59" s="64"/>
      <c r="ERA59" s="64"/>
      <c r="ERB59" s="64"/>
      <c r="ERC59" s="64"/>
      <c r="ERD59" s="64"/>
      <c r="ERE59" s="64"/>
      <c r="ERF59" s="64"/>
      <c r="ERG59" s="64"/>
      <c r="ERH59" s="64"/>
      <c r="ERI59" s="64"/>
      <c r="ERJ59" s="64"/>
      <c r="ERK59" s="64"/>
      <c r="ERL59" s="64"/>
      <c r="ERM59" s="64"/>
      <c r="ERN59" s="64"/>
      <c r="ERO59" s="64"/>
      <c r="ERP59" s="64"/>
      <c r="ERQ59" s="64"/>
      <c r="ERR59" s="64"/>
      <c r="ERS59" s="64"/>
      <c r="ERT59" s="64"/>
      <c r="ERU59" s="64"/>
      <c r="ERV59" s="64"/>
      <c r="ERW59" s="64"/>
      <c r="ERX59" s="64"/>
      <c r="ERY59" s="64"/>
      <c r="ERZ59" s="64"/>
      <c r="ESA59" s="64"/>
      <c r="ESB59" s="64"/>
      <c r="ESC59" s="64"/>
      <c r="ESD59" s="64"/>
      <c r="ESE59" s="64"/>
      <c r="ESF59" s="64"/>
      <c r="ESG59" s="64"/>
      <c r="ESH59" s="64"/>
      <c r="ESI59" s="64"/>
      <c r="ESJ59" s="64"/>
      <c r="ESK59" s="64"/>
      <c r="ESL59" s="64"/>
      <c r="ESM59" s="64"/>
      <c r="ESN59" s="64"/>
      <c r="ESO59" s="64"/>
      <c r="ESP59" s="64"/>
      <c r="ESQ59" s="64"/>
      <c r="ESR59" s="64"/>
      <c r="ESS59" s="64"/>
      <c r="EST59" s="64"/>
      <c r="ESU59" s="64"/>
      <c r="ESV59" s="64"/>
      <c r="ESW59" s="64"/>
      <c r="ESX59" s="64"/>
      <c r="ESY59" s="64"/>
      <c r="ESZ59" s="64"/>
      <c r="ETA59" s="64"/>
      <c r="ETB59" s="64"/>
      <c r="ETC59" s="64"/>
      <c r="ETD59" s="64"/>
      <c r="ETE59" s="64"/>
      <c r="ETF59" s="64"/>
      <c r="ETG59" s="64"/>
      <c r="ETH59" s="64"/>
      <c r="ETI59" s="64"/>
      <c r="ETJ59" s="64"/>
      <c r="ETK59" s="64"/>
      <c r="ETL59" s="64"/>
      <c r="ETM59" s="64"/>
      <c r="ETN59" s="64"/>
      <c r="ETO59" s="64"/>
      <c r="ETP59" s="64"/>
      <c r="ETQ59" s="64"/>
      <c r="ETR59" s="64"/>
      <c r="ETS59" s="64"/>
      <c r="ETT59" s="64"/>
      <c r="ETU59" s="64"/>
      <c r="ETV59" s="64"/>
      <c r="ETW59" s="64"/>
      <c r="ETX59" s="64"/>
      <c r="ETY59" s="64"/>
      <c r="ETZ59" s="64"/>
      <c r="EUA59" s="64"/>
      <c r="EUB59" s="64"/>
      <c r="EUC59" s="64"/>
      <c r="EUD59" s="64"/>
      <c r="EUE59" s="64"/>
      <c r="EUF59" s="64"/>
      <c r="EUG59" s="64"/>
      <c r="EUH59" s="64"/>
      <c r="EUI59" s="64"/>
      <c r="EUJ59" s="64"/>
      <c r="EUK59" s="64"/>
      <c r="EUL59" s="64"/>
      <c r="EUM59" s="64"/>
      <c r="EUN59" s="64"/>
      <c r="EUO59" s="64"/>
      <c r="EUP59" s="64"/>
      <c r="EUQ59" s="64"/>
      <c r="EUR59" s="64"/>
      <c r="EUS59" s="64"/>
      <c r="EUT59" s="64"/>
      <c r="EUU59" s="64"/>
      <c r="EUV59" s="64"/>
      <c r="EUW59" s="64"/>
      <c r="EUX59" s="64"/>
      <c r="EUY59" s="64"/>
      <c r="EUZ59" s="64"/>
      <c r="EVA59" s="64"/>
      <c r="EVB59" s="64"/>
      <c r="EVC59" s="64"/>
      <c r="EVD59" s="64"/>
      <c r="EVE59" s="64"/>
      <c r="EVF59" s="64"/>
      <c r="EVG59" s="64"/>
      <c r="EVH59" s="64"/>
      <c r="EVI59" s="64"/>
      <c r="EVJ59" s="64"/>
      <c r="EVK59" s="64"/>
      <c r="EVL59" s="64"/>
      <c r="EVM59" s="64"/>
      <c r="EVN59" s="64"/>
      <c r="EVO59" s="64"/>
      <c r="EVP59" s="64"/>
      <c r="EVQ59" s="64"/>
      <c r="EVR59" s="64"/>
      <c r="EVS59" s="64"/>
      <c r="EVT59" s="64"/>
      <c r="EVU59" s="64"/>
      <c r="EVV59" s="64"/>
      <c r="EVW59" s="64"/>
      <c r="EVX59" s="64"/>
      <c r="EVY59" s="64"/>
      <c r="EVZ59" s="64"/>
      <c r="EWA59" s="64"/>
      <c r="EWB59" s="64"/>
      <c r="EWC59" s="64"/>
      <c r="EWD59" s="64"/>
      <c r="EWE59" s="64"/>
      <c r="EWF59" s="64"/>
      <c r="EWG59" s="64"/>
      <c r="EWH59" s="64"/>
      <c r="EWI59" s="64"/>
      <c r="EWJ59" s="64"/>
      <c r="EWK59" s="64"/>
      <c r="EWL59" s="64"/>
      <c r="EWM59" s="64"/>
      <c r="EWN59" s="64"/>
      <c r="EWO59" s="64"/>
      <c r="EWP59" s="64"/>
      <c r="EWQ59" s="64"/>
      <c r="EWR59" s="64"/>
      <c r="EWS59" s="64"/>
      <c r="EWT59" s="64"/>
      <c r="EWU59" s="64"/>
      <c r="EWV59" s="64"/>
      <c r="EWW59" s="64"/>
      <c r="EWX59" s="64"/>
      <c r="EWY59" s="64"/>
      <c r="EWZ59" s="64"/>
      <c r="EXA59" s="64"/>
      <c r="EXB59" s="64"/>
      <c r="EXC59" s="64"/>
      <c r="EXD59" s="64"/>
      <c r="EXE59" s="64"/>
      <c r="EXF59" s="64"/>
      <c r="EXG59" s="64"/>
      <c r="EXH59" s="64"/>
      <c r="EXI59" s="64"/>
      <c r="EXJ59" s="64"/>
      <c r="EXK59" s="64"/>
      <c r="EXL59" s="64"/>
      <c r="EXM59" s="64"/>
      <c r="EXN59" s="64"/>
      <c r="EXO59" s="64"/>
      <c r="EXP59" s="64"/>
      <c r="EXQ59" s="64"/>
      <c r="EXR59" s="64"/>
      <c r="EXS59" s="64"/>
      <c r="EXT59" s="64"/>
      <c r="EXU59" s="64"/>
      <c r="EXV59" s="64"/>
      <c r="EXW59" s="64"/>
      <c r="EXX59" s="64"/>
      <c r="EXY59" s="64"/>
      <c r="EXZ59" s="64"/>
      <c r="EYA59" s="64"/>
      <c r="EYB59" s="64"/>
      <c r="EYC59" s="64"/>
      <c r="EYD59" s="64"/>
      <c r="EYE59" s="64"/>
      <c r="EYF59" s="64"/>
      <c r="EYG59" s="64"/>
      <c r="EYH59" s="64"/>
      <c r="EYI59" s="64"/>
      <c r="EYJ59" s="64"/>
      <c r="EYK59" s="64"/>
      <c r="EYL59" s="64"/>
      <c r="EYM59" s="64"/>
      <c r="EYN59" s="64"/>
      <c r="EYO59" s="64"/>
      <c r="EYP59" s="64"/>
      <c r="EYQ59" s="64"/>
      <c r="EYR59" s="64"/>
      <c r="EYS59" s="64"/>
      <c r="EYT59" s="64"/>
      <c r="EYU59" s="64"/>
      <c r="EYV59" s="64"/>
      <c r="EYW59" s="64"/>
      <c r="EYX59" s="64"/>
      <c r="EYY59" s="64"/>
      <c r="EYZ59" s="64"/>
      <c r="EZA59" s="64"/>
      <c r="EZB59" s="64"/>
      <c r="EZC59" s="64"/>
      <c r="EZD59" s="64"/>
      <c r="EZE59" s="64"/>
      <c r="EZF59" s="64"/>
      <c r="EZG59" s="64"/>
      <c r="EZH59" s="64"/>
      <c r="EZI59" s="64"/>
      <c r="EZJ59" s="64"/>
      <c r="EZK59" s="64"/>
      <c r="EZL59" s="64"/>
      <c r="EZM59" s="64"/>
      <c r="EZN59" s="64"/>
      <c r="EZO59" s="64"/>
      <c r="EZP59" s="64"/>
      <c r="EZQ59" s="64"/>
      <c r="EZR59" s="64"/>
      <c r="EZS59" s="64"/>
      <c r="EZT59" s="64"/>
      <c r="EZU59" s="64"/>
      <c r="EZV59" s="64"/>
      <c r="EZW59" s="64"/>
      <c r="EZX59" s="64"/>
      <c r="EZY59" s="64"/>
      <c r="EZZ59" s="64"/>
      <c r="FAA59" s="64"/>
      <c r="FAB59" s="64"/>
      <c r="FAC59" s="64"/>
      <c r="FAD59" s="64"/>
      <c r="FAE59" s="64"/>
      <c r="FAF59" s="64"/>
      <c r="FAG59" s="64"/>
      <c r="FAH59" s="64"/>
      <c r="FAI59" s="64"/>
      <c r="FAJ59" s="64"/>
      <c r="FAK59" s="64"/>
      <c r="FAL59" s="64"/>
      <c r="FAM59" s="64"/>
      <c r="FAN59" s="64"/>
      <c r="FAO59" s="64"/>
      <c r="FAP59" s="64"/>
      <c r="FAQ59" s="64"/>
      <c r="FAR59" s="64"/>
      <c r="FAS59" s="64"/>
      <c r="FAT59" s="64"/>
      <c r="FAU59" s="64"/>
      <c r="FAV59" s="64"/>
      <c r="FAW59" s="64"/>
      <c r="FAX59" s="64"/>
      <c r="FAY59" s="64"/>
      <c r="FAZ59" s="64"/>
      <c r="FBA59" s="64"/>
      <c r="FBB59" s="64"/>
      <c r="FBC59" s="64"/>
      <c r="FBD59" s="64"/>
      <c r="FBE59" s="64"/>
      <c r="FBF59" s="64"/>
      <c r="FBG59" s="64"/>
      <c r="FBH59" s="64"/>
      <c r="FBI59" s="64"/>
      <c r="FBJ59" s="64"/>
      <c r="FBK59" s="64"/>
      <c r="FBL59" s="64"/>
      <c r="FBM59" s="64"/>
      <c r="FBN59" s="64"/>
      <c r="FBO59" s="64"/>
      <c r="FBP59" s="64"/>
      <c r="FBQ59" s="64"/>
      <c r="FBR59" s="64"/>
      <c r="FBS59" s="64"/>
      <c r="FBT59" s="64"/>
      <c r="FBU59" s="64"/>
      <c r="FBV59" s="64"/>
      <c r="FBW59" s="64"/>
      <c r="FBX59" s="64"/>
      <c r="FBY59" s="64"/>
      <c r="FBZ59" s="64"/>
      <c r="FCA59" s="64"/>
      <c r="FCB59" s="64"/>
      <c r="FCC59" s="64"/>
      <c r="FCD59" s="64"/>
      <c r="FCE59" s="64"/>
      <c r="FCF59" s="64"/>
      <c r="FCG59" s="64"/>
      <c r="FCH59" s="64"/>
      <c r="FCI59" s="64"/>
      <c r="FCJ59" s="64"/>
      <c r="FCK59" s="64"/>
      <c r="FCL59" s="64"/>
      <c r="FCM59" s="64"/>
      <c r="FCN59" s="64"/>
      <c r="FCO59" s="64"/>
      <c r="FCP59" s="64"/>
      <c r="FCQ59" s="64"/>
      <c r="FCR59" s="64"/>
      <c r="FCS59" s="64"/>
      <c r="FCT59" s="64"/>
      <c r="FCU59" s="64"/>
      <c r="FCV59" s="64"/>
      <c r="FCW59" s="64"/>
      <c r="FCX59" s="64"/>
      <c r="FCY59" s="64"/>
      <c r="FCZ59" s="64"/>
      <c r="FDA59" s="64"/>
      <c r="FDB59" s="64"/>
      <c r="FDC59" s="64"/>
      <c r="FDD59" s="64"/>
      <c r="FDE59" s="64"/>
      <c r="FDF59" s="64"/>
      <c r="FDG59" s="64"/>
      <c r="FDH59" s="64"/>
      <c r="FDI59" s="64"/>
      <c r="FDJ59" s="64"/>
      <c r="FDK59" s="64"/>
      <c r="FDL59" s="64"/>
      <c r="FDM59" s="64"/>
      <c r="FDN59" s="64"/>
      <c r="FDO59" s="64"/>
      <c r="FDP59" s="64"/>
      <c r="FDQ59" s="64"/>
      <c r="FDR59" s="64"/>
      <c r="FDS59" s="64"/>
      <c r="FDT59" s="64"/>
      <c r="FDU59" s="64"/>
      <c r="FDV59" s="64"/>
      <c r="FDW59" s="64"/>
      <c r="FDX59" s="64"/>
      <c r="FDY59" s="64"/>
      <c r="FDZ59" s="64"/>
      <c r="FEA59" s="64"/>
      <c r="FEB59" s="64"/>
      <c r="FEC59" s="64"/>
      <c r="FED59" s="64"/>
      <c r="FEE59" s="64"/>
      <c r="FEF59" s="64"/>
      <c r="FEG59" s="64"/>
      <c r="FEH59" s="64"/>
      <c r="FEI59" s="64"/>
      <c r="FEJ59" s="64"/>
      <c r="FEK59" s="64"/>
      <c r="FEL59" s="64"/>
      <c r="FEM59" s="64"/>
      <c r="FEN59" s="64"/>
      <c r="FEO59" s="64"/>
      <c r="FEP59" s="64"/>
      <c r="FEQ59" s="64"/>
      <c r="FER59" s="64"/>
      <c r="FES59" s="64"/>
      <c r="FET59" s="64"/>
      <c r="FEU59" s="64"/>
      <c r="FEV59" s="64"/>
      <c r="FEW59" s="64"/>
      <c r="FEX59" s="64"/>
      <c r="FEY59" s="64"/>
      <c r="FEZ59" s="64"/>
      <c r="FFA59" s="64"/>
      <c r="FFB59" s="64"/>
      <c r="FFC59" s="64"/>
      <c r="FFD59" s="64"/>
      <c r="FFE59" s="64"/>
      <c r="FFF59" s="64"/>
      <c r="FFG59" s="64"/>
      <c r="FFH59" s="64"/>
      <c r="FFI59" s="64"/>
      <c r="FFJ59" s="64"/>
      <c r="FFK59" s="64"/>
      <c r="FFL59" s="64"/>
      <c r="FFM59" s="64"/>
      <c r="FFN59" s="64"/>
      <c r="FFO59" s="64"/>
      <c r="FFP59" s="64"/>
      <c r="FFQ59" s="64"/>
      <c r="FFR59" s="64"/>
      <c r="FFS59" s="64"/>
      <c r="FFT59" s="64"/>
      <c r="FFU59" s="64"/>
      <c r="FFV59" s="64"/>
      <c r="FFW59" s="64"/>
      <c r="FFX59" s="64"/>
      <c r="FFY59" s="64"/>
      <c r="FFZ59" s="64"/>
      <c r="FGA59" s="64"/>
      <c r="FGB59" s="64"/>
      <c r="FGC59" s="64"/>
      <c r="FGD59" s="64"/>
      <c r="FGE59" s="64"/>
      <c r="FGF59" s="64"/>
      <c r="FGG59" s="64"/>
      <c r="FGH59" s="64"/>
      <c r="FGI59" s="64"/>
      <c r="FGJ59" s="64"/>
      <c r="FGK59" s="64"/>
      <c r="FGL59" s="64"/>
      <c r="FGM59" s="64"/>
      <c r="FGN59" s="64"/>
      <c r="FGO59" s="64"/>
      <c r="FGP59" s="64"/>
      <c r="FGQ59" s="64"/>
      <c r="FGR59" s="64"/>
      <c r="FGS59" s="64"/>
      <c r="FGT59" s="64"/>
      <c r="FGU59" s="64"/>
      <c r="FGV59" s="64"/>
      <c r="FGW59" s="64"/>
      <c r="FGX59" s="64"/>
      <c r="FGY59" s="64"/>
      <c r="FGZ59" s="64"/>
      <c r="FHA59" s="64"/>
      <c r="FHB59" s="64"/>
      <c r="FHC59" s="64"/>
      <c r="FHD59" s="64"/>
      <c r="FHE59" s="64"/>
      <c r="FHF59" s="64"/>
      <c r="FHG59" s="64"/>
      <c r="FHH59" s="64"/>
      <c r="FHI59" s="64"/>
      <c r="FHJ59" s="64"/>
      <c r="FHK59" s="64"/>
      <c r="FHL59" s="64"/>
      <c r="FHM59" s="64"/>
      <c r="FHN59" s="64"/>
      <c r="FHO59" s="64"/>
      <c r="FHP59" s="64"/>
      <c r="FHQ59" s="64"/>
      <c r="FHR59" s="64"/>
      <c r="FHS59" s="64"/>
      <c r="FHT59" s="64"/>
      <c r="FHU59" s="64"/>
      <c r="FHV59" s="64"/>
      <c r="FHW59" s="64"/>
      <c r="FHX59" s="64"/>
      <c r="FHY59" s="64"/>
      <c r="FHZ59" s="64"/>
      <c r="FIA59" s="64"/>
      <c r="FIB59" s="64"/>
      <c r="FIC59" s="64"/>
      <c r="FID59" s="64"/>
      <c r="FIE59" s="64"/>
      <c r="FIF59" s="64"/>
      <c r="FIG59" s="64"/>
      <c r="FIH59" s="64"/>
      <c r="FII59" s="64"/>
      <c r="FIJ59" s="64"/>
      <c r="FIK59" s="64"/>
      <c r="FIL59" s="64"/>
      <c r="FIM59" s="64"/>
      <c r="FIN59" s="64"/>
      <c r="FIO59" s="64"/>
      <c r="FIP59" s="64"/>
      <c r="FIQ59" s="64"/>
      <c r="FIR59" s="64"/>
      <c r="FIS59" s="64"/>
      <c r="FIT59" s="64"/>
      <c r="FIU59" s="64"/>
      <c r="FIV59" s="64"/>
      <c r="FIW59" s="64"/>
      <c r="FIX59" s="64"/>
      <c r="FIY59" s="64"/>
      <c r="FIZ59" s="64"/>
      <c r="FJA59" s="64"/>
      <c r="FJB59" s="64"/>
      <c r="FJC59" s="64"/>
      <c r="FJD59" s="64"/>
      <c r="FJE59" s="64"/>
      <c r="FJF59" s="64"/>
      <c r="FJG59" s="64"/>
      <c r="FJH59" s="64"/>
      <c r="FJI59" s="64"/>
      <c r="FJJ59" s="64"/>
      <c r="FJK59" s="64"/>
      <c r="FJL59" s="64"/>
      <c r="FJM59" s="64"/>
      <c r="FJN59" s="64"/>
      <c r="FJO59" s="64"/>
      <c r="FJP59" s="64"/>
      <c r="FJQ59" s="64"/>
      <c r="FJR59" s="64"/>
      <c r="FJS59" s="64"/>
      <c r="FJT59" s="64"/>
      <c r="FJU59" s="64"/>
      <c r="FJV59" s="64"/>
      <c r="FJW59" s="64"/>
      <c r="FJX59" s="64"/>
      <c r="FJY59" s="64"/>
      <c r="FJZ59" s="64"/>
      <c r="FKA59" s="64"/>
      <c r="FKB59" s="64"/>
      <c r="FKC59" s="64"/>
      <c r="FKD59" s="64"/>
      <c r="FKE59" s="64"/>
      <c r="FKF59" s="64"/>
      <c r="FKG59" s="64"/>
      <c r="FKH59" s="64"/>
      <c r="FKI59" s="64"/>
      <c r="FKJ59" s="64"/>
      <c r="FKK59" s="64"/>
      <c r="FKL59" s="64"/>
      <c r="FKM59" s="64"/>
      <c r="FKN59" s="64"/>
      <c r="FKO59" s="64"/>
      <c r="FKP59" s="64"/>
      <c r="FKQ59" s="64"/>
      <c r="FKR59" s="64"/>
      <c r="FKS59" s="64"/>
      <c r="FKT59" s="64"/>
      <c r="FKU59" s="64"/>
      <c r="FKV59" s="64"/>
      <c r="FKW59" s="64"/>
      <c r="FKX59" s="64"/>
      <c r="FKY59" s="64"/>
      <c r="FKZ59" s="64"/>
      <c r="FLA59" s="64"/>
      <c r="FLB59" s="64"/>
      <c r="FLC59" s="64"/>
      <c r="FLD59" s="64"/>
      <c r="FLE59" s="64"/>
      <c r="FLF59" s="64"/>
      <c r="FLG59" s="64"/>
      <c r="FLH59" s="64"/>
      <c r="FLI59" s="64"/>
      <c r="FLJ59" s="64"/>
      <c r="FLK59" s="64"/>
      <c r="FLL59" s="64"/>
      <c r="FLM59" s="64"/>
      <c r="FLN59" s="64"/>
      <c r="FLO59" s="64"/>
      <c r="FLP59" s="64"/>
      <c r="FLQ59" s="64"/>
      <c r="FLR59" s="64"/>
      <c r="FLS59" s="64"/>
      <c r="FLT59" s="64"/>
      <c r="FLU59" s="64"/>
      <c r="FLV59" s="64"/>
      <c r="FLW59" s="64"/>
      <c r="FLX59" s="64"/>
      <c r="FLY59" s="64"/>
      <c r="FLZ59" s="64"/>
      <c r="FMA59" s="64"/>
      <c r="FMB59" s="64"/>
      <c r="FMC59" s="64"/>
      <c r="FMD59" s="64"/>
      <c r="FME59" s="64"/>
      <c r="FMF59" s="64"/>
      <c r="FMG59" s="64"/>
      <c r="FMH59" s="64"/>
      <c r="FMI59" s="64"/>
      <c r="FMJ59" s="64"/>
      <c r="FMK59" s="64"/>
      <c r="FML59" s="64"/>
      <c r="FMM59" s="64"/>
      <c r="FMN59" s="64"/>
      <c r="FMO59" s="64"/>
      <c r="FMP59" s="64"/>
      <c r="FMQ59" s="64"/>
      <c r="FMR59" s="64"/>
      <c r="FMS59" s="64"/>
      <c r="FMT59" s="64"/>
      <c r="FMU59" s="64"/>
      <c r="FMV59" s="64"/>
      <c r="FMW59" s="64"/>
      <c r="FMX59" s="64"/>
      <c r="FMY59" s="64"/>
      <c r="FMZ59" s="64"/>
      <c r="FNA59" s="64"/>
      <c r="FNB59" s="64"/>
      <c r="FNC59" s="64"/>
      <c r="FND59" s="64"/>
      <c r="FNE59" s="64"/>
      <c r="FNF59" s="64"/>
      <c r="FNG59" s="64"/>
      <c r="FNH59" s="64"/>
      <c r="FNI59" s="64"/>
      <c r="FNJ59" s="64"/>
      <c r="FNK59" s="64"/>
      <c r="FNL59" s="64"/>
      <c r="FNM59" s="64"/>
      <c r="FNN59" s="64"/>
      <c r="FNO59" s="64"/>
      <c r="FNP59" s="64"/>
      <c r="FNQ59" s="64"/>
      <c r="FNR59" s="64"/>
      <c r="FNS59" s="64"/>
      <c r="FNT59" s="64"/>
      <c r="FNU59" s="64"/>
      <c r="FNV59" s="64"/>
      <c r="FNW59" s="64"/>
      <c r="FNX59" s="64"/>
      <c r="FNY59" s="64"/>
      <c r="FNZ59" s="64"/>
      <c r="FOA59" s="64"/>
      <c r="FOB59" s="64"/>
      <c r="FOC59" s="64"/>
      <c r="FOD59" s="64"/>
      <c r="FOE59" s="64"/>
      <c r="FOF59" s="64"/>
      <c r="FOG59" s="64"/>
      <c r="FOH59" s="64"/>
      <c r="FOI59" s="64"/>
      <c r="FOJ59" s="64"/>
      <c r="FOK59" s="64"/>
      <c r="FOL59" s="64"/>
      <c r="FOM59" s="64"/>
      <c r="FON59" s="64"/>
      <c r="FOO59" s="64"/>
      <c r="FOP59" s="64"/>
      <c r="FOQ59" s="64"/>
      <c r="FOR59" s="64"/>
      <c r="FOS59" s="64"/>
      <c r="FOT59" s="64"/>
      <c r="FOU59" s="64"/>
      <c r="FOV59" s="64"/>
      <c r="FOW59" s="64"/>
      <c r="FOX59" s="64"/>
      <c r="FOY59" s="64"/>
      <c r="FOZ59" s="64"/>
      <c r="FPA59" s="64"/>
      <c r="FPB59" s="64"/>
      <c r="FPC59" s="64"/>
      <c r="FPD59" s="64"/>
      <c r="FPE59" s="64"/>
      <c r="FPF59" s="64"/>
      <c r="FPG59" s="64"/>
      <c r="FPH59" s="64"/>
      <c r="FPI59" s="64"/>
      <c r="FPJ59" s="64"/>
      <c r="FPK59" s="64"/>
      <c r="FPL59" s="64"/>
      <c r="FPM59" s="64"/>
      <c r="FPN59" s="64"/>
      <c r="FPO59" s="64"/>
      <c r="FPP59" s="64"/>
      <c r="FPQ59" s="64"/>
      <c r="FPR59" s="64"/>
      <c r="FPS59" s="64"/>
      <c r="FPT59" s="64"/>
      <c r="FPU59" s="64"/>
      <c r="FPV59" s="64"/>
      <c r="FPW59" s="64"/>
      <c r="FPX59" s="64"/>
      <c r="FPY59" s="64"/>
      <c r="FPZ59" s="64"/>
      <c r="FQA59" s="64"/>
      <c r="FQB59" s="64"/>
      <c r="FQC59" s="64"/>
      <c r="FQD59" s="64"/>
      <c r="FQE59" s="64"/>
      <c r="FQF59" s="64"/>
      <c r="FQG59" s="64"/>
      <c r="FQH59" s="64"/>
      <c r="FQI59" s="64"/>
      <c r="FQJ59" s="64"/>
      <c r="FQK59" s="64"/>
      <c r="FQL59" s="64"/>
      <c r="FQM59" s="64"/>
      <c r="FQN59" s="64"/>
      <c r="FQO59" s="64"/>
      <c r="FQP59" s="64"/>
      <c r="FQQ59" s="64"/>
      <c r="FQR59" s="64"/>
      <c r="FQS59" s="64"/>
      <c r="FQT59" s="64"/>
      <c r="FQU59" s="64"/>
      <c r="FQV59" s="64"/>
      <c r="FQW59" s="64"/>
      <c r="FQX59" s="64"/>
      <c r="FQY59" s="64"/>
      <c r="FQZ59" s="64"/>
      <c r="FRA59" s="64"/>
      <c r="FRB59" s="64"/>
      <c r="FRC59" s="64"/>
      <c r="FRD59" s="64"/>
      <c r="FRE59" s="64"/>
      <c r="FRF59" s="64"/>
      <c r="FRG59" s="64"/>
      <c r="FRH59" s="64"/>
      <c r="FRI59" s="64"/>
      <c r="FRJ59" s="64"/>
      <c r="FRK59" s="64"/>
      <c r="FRL59" s="64"/>
      <c r="FRM59" s="64"/>
      <c r="FRN59" s="64"/>
      <c r="FRO59" s="64"/>
      <c r="FRP59" s="64"/>
      <c r="FRQ59" s="64"/>
      <c r="FRR59" s="64"/>
      <c r="FRS59" s="64"/>
      <c r="FRT59" s="64"/>
      <c r="FRU59" s="64"/>
      <c r="FRV59" s="64"/>
      <c r="FRW59" s="64"/>
      <c r="FRX59" s="64"/>
      <c r="FRY59" s="64"/>
      <c r="FRZ59" s="64"/>
      <c r="FSA59" s="64"/>
      <c r="FSB59" s="64"/>
      <c r="FSC59" s="64"/>
      <c r="FSD59" s="64"/>
      <c r="FSE59" s="64"/>
      <c r="FSF59" s="64"/>
      <c r="FSG59" s="64"/>
      <c r="FSH59" s="64"/>
      <c r="FSI59" s="64"/>
      <c r="FSJ59" s="64"/>
      <c r="FSK59" s="64"/>
      <c r="FSL59" s="64"/>
      <c r="FSM59" s="64"/>
      <c r="FSN59" s="64"/>
      <c r="FSO59" s="64"/>
      <c r="FSP59" s="64"/>
      <c r="FSQ59" s="64"/>
      <c r="FSR59" s="64"/>
      <c r="FSS59" s="64"/>
      <c r="FST59" s="64"/>
      <c r="FSU59" s="64"/>
      <c r="FSV59" s="64"/>
      <c r="FSW59" s="64"/>
      <c r="FSX59" s="64"/>
      <c r="FSY59" s="64"/>
      <c r="FSZ59" s="64"/>
      <c r="FTA59" s="64"/>
      <c r="FTB59" s="64"/>
      <c r="FTC59" s="64"/>
      <c r="FTD59" s="64"/>
      <c r="FTE59" s="64"/>
      <c r="FTF59" s="64"/>
      <c r="FTG59" s="64"/>
      <c r="FTH59" s="64"/>
      <c r="FTI59" s="64"/>
      <c r="FTJ59" s="64"/>
      <c r="FTK59" s="64"/>
      <c r="FTL59" s="64"/>
      <c r="FTM59" s="64"/>
      <c r="FTN59" s="64"/>
      <c r="FTO59" s="64"/>
      <c r="FTP59" s="64"/>
      <c r="FTQ59" s="64"/>
      <c r="FTR59" s="64"/>
      <c r="FTS59" s="64"/>
      <c r="FTT59" s="64"/>
      <c r="FTU59" s="64"/>
      <c r="FTV59" s="64"/>
      <c r="FTW59" s="64"/>
      <c r="FTX59" s="64"/>
      <c r="FTY59" s="64"/>
      <c r="FTZ59" s="64"/>
      <c r="FUA59" s="64"/>
      <c r="FUB59" s="64"/>
      <c r="FUC59" s="64"/>
      <c r="FUD59" s="64"/>
      <c r="FUE59" s="64"/>
      <c r="FUF59" s="64"/>
      <c r="FUG59" s="64"/>
      <c r="FUH59" s="64"/>
      <c r="FUI59" s="64"/>
      <c r="FUJ59" s="64"/>
      <c r="FUK59" s="64"/>
      <c r="FUL59" s="64"/>
      <c r="FUM59" s="64"/>
      <c r="FUN59" s="64"/>
      <c r="FUO59" s="64"/>
      <c r="FUP59" s="64"/>
      <c r="FUQ59" s="64"/>
      <c r="FUR59" s="64"/>
      <c r="FUS59" s="64"/>
      <c r="FUT59" s="64"/>
      <c r="FUU59" s="64"/>
      <c r="FUV59" s="64"/>
      <c r="FUW59" s="64"/>
      <c r="FUX59" s="64"/>
      <c r="FUY59" s="64"/>
      <c r="FUZ59" s="64"/>
      <c r="FVA59" s="64"/>
      <c r="FVB59" s="64"/>
      <c r="FVC59" s="64"/>
      <c r="FVD59" s="64"/>
      <c r="FVE59" s="64"/>
      <c r="FVF59" s="64"/>
      <c r="FVG59" s="64"/>
      <c r="FVH59" s="64"/>
      <c r="FVI59" s="64"/>
      <c r="FVJ59" s="64"/>
      <c r="FVK59" s="64"/>
      <c r="FVL59" s="64"/>
      <c r="FVM59" s="64"/>
      <c r="FVN59" s="64"/>
      <c r="FVO59" s="64"/>
      <c r="FVP59" s="64"/>
      <c r="FVQ59" s="64"/>
      <c r="FVR59" s="64"/>
      <c r="FVS59" s="64"/>
      <c r="FVT59" s="64"/>
      <c r="FVU59" s="64"/>
      <c r="FVV59" s="64"/>
      <c r="FVW59" s="64"/>
      <c r="FVX59" s="64"/>
      <c r="FVY59" s="64"/>
      <c r="FVZ59" s="64"/>
      <c r="FWA59" s="64"/>
      <c r="FWB59" s="64"/>
      <c r="FWC59" s="64"/>
      <c r="FWD59" s="64"/>
      <c r="FWE59" s="64"/>
      <c r="FWF59" s="64"/>
      <c r="FWG59" s="64"/>
      <c r="FWH59" s="64"/>
      <c r="FWI59" s="64"/>
      <c r="FWJ59" s="64"/>
      <c r="FWK59" s="64"/>
      <c r="FWL59" s="64"/>
      <c r="FWM59" s="64"/>
      <c r="FWN59" s="64"/>
      <c r="FWO59" s="64"/>
      <c r="FWP59" s="64"/>
      <c r="FWQ59" s="64"/>
      <c r="FWR59" s="64"/>
      <c r="FWS59" s="64"/>
      <c r="FWT59" s="64"/>
      <c r="FWU59" s="64"/>
      <c r="FWV59" s="64"/>
      <c r="FWW59" s="64"/>
      <c r="FWX59" s="64"/>
      <c r="FWY59" s="64"/>
      <c r="FWZ59" s="64"/>
      <c r="FXA59" s="64"/>
      <c r="FXB59" s="64"/>
      <c r="FXC59" s="64"/>
      <c r="FXD59" s="64"/>
      <c r="FXE59" s="64"/>
      <c r="FXF59" s="64"/>
      <c r="FXG59" s="64"/>
      <c r="FXH59" s="64"/>
      <c r="FXI59" s="64"/>
      <c r="FXJ59" s="64"/>
      <c r="FXK59" s="64"/>
      <c r="FXL59" s="64"/>
      <c r="FXM59" s="64"/>
      <c r="FXN59" s="64"/>
      <c r="FXO59" s="64"/>
      <c r="FXP59" s="64"/>
      <c r="FXQ59" s="64"/>
      <c r="FXR59" s="64"/>
      <c r="FXS59" s="64"/>
      <c r="FXT59" s="64"/>
      <c r="FXU59" s="64"/>
      <c r="FXV59" s="64"/>
      <c r="FXW59" s="64"/>
      <c r="FXX59" s="64"/>
      <c r="FXY59" s="64"/>
      <c r="FXZ59" s="64"/>
      <c r="FYA59" s="64"/>
      <c r="FYB59" s="64"/>
      <c r="FYC59" s="64"/>
      <c r="FYD59" s="64"/>
      <c r="FYE59" s="64"/>
      <c r="FYF59" s="64"/>
      <c r="FYG59" s="64"/>
      <c r="FYH59" s="64"/>
      <c r="FYI59" s="64"/>
      <c r="FYJ59" s="64"/>
      <c r="FYK59" s="64"/>
      <c r="FYL59" s="64"/>
      <c r="FYM59" s="64"/>
      <c r="FYN59" s="64"/>
      <c r="FYO59" s="64"/>
      <c r="FYP59" s="64"/>
      <c r="FYQ59" s="64"/>
      <c r="FYR59" s="64"/>
      <c r="FYS59" s="64"/>
      <c r="FYT59" s="64"/>
      <c r="FYU59" s="64"/>
      <c r="FYV59" s="64"/>
      <c r="FYW59" s="64"/>
      <c r="FYX59" s="64"/>
      <c r="FYY59" s="64"/>
      <c r="FYZ59" s="64"/>
      <c r="FZA59" s="64"/>
      <c r="FZB59" s="64"/>
      <c r="FZC59" s="64"/>
      <c r="FZD59" s="64"/>
      <c r="FZE59" s="64"/>
      <c r="FZF59" s="64"/>
      <c r="FZG59" s="64"/>
      <c r="FZH59" s="64"/>
      <c r="FZI59" s="64"/>
      <c r="FZJ59" s="64"/>
      <c r="FZK59" s="64"/>
      <c r="FZL59" s="64"/>
      <c r="FZM59" s="64"/>
      <c r="FZN59" s="64"/>
      <c r="FZO59" s="64"/>
      <c r="FZP59" s="64"/>
      <c r="FZQ59" s="64"/>
      <c r="FZR59" s="64"/>
      <c r="FZS59" s="64"/>
      <c r="FZT59" s="64"/>
      <c r="FZU59" s="64"/>
      <c r="FZV59" s="64"/>
      <c r="FZW59" s="64"/>
      <c r="FZX59" s="64"/>
      <c r="FZY59" s="64"/>
      <c r="FZZ59" s="64"/>
      <c r="GAA59" s="64"/>
      <c r="GAB59" s="64"/>
      <c r="GAC59" s="64"/>
      <c r="GAD59" s="64"/>
      <c r="GAE59" s="64"/>
      <c r="GAF59" s="64"/>
      <c r="GAG59" s="64"/>
      <c r="GAH59" s="64"/>
      <c r="GAI59" s="64"/>
      <c r="GAJ59" s="64"/>
      <c r="GAK59" s="64"/>
      <c r="GAL59" s="64"/>
      <c r="GAM59" s="64"/>
      <c r="GAN59" s="64"/>
      <c r="GAO59" s="64"/>
      <c r="GAP59" s="64"/>
      <c r="GAQ59" s="64"/>
      <c r="GAR59" s="64"/>
      <c r="GAS59" s="64"/>
      <c r="GAT59" s="64"/>
      <c r="GAU59" s="64"/>
      <c r="GAV59" s="64"/>
      <c r="GAW59" s="64"/>
      <c r="GAX59" s="64"/>
      <c r="GAY59" s="64"/>
      <c r="GAZ59" s="64"/>
      <c r="GBA59" s="64"/>
      <c r="GBB59" s="64"/>
      <c r="GBC59" s="64"/>
      <c r="GBD59" s="64"/>
      <c r="GBE59" s="64"/>
      <c r="GBF59" s="64"/>
      <c r="GBG59" s="64"/>
      <c r="GBH59" s="64"/>
      <c r="GBI59" s="64"/>
      <c r="GBJ59" s="64"/>
      <c r="GBK59" s="64"/>
      <c r="GBL59" s="64"/>
      <c r="GBM59" s="64"/>
      <c r="GBN59" s="64"/>
      <c r="GBO59" s="64"/>
      <c r="GBP59" s="64"/>
      <c r="GBQ59" s="64"/>
      <c r="GBR59" s="64"/>
      <c r="GBS59" s="64"/>
      <c r="GBT59" s="64"/>
      <c r="GBU59" s="64"/>
      <c r="GBV59" s="64"/>
      <c r="GBW59" s="64"/>
      <c r="GBX59" s="64"/>
      <c r="GBY59" s="64"/>
      <c r="GBZ59" s="64"/>
      <c r="GCA59" s="64"/>
      <c r="GCB59" s="64"/>
      <c r="GCC59" s="64"/>
      <c r="GCD59" s="64"/>
      <c r="GCE59" s="64"/>
      <c r="GCF59" s="64"/>
      <c r="GCG59" s="64"/>
      <c r="GCH59" s="64"/>
      <c r="GCI59" s="64"/>
      <c r="GCJ59" s="64"/>
      <c r="GCK59" s="64"/>
      <c r="GCL59" s="64"/>
      <c r="GCM59" s="64"/>
      <c r="GCN59" s="64"/>
      <c r="GCO59" s="64"/>
      <c r="GCP59" s="64"/>
      <c r="GCQ59" s="64"/>
      <c r="GCR59" s="64"/>
      <c r="GCS59" s="64"/>
      <c r="GCT59" s="64"/>
      <c r="GCU59" s="64"/>
      <c r="GCV59" s="64"/>
      <c r="GCW59" s="64"/>
      <c r="GCX59" s="64"/>
      <c r="GCY59" s="64"/>
      <c r="GCZ59" s="64"/>
      <c r="GDA59" s="64"/>
      <c r="GDB59" s="64"/>
      <c r="GDC59" s="64"/>
      <c r="GDD59" s="64"/>
      <c r="GDE59" s="64"/>
      <c r="GDF59" s="64"/>
      <c r="GDG59" s="64"/>
      <c r="GDH59" s="64"/>
      <c r="GDI59" s="64"/>
      <c r="GDJ59" s="64"/>
      <c r="GDK59" s="64"/>
      <c r="GDL59" s="64"/>
      <c r="GDM59" s="64"/>
      <c r="GDN59" s="64"/>
      <c r="GDO59" s="64"/>
      <c r="GDP59" s="64"/>
      <c r="GDQ59" s="64"/>
      <c r="GDR59" s="64"/>
      <c r="GDS59" s="64"/>
      <c r="GDT59" s="64"/>
      <c r="GDU59" s="64"/>
      <c r="GDV59" s="64"/>
      <c r="GDW59" s="64"/>
      <c r="GDX59" s="64"/>
      <c r="GDY59" s="64"/>
      <c r="GDZ59" s="64"/>
      <c r="GEA59" s="64"/>
      <c r="GEB59" s="64"/>
      <c r="GEC59" s="64"/>
      <c r="GED59" s="64"/>
      <c r="GEE59" s="64"/>
      <c r="GEF59" s="64"/>
      <c r="GEG59" s="64"/>
      <c r="GEH59" s="64"/>
      <c r="GEI59" s="64"/>
      <c r="GEJ59" s="64"/>
      <c r="GEK59" s="64"/>
      <c r="GEL59" s="64"/>
      <c r="GEM59" s="64"/>
      <c r="GEN59" s="64"/>
      <c r="GEO59" s="64"/>
      <c r="GEP59" s="64"/>
      <c r="GEQ59" s="64"/>
      <c r="GER59" s="64"/>
      <c r="GES59" s="64"/>
      <c r="GET59" s="64"/>
      <c r="GEU59" s="64"/>
      <c r="GEV59" s="64"/>
      <c r="GEW59" s="64"/>
      <c r="GEX59" s="64"/>
      <c r="GEY59" s="64"/>
      <c r="GEZ59" s="64"/>
      <c r="GFA59" s="64"/>
      <c r="GFB59" s="64"/>
      <c r="GFC59" s="64"/>
      <c r="GFD59" s="64"/>
      <c r="GFE59" s="64"/>
      <c r="GFF59" s="64"/>
      <c r="GFG59" s="64"/>
      <c r="GFH59" s="64"/>
      <c r="GFI59" s="64"/>
      <c r="GFJ59" s="64"/>
      <c r="GFK59" s="64"/>
      <c r="GFL59" s="64"/>
      <c r="GFM59" s="64"/>
      <c r="GFN59" s="64"/>
      <c r="GFO59" s="64"/>
      <c r="GFP59" s="64"/>
      <c r="GFQ59" s="64"/>
      <c r="GFR59" s="64"/>
      <c r="GFS59" s="64"/>
      <c r="GFT59" s="64"/>
      <c r="GFU59" s="64"/>
      <c r="GFV59" s="64"/>
      <c r="GFW59" s="64"/>
      <c r="GFX59" s="64"/>
      <c r="GFY59" s="64"/>
      <c r="GFZ59" s="64"/>
      <c r="GGA59" s="64"/>
      <c r="GGB59" s="64"/>
      <c r="GGC59" s="64"/>
      <c r="GGD59" s="64"/>
      <c r="GGE59" s="64"/>
      <c r="GGF59" s="64"/>
      <c r="GGG59" s="64"/>
      <c r="GGH59" s="64"/>
      <c r="GGI59" s="64"/>
      <c r="GGJ59" s="64"/>
      <c r="GGK59" s="64"/>
      <c r="GGL59" s="64"/>
      <c r="GGM59" s="64"/>
      <c r="GGN59" s="64"/>
      <c r="GGO59" s="64"/>
      <c r="GGP59" s="64"/>
      <c r="GGQ59" s="64"/>
      <c r="GGR59" s="64"/>
      <c r="GGS59" s="64"/>
      <c r="GGT59" s="64"/>
      <c r="GGU59" s="64"/>
      <c r="GGV59" s="64"/>
      <c r="GGW59" s="64"/>
      <c r="GGX59" s="64"/>
      <c r="GGY59" s="64"/>
      <c r="GGZ59" s="64"/>
      <c r="GHA59" s="64"/>
      <c r="GHB59" s="64"/>
      <c r="GHC59" s="64"/>
      <c r="GHD59" s="64"/>
      <c r="GHE59" s="64"/>
      <c r="GHF59" s="64"/>
      <c r="GHG59" s="64"/>
      <c r="GHH59" s="64"/>
      <c r="GHI59" s="64"/>
      <c r="GHJ59" s="64"/>
      <c r="GHK59" s="64"/>
      <c r="GHL59" s="64"/>
      <c r="GHM59" s="64"/>
      <c r="GHN59" s="64"/>
      <c r="GHO59" s="64"/>
      <c r="GHP59" s="64"/>
      <c r="GHQ59" s="64"/>
      <c r="GHR59" s="64"/>
      <c r="GHS59" s="64"/>
      <c r="GHT59" s="64"/>
      <c r="GHU59" s="64"/>
      <c r="GHV59" s="64"/>
      <c r="GHW59" s="64"/>
      <c r="GHX59" s="64"/>
      <c r="GHY59" s="64"/>
      <c r="GHZ59" s="64"/>
      <c r="GIA59" s="64"/>
      <c r="GIB59" s="64"/>
      <c r="GIC59" s="64"/>
      <c r="GID59" s="64"/>
      <c r="GIE59" s="64"/>
      <c r="GIF59" s="64"/>
      <c r="GIG59" s="64"/>
      <c r="GIH59" s="64"/>
      <c r="GII59" s="64"/>
      <c r="GIJ59" s="64"/>
      <c r="GIK59" s="64"/>
      <c r="GIL59" s="64"/>
      <c r="GIM59" s="64"/>
      <c r="GIN59" s="64"/>
      <c r="GIO59" s="64"/>
      <c r="GIP59" s="64"/>
      <c r="GIQ59" s="64"/>
      <c r="GIR59" s="64"/>
      <c r="GIS59" s="64"/>
      <c r="GIT59" s="64"/>
      <c r="GIU59" s="64"/>
      <c r="GIV59" s="64"/>
      <c r="GIW59" s="64"/>
      <c r="GIX59" s="64"/>
      <c r="GIY59" s="64"/>
      <c r="GIZ59" s="64"/>
      <c r="GJA59" s="64"/>
      <c r="GJB59" s="64"/>
      <c r="GJC59" s="64"/>
      <c r="GJD59" s="64"/>
      <c r="GJE59" s="64"/>
      <c r="GJF59" s="64"/>
      <c r="GJG59" s="64"/>
      <c r="GJH59" s="64"/>
      <c r="GJI59" s="64"/>
      <c r="GJJ59" s="64"/>
      <c r="GJK59" s="64"/>
      <c r="GJL59" s="64"/>
      <c r="GJM59" s="64"/>
      <c r="GJN59" s="64"/>
      <c r="GJO59" s="64"/>
      <c r="GJP59" s="64"/>
      <c r="GJQ59" s="64"/>
      <c r="GJR59" s="64"/>
      <c r="GJS59" s="64"/>
      <c r="GJT59" s="64"/>
      <c r="GJU59" s="64"/>
      <c r="GJV59" s="64"/>
      <c r="GJW59" s="64"/>
      <c r="GJX59" s="64"/>
      <c r="GJY59" s="64"/>
      <c r="GJZ59" s="64"/>
      <c r="GKA59" s="64"/>
      <c r="GKB59" s="64"/>
      <c r="GKC59" s="64"/>
      <c r="GKD59" s="64"/>
      <c r="GKE59" s="64"/>
      <c r="GKF59" s="64"/>
      <c r="GKG59" s="64"/>
      <c r="GKH59" s="64"/>
      <c r="GKI59" s="64"/>
      <c r="GKJ59" s="64"/>
      <c r="GKK59" s="64"/>
      <c r="GKL59" s="64"/>
      <c r="GKM59" s="64"/>
      <c r="GKN59" s="64"/>
      <c r="GKO59" s="64"/>
      <c r="GKP59" s="64"/>
      <c r="GKQ59" s="64"/>
      <c r="GKR59" s="64"/>
      <c r="GKS59" s="64"/>
      <c r="GKT59" s="64"/>
      <c r="GKU59" s="64"/>
      <c r="GKV59" s="64"/>
      <c r="GKW59" s="64"/>
      <c r="GKX59" s="64"/>
      <c r="GKY59" s="64"/>
      <c r="GKZ59" s="64"/>
      <c r="GLA59" s="64"/>
      <c r="GLB59" s="64"/>
      <c r="GLC59" s="64"/>
      <c r="GLD59" s="64"/>
      <c r="GLE59" s="64"/>
      <c r="GLF59" s="64"/>
      <c r="GLG59" s="64"/>
      <c r="GLH59" s="64"/>
      <c r="GLI59" s="64"/>
      <c r="GLJ59" s="64"/>
      <c r="GLK59" s="64"/>
      <c r="GLL59" s="64"/>
      <c r="GLM59" s="64"/>
      <c r="GLN59" s="64"/>
      <c r="GLO59" s="64"/>
      <c r="GLP59" s="64"/>
      <c r="GLQ59" s="64"/>
      <c r="GLR59" s="64"/>
      <c r="GLS59" s="64"/>
      <c r="GLT59" s="64"/>
      <c r="GLU59" s="64"/>
      <c r="GLV59" s="64"/>
      <c r="GLW59" s="64"/>
      <c r="GLX59" s="64"/>
      <c r="GLY59" s="64"/>
      <c r="GLZ59" s="64"/>
      <c r="GMA59" s="64"/>
      <c r="GMB59" s="64"/>
      <c r="GMC59" s="64"/>
      <c r="GMD59" s="64"/>
      <c r="GME59" s="64"/>
      <c r="GMF59" s="64"/>
      <c r="GMG59" s="64"/>
      <c r="GMH59" s="64"/>
      <c r="GMI59" s="64"/>
      <c r="GMJ59" s="64"/>
      <c r="GMK59" s="64"/>
      <c r="GML59" s="64"/>
      <c r="GMM59" s="64"/>
      <c r="GMN59" s="64"/>
      <c r="GMO59" s="64"/>
      <c r="GMP59" s="64"/>
      <c r="GMQ59" s="64"/>
      <c r="GMR59" s="64"/>
      <c r="GMS59" s="64"/>
      <c r="GMT59" s="64"/>
      <c r="GMU59" s="64"/>
      <c r="GMV59" s="64"/>
      <c r="GMW59" s="64"/>
      <c r="GMX59" s="64"/>
      <c r="GMY59" s="64"/>
      <c r="GMZ59" s="64"/>
      <c r="GNA59" s="64"/>
      <c r="GNB59" s="64"/>
      <c r="GNC59" s="64"/>
      <c r="GND59" s="64"/>
      <c r="GNE59" s="64"/>
      <c r="GNF59" s="64"/>
      <c r="GNG59" s="64"/>
      <c r="GNH59" s="64"/>
      <c r="GNI59" s="64"/>
      <c r="GNJ59" s="64"/>
      <c r="GNK59" s="64"/>
      <c r="GNL59" s="64"/>
      <c r="GNM59" s="64"/>
      <c r="GNN59" s="64"/>
      <c r="GNO59" s="64"/>
      <c r="GNP59" s="64"/>
      <c r="GNQ59" s="64"/>
      <c r="GNR59" s="64"/>
      <c r="GNS59" s="64"/>
      <c r="GNT59" s="64"/>
      <c r="GNU59" s="64"/>
      <c r="GNV59" s="64"/>
      <c r="GNW59" s="64"/>
      <c r="GNX59" s="64"/>
      <c r="GNY59" s="64"/>
      <c r="GNZ59" s="64"/>
      <c r="GOA59" s="64"/>
      <c r="GOB59" s="64"/>
      <c r="GOC59" s="64"/>
      <c r="GOD59" s="64"/>
      <c r="GOE59" s="64"/>
      <c r="GOF59" s="64"/>
      <c r="GOG59" s="64"/>
      <c r="GOH59" s="64"/>
      <c r="GOI59" s="64"/>
      <c r="GOJ59" s="64"/>
      <c r="GOK59" s="64"/>
      <c r="GOL59" s="64"/>
      <c r="GOM59" s="64"/>
      <c r="GON59" s="64"/>
      <c r="GOO59" s="64"/>
      <c r="GOP59" s="64"/>
      <c r="GOQ59" s="64"/>
      <c r="GOR59" s="64"/>
      <c r="GOS59" s="64"/>
      <c r="GOT59" s="64"/>
      <c r="GOU59" s="64"/>
      <c r="GOV59" s="64"/>
      <c r="GOW59" s="64"/>
      <c r="GOX59" s="64"/>
      <c r="GOY59" s="64"/>
      <c r="GOZ59" s="64"/>
      <c r="GPA59" s="64"/>
      <c r="GPB59" s="64"/>
      <c r="GPC59" s="64"/>
      <c r="GPD59" s="64"/>
      <c r="GPE59" s="64"/>
      <c r="GPF59" s="64"/>
      <c r="GPG59" s="64"/>
      <c r="GPH59" s="64"/>
      <c r="GPI59" s="64"/>
      <c r="GPJ59" s="64"/>
      <c r="GPK59" s="64"/>
      <c r="GPL59" s="64"/>
      <c r="GPM59" s="64"/>
      <c r="GPN59" s="64"/>
      <c r="GPO59" s="64"/>
      <c r="GPP59" s="64"/>
      <c r="GPQ59" s="64"/>
      <c r="GPR59" s="64"/>
      <c r="GPS59" s="64"/>
      <c r="GPT59" s="64"/>
      <c r="GPU59" s="64"/>
      <c r="GPV59" s="64"/>
      <c r="GPW59" s="64"/>
      <c r="GPX59" s="64"/>
      <c r="GPY59" s="64"/>
      <c r="GPZ59" s="64"/>
      <c r="GQA59" s="64"/>
      <c r="GQB59" s="64"/>
      <c r="GQC59" s="64"/>
      <c r="GQD59" s="64"/>
      <c r="GQE59" s="64"/>
      <c r="GQF59" s="64"/>
      <c r="GQG59" s="64"/>
      <c r="GQH59" s="64"/>
      <c r="GQI59" s="64"/>
      <c r="GQJ59" s="64"/>
      <c r="GQK59" s="64"/>
      <c r="GQL59" s="64"/>
      <c r="GQM59" s="64"/>
      <c r="GQN59" s="64"/>
      <c r="GQO59" s="64"/>
      <c r="GQP59" s="64"/>
      <c r="GQQ59" s="64"/>
      <c r="GQR59" s="64"/>
      <c r="GQS59" s="64"/>
      <c r="GQT59" s="64"/>
      <c r="GQU59" s="64"/>
      <c r="GQV59" s="64"/>
      <c r="GQW59" s="64"/>
      <c r="GQX59" s="64"/>
      <c r="GQY59" s="64"/>
      <c r="GQZ59" s="64"/>
      <c r="GRA59" s="64"/>
      <c r="GRB59" s="64"/>
      <c r="GRC59" s="64"/>
      <c r="GRD59" s="64"/>
      <c r="GRE59" s="64"/>
      <c r="GRF59" s="64"/>
      <c r="GRG59" s="64"/>
      <c r="GRH59" s="64"/>
      <c r="GRI59" s="64"/>
      <c r="GRJ59" s="64"/>
      <c r="GRK59" s="64"/>
      <c r="GRL59" s="64"/>
      <c r="GRM59" s="64"/>
      <c r="GRN59" s="64"/>
      <c r="GRO59" s="64"/>
      <c r="GRP59" s="64"/>
      <c r="GRQ59" s="64"/>
      <c r="GRR59" s="64"/>
      <c r="GRS59" s="64"/>
      <c r="GRT59" s="64"/>
      <c r="GRU59" s="64"/>
      <c r="GRV59" s="64"/>
      <c r="GRW59" s="64"/>
      <c r="GRX59" s="64"/>
      <c r="GRY59" s="64"/>
      <c r="GRZ59" s="64"/>
      <c r="GSA59" s="64"/>
      <c r="GSB59" s="64"/>
      <c r="GSC59" s="64"/>
      <c r="GSD59" s="64"/>
      <c r="GSE59" s="64"/>
      <c r="GSF59" s="64"/>
      <c r="GSG59" s="64"/>
      <c r="GSH59" s="64"/>
      <c r="GSI59" s="64"/>
      <c r="GSJ59" s="64"/>
      <c r="GSK59" s="64"/>
      <c r="GSL59" s="64"/>
      <c r="GSM59" s="64"/>
      <c r="GSN59" s="64"/>
      <c r="GSO59" s="64"/>
      <c r="GSP59" s="64"/>
      <c r="GSQ59" s="64"/>
      <c r="GSR59" s="64"/>
      <c r="GSS59" s="64"/>
      <c r="GST59" s="64"/>
      <c r="GSU59" s="64"/>
      <c r="GSV59" s="64"/>
      <c r="GSW59" s="64"/>
      <c r="GSX59" s="64"/>
      <c r="GSY59" s="64"/>
      <c r="GSZ59" s="64"/>
      <c r="GTA59" s="64"/>
      <c r="GTB59" s="64"/>
      <c r="GTC59" s="64"/>
      <c r="GTD59" s="64"/>
      <c r="GTE59" s="64"/>
      <c r="GTF59" s="64"/>
      <c r="GTG59" s="64"/>
      <c r="GTH59" s="64"/>
      <c r="GTI59" s="64"/>
      <c r="GTJ59" s="64"/>
      <c r="GTK59" s="64"/>
      <c r="GTL59" s="64"/>
      <c r="GTM59" s="64"/>
      <c r="GTN59" s="64"/>
      <c r="GTO59" s="64"/>
      <c r="GTP59" s="64"/>
      <c r="GTQ59" s="64"/>
      <c r="GTR59" s="64"/>
      <c r="GTS59" s="64"/>
      <c r="GTT59" s="64"/>
      <c r="GTU59" s="64"/>
      <c r="GTV59" s="64"/>
      <c r="GTW59" s="64"/>
      <c r="GTX59" s="64"/>
      <c r="GTY59" s="64"/>
      <c r="GTZ59" s="64"/>
      <c r="GUA59" s="64"/>
      <c r="GUB59" s="64"/>
      <c r="GUC59" s="64"/>
      <c r="GUD59" s="64"/>
      <c r="GUE59" s="64"/>
      <c r="GUF59" s="64"/>
      <c r="GUG59" s="64"/>
      <c r="GUH59" s="64"/>
      <c r="GUI59" s="64"/>
      <c r="GUJ59" s="64"/>
      <c r="GUK59" s="64"/>
      <c r="GUL59" s="64"/>
      <c r="GUM59" s="64"/>
      <c r="GUN59" s="64"/>
      <c r="GUO59" s="64"/>
      <c r="GUP59" s="64"/>
      <c r="GUQ59" s="64"/>
      <c r="GUR59" s="64"/>
      <c r="GUS59" s="64"/>
      <c r="GUT59" s="64"/>
      <c r="GUU59" s="64"/>
      <c r="GUV59" s="64"/>
      <c r="GUW59" s="64"/>
      <c r="GUX59" s="64"/>
      <c r="GUY59" s="64"/>
      <c r="GUZ59" s="64"/>
      <c r="GVA59" s="64"/>
      <c r="GVB59" s="64"/>
      <c r="GVC59" s="64"/>
      <c r="GVD59" s="64"/>
      <c r="GVE59" s="64"/>
      <c r="GVF59" s="64"/>
      <c r="GVG59" s="64"/>
      <c r="GVH59" s="64"/>
      <c r="GVI59" s="64"/>
      <c r="GVJ59" s="64"/>
      <c r="GVK59" s="64"/>
      <c r="GVL59" s="64"/>
      <c r="GVM59" s="64"/>
      <c r="GVN59" s="64"/>
      <c r="GVO59" s="64"/>
      <c r="GVP59" s="64"/>
      <c r="GVQ59" s="64"/>
      <c r="GVR59" s="64"/>
      <c r="GVS59" s="64"/>
      <c r="GVT59" s="64"/>
      <c r="GVU59" s="64"/>
      <c r="GVV59" s="64"/>
      <c r="GVW59" s="64"/>
      <c r="GVX59" s="64"/>
      <c r="GVY59" s="64"/>
      <c r="GVZ59" s="64"/>
      <c r="GWA59" s="64"/>
      <c r="GWB59" s="64"/>
      <c r="GWC59" s="64"/>
      <c r="GWD59" s="64"/>
      <c r="GWE59" s="64"/>
      <c r="GWF59" s="64"/>
      <c r="GWG59" s="64"/>
      <c r="GWH59" s="64"/>
      <c r="GWI59" s="64"/>
      <c r="GWJ59" s="64"/>
      <c r="GWK59" s="64"/>
      <c r="GWL59" s="64"/>
      <c r="GWM59" s="64"/>
      <c r="GWN59" s="64"/>
      <c r="GWO59" s="64"/>
      <c r="GWP59" s="64"/>
      <c r="GWQ59" s="64"/>
      <c r="GWR59" s="64"/>
      <c r="GWS59" s="64"/>
      <c r="GWT59" s="64"/>
      <c r="GWU59" s="64"/>
      <c r="GWV59" s="64"/>
      <c r="GWW59" s="64"/>
      <c r="GWX59" s="64"/>
      <c r="GWY59" s="64"/>
      <c r="GWZ59" s="64"/>
      <c r="GXA59" s="64"/>
      <c r="GXB59" s="64"/>
      <c r="GXC59" s="64"/>
      <c r="GXD59" s="64"/>
      <c r="GXE59" s="64"/>
      <c r="GXF59" s="64"/>
      <c r="GXG59" s="64"/>
      <c r="GXH59" s="64"/>
      <c r="GXI59" s="64"/>
      <c r="GXJ59" s="64"/>
      <c r="GXK59" s="64"/>
      <c r="GXL59" s="64"/>
      <c r="GXM59" s="64"/>
      <c r="GXN59" s="64"/>
      <c r="GXO59" s="64"/>
      <c r="GXP59" s="64"/>
      <c r="GXQ59" s="64"/>
      <c r="GXR59" s="64"/>
      <c r="GXS59" s="64"/>
      <c r="GXT59" s="64"/>
      <c r="GXU59" s="64"/>
      <c r="GXV59" s="64"/>
      <c r="GXW59" s="64"/>
      <c r="GXX59" s="64"/>
      <c r="GXY59" s="64"/>
      <c r="GXZ59" s="64"/>
      <c r="GYA59" s="64"/>
      <c r="GYB59" s="64"/>
      <c r="GYC59" s="64"/>
      <c r="GYD59" s="64"/>
      <c r="GYE59" s="64"/>
      <c r="GYF59" s="64"/>
      <c r="GYG59" s="64"/>
      <c r="GYH59" s="64"/>
      <c r="GYI59" s="64"/>
      <c r="GYJ59" s="64"/>
      <c r="GYK59" s="64"/>
      <c r="GYL59" s="64"/>
      <c r="GYM59" s="64"/>
      <c r="GYN59" s="64"/>
      <c r="GYO59" s="64"/>
      <c r="GYP59" s="64"/>
      <c r="GYQ59" s="64"/>
      <c r="GYR59" s="64"/>
      <c r="GYS59" s="64"/>
      <c r="GYT59" s="64"/>
      <c r="GYU59" s="64"/>
      <c r="GYV59" s="64"/>
      <c r="GYW59" s="64"/>
      <c r="GYX59" s="64"/>
      <c r="GYY59" s="64"/>
      <c r="GYZ59" s="64"/>
      <c r="GZA59" s="64"/>
      <c r="GZB59" s="64"/>
      <c r="GZC59" s="64"/>
      <c r="GZD59" s="64"/>
      <c r="GZE59" s="64"/>
      <c r="GZF59" s="64"/>
      <c r="GZG59" s="64"/>
      <c r="GZH59" s="64"/>
      <c r="GZI59" s="64"/>
      <c r="GZJ59" s="64"/>
      <c r="GZK59" s="64"/>
      <c r="GZL59" s="64"/>
      <c r="GZM59" s="64"/>
      <c r="GZN59" s="64"/>
      <c r="GZO59" s="64"/>
      <c r="GZP59" s="64"/>
      <c r="GZQ59" s="64"/>
      <c r="GZR59" s="64"/>
      <c r="GZS59" s="64"/>
      <c r="GZT59" s="64"/>
      <c r="GZU59" s="64"/>
      <c r="GZV59" s="64"/>
      <c r="GZW59" s="64"/>
      <c r="GZX59" s="64"/>
      <c r="GZY59" s="64"/>
      <c r="GZZ59" s="64"/>
      <c r="HAA59" s="64"/>
      <c r="HAB59" s="64"/>
      <c r="HAC59" s="64"/>
      <c r="HAD59" s="64"/>
      <c r="HAE59" s="64"/>
      <c r="HAF59" s="64"/>
      <c r="HAG59" s="64"/>
      <c r="HAH59" s="64"/>
      <c r="HAI59" s="64"/>
      <c r="HAJ59" s="64"/>
      <c r="HAK59" s="64"/>
      <c r="HAL59" s="64"/>
      <c r="HAM59" s="64"/>
      <c r="HAN59" s="64"/>
      <c r="HAO59" s="64"/>
      <c r="HAP59" s="64"/>
      <c r="HAQ59" s="64"/>
      <c r="HAR59" s="64"/>
      <c r="HAS59" s="64"/>
      <c r="HAT59" s="64"/>
      <c r="HAU59" s="64"/>
      <c r="HAV59" s="64"/>
      <c r="HAW59" s="64"/>
      <c r="HAX59" s="64"/>
      <c r="HAY59" s="64"/>
      <c r="HAZ59" s="64"/>
      <c r="HBA59" s="64"/>
      <c r="HBB59" s="64"/>
      <c r="HBC59" s="64"/>
      <c r="HBD59" s="64"/>
      <c r="HBE59" s="64"/>
      <c r="HBF59" s="64"/>
      <c r="HBG59" s="64"/>
      <c r="HBH59" s="64"/>
      <c r="HBI59" s="64"/>
      <c r="HBJ59" s="64"/>
      <c r="HBK59" s="64"/>
      <c r="HBL59" s="64"/>
      <c r="HBM59" s="64"/>
      <c r="HBN59" s="64"/>
      <c r="HBO59" s="64"/>
      <c r="HBP59" s="64"/>
      <c r="HBQ59" s="64"/>
      <c r="HBR59" s="64"/>
      <c r="HBS59" s="64"/>
      <c r="HBT59" s="64"/>
      <c r="HBU59" s="64"/>
      <c r="HBV59" s="64"/>
      <c r="HBW59" s="64"/>
      <c r="HBX59" s="64"/>
      <c r="HBY59" s="64"/>
      <c r="HBZ59" s="64"/>
      <c r="HCA59" s="64"/>
      <c r="HCB59" s="64"/>
      <c r="HCC59" s="64"/>
      <c r="HCD59" s="64"/>
      <c r="HCE59" s="64"/>
      <c r="HCF59" s="64"/>
      <c r="HCG59" s="64"/>
      <c r="HCH59" s="64"/>
      <c r="HCI59" s="64"/>
      <c r="HCJ59" s="64"/>
      <c r="HCK59" s="64"/>
      <c r="HCL59" s="64"/>
      <c r="HCM59" s="64"/>
      <c r="HCN59" s="64"/>
      <c r="HCO59" s="64"/>
      <c r="HCP59" s="64"/>
      <c r="HCQ59" s="64"/>
      <c r="HCR59" s="64"/>
      <c r="HCS59" s="64"/>
      <c r="HCT59" s="64"/>
      <c r="HCU59" s="64"/>
      <c r="HCV59" s="64"/>
      <c r="HCW59" s="64"/>
      <c r="HCX59" s="64"/>
      <c r="HCY59" s="64"/>
      <c r="HCZ59" s="64"/>
      <c r="HDA59" s="64"/>
      <c r="HDB59" s="64"/>
      <c r="HDC59" s="64"/>
      <c r="HDD59" s="64"/>
      <c r="HDE59" s="64"/>
      <c r="HDF59" s="64"/>
      <c r="HDG59" s="64"/>
      <c r="HDH59" s="64"/>
      <c r="HDI59" s="64"/>
      <c r="HDJ59" s="64"/>
      <c r="HDK59" s="64"/>
      <c r="HDL59" s="64"/>
      <c r="HDM59" s="64"/>
      <c r="HDN59" s="64"/>
      <c r="HDO59" s="64"/>
      <c r="HDP59" s="64"/>
      <c r="HDQ59" s="64"/>
      <c r="HDR59" s="64"/>
      <c r="HDS59" s="64"/>
      <c r="HDT59" s="64"/>
      <c r="HDU59" s="64"/>
      <c r="HDV59" s="64"/>
      <c r="HDW59" s="64"/>
      <c r="HDX59" s="64"/>
      <c r="HDY59" s="64"/>
      <c r="HDZ59" s="64"/>
      <c r="HEA59" s="64"/>
      <c r="HEB59" s="64"/>
      <c r="HEC59" s="64"/>
      <c r="HED59" s="64"/>
      <c r="HEE59" s="64"/>
      <c r="HEF59" s="64"/>
      <c r="HEG59" s="64"/>
      <c r="HEH59" s="64"/>
      <c r="HEI59" s="64"/>
      <c r="HEJ59" s="64"/>
      <c r="HEK59" s="64"/>
      <c r="HEL59" s="64"/>
      <c r="HEM59" s="64"/>
      <c r="HEN59" s="64"/>
      <c r="HEO59" s="64"/>
      <c r="HEP59" s="64"/>
      <c r="HEQ59" s="64"/>
      <c r="HER59" s="64"/>
      <c r="HES59" s="64"/>
      <c r="HET59" s="64"/>
      <c r="HEU59" s="64"/>
      <c r="HEV59" s="64"/>
      <c r="HEW59" s="64"/>
      <c r="HEX59" s="64"/>
      <c r="HEY59" s="64"/>
      <c r="HEZ59" s="64"/>
      <c r="HFA59" s="64"/>
      <c r="HFB59" s="64"/>
      <c r="HFC59" s="64"/>
      <c r="HFD59" s="64"/>
      <c r="HFE59" s="64"/>
      <c r="HFF59" s="64"/>
      <c r="HFG59" s="64"/>
      <c r="HFH59" s="64"/>
      <c r="HFI59" s="64"/>
      <c r="HFJ59" s="64"/>
      <c r="HFK59" s="64"/>
      <c r="HFL59" s="64"/>
      <c r="HFM59" s="64"/>
      <c r="HFN59" s="64"/>
      <c r="HFO59" s="64"/>
      <c r="HFP59" s="64"/>
      <c r="HFQ59" s="64"/>
      <c r="HFR59" s="64"/>
      <c r="HFS59" s="64"/>
      <c r="HFT59" s="64"/>
      <c r="HFU59" s="64"/>
      <c r="HFV59" s="64"/>
      <c r="HFW59" s="64"/>
      <c r="HFX59" s="64"/>
      <c r="HFY59" s="64"/>
      <c r="HFZ59" s="64"/>
      <c r="HGA59" s="64"/>
      <c r="HGB59" s="64"/>
      <c r="HGC59" s="64"/>
      <c r="HGD59" s="64"/>
      <c r="HGE59" s="64"/>
      <c r="HGF59" s="64"/>
      <c r="HGG59" s="64"/>
      <c r="HGH59" s="64"/>
      <c r="HGI59" s="64"/>
      <c r="HGJ59" s="64"/>
      <c r="HGK59" s="64"/>
      <c r="HGL59" s="64"/>
      <c r="HGM59" s="64"/>
      <c r="HGN59" s="64"/>
      <c r="HGO59" s="64"/>
      <c r="HGP59" s="64"/>
      <c r="HGQ59" s="64"/>
      <c r="HGR59" s="64"/>
      <c r="HGS59" s="64"/>
      <c r="HGT59" s="64"/>
      <c r="HGU59" s="64"/>
      <c r="HGV59" s="64"/>
      <c r="HGW59" s="64"/>
      <c r="HGX59" s="64"/>
      <c r="HGY59" s="64"/>
      <c r="HGZ59" s="64"/>
      <c r="HHA59" s="64"/>
      <c r="HHB59" s="64"/>
      <c r="HHC59" s="64"/>
      <c r="HHD59" s="64"/>
      <c r="HHE59" s="64"/>
      <c r="HHF59" s="64"/>
      <c r="HHG59" s="64"/>
      <c r="HHH59" s="64"/>
      <c r="HHI59" s="64"/>
      <c r="HHJ59" s="64"/>
      <c r="HHK59" s="64"/>
      <c r="HHL59" s="64"/>
      <c r="HHM59" s="64"/>
      <c r="HHN59" s="64"/>
      <c r="HHO59" s="64"/>
      <c r="HHP59" s="64"/>
      <c r="HHQ59" s="64"/>
      <c r="HHR59" s="64"/>
      <c r="HHS59" s="64"/>
      <c r="HHT59" s="64"/>
      <c r="HHU59" s="64"/>
      <c r="HHV59" s="64"/>
      <c r="HHW59" s="64"/>
      <c r="HHX59" s="64"/>
      <c r="HHY59" s="64"/>
      <c r="HHZ59" s="64"/>
      <c r="HIA59" s="64"/>
      <c r="HIB59" s="64"/>
      <c r="HIC59" s="64"/>
      <c r="HID59" s="64"/>
      <c r="HIE59" s="64"/>
      <c r="HIF59" s="64"/>
      <c r="HIG59" s="64"/>
      <c r="HIH59" s="64"/>
      <c r="HII59" s="64"/>
      <c r="HIJ59" s="64"/>
      <c r="HIK59" s="64"/>
      <c r="HIL59" s="64"/>
      <c r="HIM59" s="64"/>
      <c r="HIN59" s="64"/>
      <c r="HIO59" s="64"/>
      <c r="HIP59" s="64"/>
      <c r="HIQ59" s="64"/>
      <c r="HIR59" s="64"/>
      <c r="HIS59" s="64"/>
      <c r="HIT59" s="64"/>
      <c r="HIU59" s="64"/>
      <c r="HIV59" s="64"/>
      <c r="HIW59" s="64"/>
      <c r="HIX59" s="64"/>
      <c r="HIY59" s="64"/>
      <c r="HIZ59" s="64"/>
      <c r="HJA59" s="64"/>
      <c r="HJB59" s="64"/>
      <c r="HJC59" s="64"/>
      <c r="HJD59" s="64"/>
      <c r="HJE59" s="64"/>
      <c r="HJF59" s="64"/>
      <c r="HJG59" s="64"/>
      <c r="HJH59" s="64"/>
      <c r="HJI59" s="64"/>
      <c r="HJJ59" s="64"/>
      <c r="HJK59" s="64"/>
      <c r="HJL59" s="64"/>
      <c r="HJM59" s="64"/>
      <c r="HJN59" s="64"/>
      <c r="HJO59" s="64"/>
      <c r="HJP59" s="64"/>
      <c r="HJQ59" s="64"/>
      <c r="HJR59" s="64"/>
      <c r="HJS59" s="64"/>
      <c r="HJT59" s="64"/>
      <c r="HJU59" s="64"/>
      <c r="HJV59" s="64"/>
      <c r="HJW59" s="64"/>
      <c r="HJX59" s="64"/>
      <c r="HJY59" s="64"/>
      <c r="HJZ59" s="64"/>
      <c r="HKA59" s="64"/>
      <c r="HKB59" s="64"/>
      <c r="HKC59" s="64"/>
      <c r="HKD59" s="64"/>
      <c r="HKE59" s="64"/>
      <c r="HKF59" s="64"/>
      <c r="HKG59" s="64"/>
      <c r="HKH59" s="64"/>
      <c r="HKI59" s="64"/>
      <c r="HKJ59" s="64"/>
      <c r="HKK59" s="64"/>
      <c r="HKL59" s="64"/>
      <c r="HKM59" s="64"/>
      <c r="HKN59" s="64"/>
      <c r="HKO59" s="64"/>
      <c r="HKP59" s="64"/>
      <c r="HKQ59" s="64"/>
      <c r="HKR59" s="64"/>
      <c r="HKS59" s="64"/>
      <c r="HKT59" s="64"/>
      <c r="HKU59" s="64"/>
      <c r="HKV59" s="64"/>
      <c r="HKW59" s="64"/>
      <c r="HKX59" s="64"/>
      <c r="HKY59" s="64"/>
      <c r="HKZ59" s="64"/>
      <c r="HLA59" s="64"/>
      <c r="HLB59" s="64"/>
      <c r="HLC59" s="64"/>
      <c r="HLD59" s="64"/>
      <c r="HLE59" s="64"/>
      <c r="HLF59" s="64"/>
      <c r="HLG59" s="64"/>
      <c r="HLH59" s="64"/>
      <c r="HLI59" s="64"/>
      <c r="HLJ59" s="64"/>
      <c r="HLK59" s="64"/>
      <c r="HLL59" s="64"/>
      <c r="HLM59" s="64"/>
      <c r="HLN59" s="64"/>
      <c r="HLO59" s="64"/>
      <c r="HLP59" s="64"/>
      <c r="HLQ59" s="64"/>
      <c r="HLR59" s="64"/>
      <c r="HLS59" s="64"/>
      <c r="HLT59" s="64"/>
      <c r="HLU59" s="64"/>
      <c r="HLV59" s="64"/>
      <c r="HLW59" s="64"/>
      <c r="HLX59" s="64"/>
      <c r="HLY59" s="64"/>
      <c r="HLZ59" s="64"/>
      <c r="HMA59" s="64"/>
      <c r="HMB59" s="64"/>
      <c r="HMC59" s="64"/>
      <c r="HMD59" s="64"/>
      <c r="HME59" s="64"/>
      <c r="HMF59" s="64"/>
      <c r="HMG59" s="64"/>
      <c r="HMH59" s="64"/>
      <c r="HMI59" s="64"/>
      <c r="HMJ59" s="64"/>
      <c r="HMK59" s="64"/>
      <c r="HML59" s="64"/>
      <c r="HMM59" s="64"/>
      <c r="HMN59" s="64"/>
      <c r="HMO59" s="64"/>
      <c r="HMP59" s="64"/>
      <c r="HMQ59" s="64"/>
      <c r="HMR59" s="64"/>
      <c r="HMS59" s="64"/>
      <c r="HMT59" s="64"/>
      <c r="HMU59" s="64"/>
      <c r="HMV59" s="64"/>
      <c r="HMW59" s="64"/>
      <c r="HMX59" s="64"/>
      <c r="HMY59" s="64"/>
      <c r="HMZ59" s="64"/>
      <c r="HNA59" s="64"/>
      <c r="HNB59" s="64"/>
      <c r="HNC59" s="64"/>
      <c r="HND59" s="64"/>
      <c r="HNE59" s="64"/>
      <c r="HNF59" s="64"/>
      <c r="HNG59" s="64"/>
      <c r="HNH59" s="64"/>
      <c r="HNI59" s="64"/>
      <c r="HNJ59" s="64"/>
      <c r="HNK59" s="64"/>
      <c r="HNL59" s="64"/>
      <c r="HNM59" s="64"/>
      <c r="HNN59" s="64"/>
      <c r="HNO59" s="64"/>
      <c r="HNP59" s="64"/>
      <c r="HNQ59" s="64"/>
      <c r="HNR59" s="64"/>
      <c r="HNS59" s="64"/>
      <c r="HNT59" s="64"/>
      <c r="HNU59" s="64"/>
      <c r="HNV59" s="64"/>
      <c r="HNW59" s="64"/>
      <c r="HNX59" s="64"/>
      <c r="HNY59" s="64"/>
      <c r="HNZ59" s="64"/>
      <c r="HOA59" s="64"/>
      <c r="HOB59" s="64"/>
      <c r="HOC59" s="64"/>
      <c r="HOD59" s="64"/>
      <c r="HOE59" s="64"/>
      <c r="HOF59" s="64"/>
      <c r="HOG59" s="64"/>
      <c r="HOH59" s="64"/>
      <c r="HOI59" s="64"/>
      <c r="HOJ59" s="64"/>
      <c r="HOK59" s="64"/>
      <c r="HOL59" s="64"/>
      <c r="HOM59" s="64"/>
      <c r="HON59" s="64"/>
      <c r="HOO59" s="64"/>
      <c r="HOP59" s="64"/>
      <c r="HOQ59" s="64"/>
      <c r="HOR59" s="64"/>
      <c r="HOS59" s="64"/>
      <c r="HOT59" s="64"/>
      <c r="HOU59" s="64"/>
      <c r="HOV59" s="64"/>
      <c r="HOW59" s="64"/>
      <c r="HOX59" s="64"/>
      <c r="HOY59" s="64"/>
      <c r="HOZ59" s="64"/>
      <c r="HPA59" s="64"/>
      <c r="HPB59" s="64"/>
      <c r="HPC59" s="64"/>
      <c r="HPD59" s="64"/>
      <c r="HPE59" s="64"/>
      <c r="HPF59" s="64"/>
      <c r="HPG59" s="64"/>
      <c r="HPH59" s="64"/>
      <c r="HPI59" s="64"/>
      <c r="HPJ59" s="64"/>
      <c r="HPK59" s="64"/>
      <c r="HPL59" s="64"/>
      <c r="HPM59" s="64"/>
      <c r="HPN59" s="64"/>
      <c r="HPO59" s="64"/>
      <c r="HPP59" s="64"/>
      <c r="HPQ59" s="64"/>
      <c r="HPR59" s="64"/>
      <c r="HPS59" s="64"/>
      <c r="HPT59" s="64"/>
      <c r="HPU59" s="64"/>
      <c r="HPV59" s="64"/>
      <c r="HPW59" s="64"/>
      <c r="HPX59" s="64"/>
      <c r="HPY59" s="64"/>
      <c r="HPZ59" s="64"/>
      <c r="HQA59" s="64"/>
      <c r="HQB59" s="64"/>
      <c r="HQC59" s="64"/>
      <c r="HQD59" s="64"/>
      <c r="HQE59" s="64"/>
      <c r="HQF59" s="64"/>
      <c r="HQG59" s="64"/>
      <c r="HQH59" s="64"/>
      <c r="HQI59" s="64"/>
      <c r="HQJ59" s="64"/>
      <c r="HQK59" s="64"/>
      <c r="HQL59" s="64"/>
      <c r="HQM59" s="64"/>
      <c r="HQN59" s="64"/>
      <c r="HQO59" s="64"/>
      <c r="HQP59" s="64"/>
      <c r="HQQ59" s="64"/>
      <c r="HQR59" s="64"/>
      <c r="HQS59" s="64"/>
      <c r="HQT59" s="64"/>
      <c r="HQU59" s="64"/>
      <c r="HQV59" s="64"/>
      <c r="HQW59" s="64"/>
      <c r="HQX59" s="64"/>
      <c r="HQY59" s="64"/>
      <c r="HQZ59" s="64"/>
      <c r="HRA59" s="64"/>
      <c r="HRB59" s="64"/>
      <c r="HRC59" s="64"/>
      <c r="HRD59" s="64"/>
      <c r="HRE59" s="64"/>
      <c r="HRF59" s="64"/>
      <c r="HRG59" s="64"/>
      <c r="HRH59" s="64"/>
      <c r="HRI59" s="64"/>
      <c r="HRJ59" s="64"/>
      <c r="HRK59" s="64"/>
      <c r="HRL59" s="64"/>
      <c r="HRM59" s="64"/>
      <c r="HRN59" s="64"/>
      <c r="HRO59" s="64"/>
      <c r="HRP59" s="64"/>
      <c r="HRQ59" s="64"/>
      <c r="HRR59" s="64"/>
      <c r="HRS59" s="64"/>
      <c r="HRT59" s="64"/>
      <c r="HRU59" s="64"/>
      <c r="HRV59" s="64"/>
      <c r="HRW59" s="64"/>
      <c r="HRX59" s="64"/>
      <c r="HRY59" s="64"/>
      <c r="HRZ59" s="64"/>
      <c r="HSA59" s="64"/>
      <c r="HSB59" s="64"/>
      <c r="HSC59" s="64"/>
      <c r="HSD59" s="64"/>
      <c r="HSE59" s="64"/>
      <c r="HSF59" s="64"/>
      <c r="HSG59" s="64"/>
      <c r="HSH59" s="64"/>
      <c r="HSI59" s="64"/>
      <c r="HSJ59" s="64"/>
      <c r="HSK59" s="64"/>
      <c r="HSL59" s="64"/>
      <c r="HSM59" s="64"/>
      <c r="HSN59" s="64"/>
      <c r="HSO59" s="64"/>
      <c r="HSP59" s="64"/>
      <c r="HSQ59" s="64"/>
      <c r="HSR59" s="64"/>
      <c r="HSS59" s="64"/>
      <c r="HST59" s="64"/>
      <c r="HSU59" s="64"/>
      <c r="HSV59" s="64"/>
      <c r="HSW59" s="64"/>
      <c r="HSX59" s="64"/>
      <c r="HSY59" s="64"/>
      <c r="HSZ59" s="64"/>
      <c r="HTA59" s="64"/>
      <c r="HTB59" s="64"/>
      <c r="HTC59" s="64"/>
      <c r="HTD59" s="64"/>
      <c r="HTE59" s="64"/>
      <c r="HTF59" s="64"/>
      <c r="HTG59" s="64"/>
      <c r="HTH59" s="64"/>
      <c r="HTI59" s="64"/>
      <c r="HTJ59" s="64"/>
      <c r="HTK59" s="64"/>
      <c r="HTL59" s="64"/>
      <c r="HTM59" s="64"/>
      <c r="HTN59" s="64"/>
      <c r="HTO59" s="64"/>
      <c r="HTP59" s="64"/>
      <c r="HTQ59" s="64"/>
      <c r="HTR59" s="64"/>
      <c r="HTS59" s="64"/>
      <c r="HTT59" s="64"/>
      <c r="HTU59" s="64"/>
      <c r="HTV59" s="64"/>
      <c r="HTW59" s="64"/>
      <c r="HTX59" s="64"/>
      <c r="HTY59" s="64"/>
      <c r="HTZ59" s="64"/>
      <c r="HUA59" s="64"/>
      <c r="HUB59" s="64"/>
      <c r="HUC59" s="64"/>
      <c r="HUD59" s="64"/>
      <c r="HUE59" s="64"/>
      <c r="HUF59" s="64"/>
      <c r="HUG59" s="64"/>
      <c r="HUH59" s="64"/>
      <c r="HUI59" s="64"/>
      <c r="HUJ59" s="64"/>
      <c r="HUK59" s="64"/>
      <c r="HUL59" s="64"/>
      <c r="HUM59" s="64"/>
      <c r="HUN59" s="64"/>
      <c r="HUO59" s="64"/>
      <c r="HUP59" s="64"/>
      <c r="HUQ59" s="64"/>
      <c r="HUR59" s="64"/>
      <c r="HUS59" s="64"/>
      <c r="HUT59" s="64"/>
      <c r="HUU59" s="64"/>
      <c r="HUV59" s="64"/>
      <c r="HUW59" s="64"/>
      <c r="HUX59" s="64"/>
      <c r="HUY59" s="64"/>
      <c r="HUZ59" s="64"/>
      <c r="HVA59" s="64"/>
      <c r="HVB59" s="64"/>
      <c r="HVC59" s="64"/>
      <c r="HVD59" s="64"/>
      <c r="HVE59" s="64"/>
      <c r="HVF59" s="64"/>
      <c r="HVG59" s="64"/>
      <c r="HVH59" s="64"/>
      <c r="HVI59" s="64"/>
      <c r="HVJ59" s="64"/>
      <c r="HVK59" s="64"/>
      <c r="HVL59" s="64"/>
      <c r="HVM59" s="64"/>
      <c r="HVN59" s="64"/>
      <c r="HVO59" s="64"/>
      <c r="HVP59" s="64"/>
      <c r="HVQ59" s="64"/>
      <c r="HVR59" s="64"/>
      <c r="HVS59" s="64"/>
      <c r="HVT59" s="64"/>
      <c r="HVU59" s="64"/>
      <c r="HVV59" s="64"/>
      <c r="HVW59" s="64"/>
      <c r="HVX59" s="64"/>
      <c r="HVY59" s="64"/>
      <c r="HVZ59" s="64"/>
      <c r="HWA59" s="64"/>
      <c r="HWB59" s="64"/>
      <c r="HWC59" s="64"/>
      <c r="HWD59" s="64"/>
      <c r="HWE59" s="64"/>
      <c r="HWF59" s="64"/>
      <c r="HWG59" s="64"/>
      <c r="HWH59" s="64"/>
      <c r="HWI59" s="64"/>
      <c r="HWJ59" s="64"/>
      <c r="HWK59" s="64"/>
      <c r="HWL59" s="64"/>
      <c r="HWM59" s="64"/>
      <c r="HWN59" s="64"/>
      <c r="HWO59" s="64"/>
      <c r="HWP59" s="64"/>
      <c r="HWQ59" s="64"/>
      <c r="HWR59" s="64"/>
      <c r="HWS59" s="64"/>
      <c r="HWT59" s="64"/>
      <c r="HWU59" s="64"/>
      <c r="HWV59" s="64"/>
      <c r="HWW59" s="64"/>
      <c r="HWX59" s="64"/>
      <c r="HWY59" s="64"/>
      <c r="HWZ59" s="64"/>
      <c r="HXA59" s="64"/>
      <c r="HXB59" s="64"/>
      <c r="HXC59" s="64"/>
      <c r="HXD59" s="64"/>
      <c r="HXE59" s="64"/>
      <c r="HXF59" s="64"/>
      <c r="HXG59" s="64"/>
      <c r="HXH59" s="64"/>
      <c r="HXI59" s="64"/>
      <c r="HXJ59" s="64"/>
      <c r="HXK59" s="64"/>
      <c r="HXL59" s="64"/>
      <c r="HXM59" s="64"/>
      <c r="HXN59" s="64"/>
      <c r="HXO59" s="64"/>
      <c r="HXP59" s="64"/>
      <c r="HXQ59" s="64"/>
      <c r="HXR59" s="64"/>
      <c r="HXS59" s="64"/>
      <c r="HXT59" s="64"/>
      <c r="HXU59" s="64"/>
      <c r="HXV59" s="64"/>
      <c r="HXW59" s="64"/>
      <c r="HXX59" s="64"/>
      <c r="HXY59" s="64"/>
      <c r="HXZ59" s="64"/>
      <c r="HYA59" s="64"/>
      <c r="HYB59" s="64"/>
      <c r="HYC59" s="64"/>
      <c r="HYD59" s="64"/>
      <c r="HYE59" s="64"/>
      <c r="HYF59" s="64"/>
      <c r="HYG59" s="64"/>
      <c r="HYH59" s="64"/>
      <c r="HYI59" s="64"/>
      <c r="HYJ59" s="64"/>
      <c r="HYK59" s="64"/>
      <c r="HYL59" s="64"/>
      <c r="HYM59" s="64"/>
      <c r="HYN59" s="64"/>
      <c r="HYO59" s="64"/>
      <c r="HYP59" s="64"/>
      <c r="HYQ59" s="64"/>
      <c r="HYR59" s="64"/>
      <c r="HYS59" s="64"/>
      <c r="HYT59" s="64"/>
      <c r="HYU59" s="64"/>
      <c r="HYV59" s="64"/>
      <c r="HYW59" s="64"/>
      <c r="HYX59" s="64"/>
      <c r="HYY59" s="64"/>
      <c r="HYZ59" s="64"/>
      <c r="HZA59" s="64"/>
      <c r="HZB59" s="64"/>
      <c r="HZC59" s="64"/>
      <c r="HZD59" s="64"/>
      <c r="HZE59" s="64"/>
      <c r="HZF59" s="64"/>
      <c r="HZG59" s="64"/>
      <c r="HZH59" s="64"/>
      <c r="HZI59" s="64"/>
      <c r="HZJ59" s="64"/>
      <c r="HZK59" s="64"/>
      <c r="HZL59" s="64"/>
      <c r="HZM59" s="64"/>
      <c r="HZN59" s="64"/>
      <c r="HZO59" s="64"/>
      <c r="HZP59" s="64"/>
      <c r="HZQ59" s="64"/>
      <c r="HZR59" s="64"/>
      <c r="HZS59" s="64"/>
      <c r="HZT59" s="64"/>
      <c r="HZU59" s="64"/>
      <c r="HZV59" s="64"/>
      <c r="HZW59" s="64"/>
      <c r="HZX59" s="64"/>
      <c r="HZY59" s="64"/>
      <c r="HZZ59" s="64"/>
      <c r="IAA59" s="64"/>
      <c r="IAB59" s="64"/>
      <c r="IAC59" s="64"/>
      <c r="IAD59" s="64"/>
      <c r="IAE59" s="64"/>
      <c r="IAF59" s="64"/>
      <c r="IAG59" s="64"/>
      <c r="IAH59" s="64"/>
      <c r="IAI59" s="64"/>
      <c r="IAJ59" s="64"/>
      <c r="IAK59" s="64"/>
      <c r="IAL59" s="64"/>
      <c r="IAM59" s="64"/>
      <c r="IAN59" s="64"/>
      <c r="IAO59" s="64"/>
      <c r="IAP59" s="64"/>
      <c r="IAQ59" s="64"/>
      <c r="IAR59" s="64"/>
      <c r="IAS59" s="64"/>
      <c r="IAT59" s="64"/>
      <c r="IAU59" s="64"/>
      <c r="IAV59" s="64"/>
      <c r="IAW59" s="64"/>
      <c r="IAX59" s="64"/>
      <c r="IAY59" s="64"/>
      <c r="IAZ59" s="64"/>
      <c r="IBA59" s="64"/>
      <c r="IBB59" s="64"/>
      <c r="IBC59" s="64"/>
      <c r="IBD59" s="64"/>
      <c r="IBE59" s="64"/>
      <c r="IBF59" s="64"/>
      <c r="IBG59" s="64"/>
      <c r="IBH59" s="64"/>
      <c r="IBI59" s="64"/>
      <c r="IBJ59" s="64"/>
      <c r="IBK59" s="64"/>
      <c r="IBL59" s="64"/>
      <c r="IBM59" s="64"/>
      <c r="IBN59" s="64"/>
      <c r="IBO59" s="64"/>
      <c r="IBP59" s="64"/>
      <c r="IBQ59" s="64"/>
      <c r="IBR59" s="64"/>
      <c r="IBS59" s="64"/>
      <c r="IBT59" s="64"/>
      <c r="IBU59" s="64"/>
      <c r="IBV59" s="64"/>
      <c r="IBW59" s="64"/>
      <c r="IBX59" s="64"/>
      <c r="IBY59" s="64"/>
      <c r="IBZ59" s="64"/>
      <c r="ICA59" s="64"/>
      <c r="ICB59" s="64"/>
      <c r="ICC59" s="64"/>
      <c r="ICD59" s="64"/>
      <c r="ICE59" s="64"/>
      <c r="ICF59" s="64"/>
      <c r="ICG59" s="64"/>
      <c r="ICH59" s="64"/>
      <c r="ICI59" s="64"/>
      <c r="ICJ59" s="64"/>
      <c r="ICK59" s="64"/>
      <c r="ICL59" s="64"/>
      <c r="ICM59" s="64"/>
      <c r="ICN59" s="64"/>
      <c r="ICO59" s="64"/>
      <c r="ICP59" s="64"/>
      <c r="ICQ59" s="64"/>
      <c r="ICR59" s="64"/>
      <c r="ICS59" s="64"/>
      <c r="ICT59" s="64"/>
      <c r="ICU59" s="64"/>
      <c r="ICV59" s="64"/>
      <c r="ICW59" s="64"/>
      <c r="ICX59" s="64"/>
      <c r="ICY59" s="64"/>
      <c r="ICZ59" s="64"/>
      <c r="IDA59" s="64"/>
      <c r="IDB59" s="64"/>
      <c r="IDC59" s="64"/>
      <c r="IDD59" s="64"/>
      <c r="IDE59" s="64"/>
      <c r="IDF59" s="64"/>
      <c r="IDG59" s="64"/>
      <c r="IDH59" s="64"/>
      <c r="IDI59" s="64"/>
      <c r="IDJ59" s="64"/>
      <c r="IDK59" s="64"/>
      <c r="IDL59" s="64"/>
      <c r="IDM59" s="64"/>
      <c r="IDN59" s="64"/>
      <c r="IDO59" s="64"/>
      <c r="IDP59" s="64"/>
      <c r="IDQ59" s="64"/>
      <c r="IDR59" s="64"/>
      <c r="IDS59" s="64"/>
      <c r="IDT59" s="64"/>
      <c r="IDU59" s="64"/>
      <c r="IDV59" s="64"/>
      <c r="IDW59" s="64"/>
      <c r="IDX59" s="64"/>
      <c r="IDY59" s="64"/>
      <c r="IDZ59" s="64"/>
      <c r="IEA59" s="64"/>
      <c r="IEB59" s="64"/>
      <c r="IEC59" s="64"/>
      <c r="IED59" s="64"/>
      <c r="IEE59" s="64"/>
      <c r="IEF59" s="64"/>
      <c r="IEG59" s="64"/>
      <c r="IEH59" s="64"/>
      <c r="IEI59" s="64"/>
      <c r="IEJ59" s="64"/>
      <c r="IEK59" s="64"/>
      <c r="IEL59" s="64"/>
      <c r="IEM59" s="64"/>
      <c r="IEN59" s="64"/>
      <c r="IEO59" s="64"/>
      <c r="IEP59" s="64"/>
      <c r="IEQ59" s="64"/>
      <c r="IER59" s="64"/>
      <c r="IES59" s="64"/>
      <c r="IET59" s="64"/>
      <c r="IEU59" s="64"/>
      <c r="IEV59" s="64"/>
      <c r="IEW59" s="64"/>
      <c r="IEX59" s="64"/>
      <c r="IEY59" s="64"/>
      <c r="IEZ59" s="64"/>
      <c r="IFA59" s="64"/>
      <c r="IFB59" s="64"/>
      <c r="IFC59" s="64"/>
      <c r="IFD59" s="64"/>
      <c r="IFE59" s="64"/>
      <c r="IFF59" s="64"/>
      <c r="IFG59" s="64"/>
      <c r="IFH59" s="64"/>
      <c r="IFI59" s="64"/>
      <c r="IFJ59" s="64"/>
      <c r="IFK59" s="64"/>
      <c r="IFL59" s="64"/>
      <c r="IFM59" s="64"/>
      <c r="IFN59" s="64"/>
      <c r="IFO59" s="64"/>
      <c r="IFP59" s="64"/>
      <c r="IFQ59" s="64"/>
      <c r="IFR59" s="64"/>
      <c r="IFS59" s="64"/>
      <c r="IFT59" s="64"/>
      <c r="IFU59" s="64"/>
      <c r="IFV59" s="64"/>
      <c r="IFW59" s="64"/>
      <c r="IFX59" s="64"/>
      <c r="IFY59" s="64"/>
      <c r="IFZ59" s="64"/>
      <c r="IGA59" s="64"/>
      <c r="IGB59" s="64"/>
      <c r="IGC59" s="64"/>
      <c r="IGD59" s="64"/>
      <c r="IGE59" s="64"/>
      <c r="IGF59" s="64"/>
      <c r="IGG59" s="64"/>
      <c r="IGH59" s="64"/>
      <c r="IGI59" s="64"/>
      <c r="IGJ59" s="64"/>
      <c r="IGK59" s="64"/>
      <c r="IGL59" s="64"/>
      <c r="IGM59" s="64"/>
      <c r="IGN59" s="64"/>
      <c r="IGO59" s="64"/>
      <c r="IGP59" s="64"/>
      <c r="IGQ59" s="64"/>
      <c r="IGR59" s="64"/>
      <c r="IGS59" s="64"/>
      <c r="IGT59" s="64"/>
      <c r="IGU59" s="64"/>
      <c r="IGV59" s="64"/>
      <c r="IGW59" s="64"/>
      <c r="IGX59" s="64"/>
      <c r="IGY59" s="64"/>
      <c r="IGZ59" s="64"/>
      <c r="IHA59" s="64"/>
      <c r="IHB59" s="64"/>
      <c r="IHC59" s="64"/>
      <c r="IHD59" s="64"/>
      <c r="IHE59" s="64"/>
      <c r="IHF59" s="64"/>
      <c r="IHG59" s="64"/>
      <c r="IHH59" s="64"/>
      <c r="IHI59" s="64"/>
      <c r="IHJ59" s="64"/>
      <c r="IHK59" s="64"/>
      <c r="IHL59" s="64"/>
      <c r="IHM59" s="64"/>
      <c r="IHN59" s="64"/>
      <c r="IHO59" s="64"/>
      <c r="IHP59" s="64"/>
      <c r="IHQ59" s="64"/>
      <c r="IHR59" s="64"/>
      <c r="IHS59" s="64"/>
      <c r="IHT59" s="64"/>
      <c r="IHU59" s="64"/>
      <c r="IHV59" s="64"/>
      <c r="IHW59" s="64"/>
      <c r="IHX59" s="64"/>
      <c r="IHY59" s="64"/>
      <c r="IHZ59" s="64"/>
      <c r="IIA59" s="64"/>
      <c r="IIB59" s="64"/>
      <c r="IIC59" s="64"/>
      <c r="IID59" s="64"/>
      <c r="IIE59" s="64"/>
      <c r="IIF59" s="64"/>
      <c r="IIG59" s="64"/>
      <c r="IIH59" s="64"/>
      <c r="III59" s="64"/>
      <c r="IIJ59" s="64"/>
      <c r="IIK59" s="64"/>
      <c r="IIL59" s="64"/>
      <c r="IIM59" s="64"/>
      <c r="IIN59" s="64"/>
      <c r="IIO59" s="64"/>
      <c r="IIP59" s="64"/>
      <c r="IIQ59" s="64"/>
      <c r="IIR59" s="64"/>
      <c r="IIS59" s="64"/>
      <c r="IIT59" s="64"/>
      <c r="IIU59" s="64"/>
      <c r="IIV59" s="64"/>
      <c r="IIW59" s="64"/>
      <c r="IIX59" s="64"/>
      <c r="IIY59" s="64"/>
      <c r="IIZ59" s="64"/>
      <c r="IJA59" s="64"/>
      <c r="IJB59" s="64"/>
      <c r="IJC59" s="64"/>
      <c r="IJD59" s="64"/>
      <c r="IJE59" s="64"/>
      <c r="IJF59" s="64"/>
      <c r="IJG59" s="64"/>
      <c r="IJH59" s="64"/>
      <c r="IJI59" s="64"/>
      <c r="IJJ59" s="64"/>
      <c r="IJK59" s="64"/>
      <c r="IJL59" s="64"/>
      <c r="IJM59" s="64"/>
      <c r="IJN59" s="64"/>
      <c r="IJO59" s="64"/>
      <c r="IJP59" s="64"/>
      <c r="IJQ59" s="64"/>
      <c r="IJR59" s="64"/>
      <c r="IJS59" s="64"/>
      <c r="IJT59" s="64"/>
      <c r="IJU59" s="64"/>
      <c r="IJV59" s="64"/>
      <c r="IJW59" s="64"/>
      <c r="IJX59" s="64"/>
      <c r="IJY59" s="64"/>
      <c r="IJZ59" s="64"/>
      <c r="IKA59" s="64"/>
      <c r="IKB59" s="64"/>
      <c r="IKC59" s="64"/>
      <c r="IKD59" s="64"/>
      <c r="IKE59" s="64"/>
      <c r="IKF59" s="64"/>
      <c r="IKG59" s="64"/>
      <c r="IKH59" s="64"/>
      <c r="IKI59" s="64"/>
      <c r="IKJ59" s="64"/>
      <c r="IKK59" s="64"/>
      <c r="IKL59" s="64"/>
      <c r="IKM59" s="64"/>
      <c r="IKN59" s="64"/>
      <c r="IKO59" s="64"/>
      <c r="IKP59" s="64"/>
      <c r="IKQ59" s="64"/>
      <c r="IKR59" s="64"/>
      <c r="IKS59" s="64"/>
      <c r="IKT59" s="64"/>
      <c r="IKU59" s="64"/>
      <c r="IKV59" s="64"/>
      <c r="IKW59" s="64"/>
      <c r="IKX59" s="64"/>
      <c r="IKY59" s="64"/>
      <c r="IKZ59" s="64"/>
      <c r="ILA59" s="64"/>
      <c r="ILB59" s="64"/>
      <c r="ILC59" s="64"/>
      <c r="ILD59" s="64"/>
      <c r="ILE59" s="64"/>
      <c r="ILF59" s="64"/>
      <c r="ILG59" s="64"/>
      <c r="ILH59" s="64"/>
      <c r="ILI59" s="64"/>
      <c r="ILJ59" s="64"/>
      <c r="ILK59" s="64"/>
      <c r="ILL59" s="64"/>
      <c r="ILM59" s="64"/>
      <c r="ILN59" s="64"/>
      <c r="ILO59" s="64"/>
      <c r="ILP59" s="64"/>
      <c r="ILQ59" s="64"/>
      <c r="ILR59" s="64"/>
      <c r="ILS59" s="64"/>
      <c r="ILT59" s="64"/>
      <c r="ILU59" s="64"/>
      <c r="ILV59" s="64"/>
      <c r="ILW59" s="64"/>
      <c r="ILX59" s="64"/>
      <c r="ILY59" s="64"/>
      <c r="ILZ59" s="64"/>
      <c r="IMA59" s="64"/>
      <c r="IMB59" s="64"/>
      <c r="IMC59" s="64"/>
      <c r="IMD59" s="64"/>
      <c r="IME59" s="64"/>
      <c r="IMF59" s="64"/>
      <c r="IMG59" s="64"/>
      <c r="IMH59" s="64"/>
      <c r="IMI59" s="64"/>
      <c r="IMJ59" s="64"/>
      <c r="IMK59" s="64"/>
      <c r="IML59" s="64"/>
      <c r="IMM59" s="64"/>
      <c r="IMN59" s="64"/>
      <c r="IMO59" s="64"/>
      <c r="IMP59" s="64"/>
      <c r="IMQ59" s="64"/>
      <c r="IMR59" s="64"/>
      <c r="IMS59" s="64"/>
      <c r="IMT59" s="64"/>
      <c r="IMU59" s="64"/>
      <c r="IMV59" s="64"/>
      <c r="IMW59" s="64"/>
      <c r="IMX59" s="64"/>
      <c r="IMY59" s="64"/>
      <c r="IMZ59" s="64"/>
      <c r="INA59" s="64"/>
      <c r="INB59" s="64"/>
      <c r="INC59" s="64"/>
      <c r="IND59" s="64"/>
      <c r="INE59" s="64"/>
      <c r="INF59" s="64"/>
      <c r="ING59" s="64"/>
      <c r="INH59" s="64"/>
      <c r="INI59" s="64"/>
      <c r="INJ59" s="64"/>
      <c r="INK59" s="64"/>
      <c r="INL59" s="64"/>
      <c r="INM59" s="64"/>
      <c r="INN59" s="64"/>
      <c r="INO59" s="64"/>
      <c r="INP59" s="64"/>
      <c r="INQ59" s="64"/>
      <c r="INR59" s="64"/>
      <c r="INS59" s="64"/>
      <c r="INT59" s="64"/>
      <c r="INU59" s="64"/>
      <c r="INV59" s="64"/>
      <c r="INW59" s="64"/>
      <c r="INX59" s="64"/>
      <c r="INY59" s="64"/>
      <c r="INZ59" s="64"/>
      <c r="IOA59" s="64"/>
      <c r="IOB59" s="64"/>
      <c r="IOC59" s="64"/>
      <c r="IOD59" s="64"/>
      <c r="IOE59" s="64"/>
      <c r="IOF59" s="64"/>
      <c r="IOG59" s="64"/>
      <c r="IOH59" s="64"/>
      <c r="IOI59" s="64"/>
      <c r="IOJ59" s="64"/>
      <c r="IOK59" s="64"/>
      <c r="IOL59" s="64"/>
      <c r="IOM59" s="64"/>
      <c r="ION59" s="64"/>
      <c r="IOO59" s="64"/>
      <c r="IOP59" s="64"/>
      <c r="IOQ59" s="64"/>
      <c r="IOR59" s="64"/>
      <c r="IOS59" s="64"/>
      <c r="IOT59" s="64"/>
      <c r="IOU59" s="64"/>
      <c r="IOV59" s="64"/>
      <c r="IOW59" s="64"/>
      <c r="IOX59" s="64"/>
      <c r="IOY59" s="64"/>
      <c r="IOZ59" s="64"/>
      <c r="IPA59" s="64"/>
      <c r="IPB59" s="64"/>
      <c r="IPC59" s="64"/>
      <c r="IPD59" s="64"/>
      <c r="IPE59" s="64"/>
      <c r="IPF59" s="64"/>
      <c r="IPG59" s="64"/>
      <c r="IPH59" s="64"/>
      <c r="IPI59" s="64"/>
      <c r="IPJ59" s="64"/>
      <c r="IPK59" s="64"/>
      <c r="IPL59" s="64"/>
      <c r="IPM59" s="64"/>
      <c r="IPN59" s="64"/>
      <c r="IPO59" s="64"/>
      <c r="IPP59" s="64"/>
      <c r="IPQ59" s="64"/>
      <c r="IPR59" s="64"/>
      <c r="IPS59" s="64"/>
      <c r="IPT59" s="64"/>
      <c r="IPU59" s="64"/>
      <c r="IPV59" s="64"/>
      <c r="IPW59" s="64"/>
      <c r="IPX59" s="64"/>
      <c r="IPY59" s="64"/>
      <c r="IPZ59" s="64"/>
      <c r="IQA59" s="64"/>
      <c r="IQB59" s="64"/>
      <c r="IQC59" s="64"/>
      <c r="IQD59" s="64"/>
      <c r="IQE59" s="64"/>
      <c r="IQF59" s="64"/>
      <c r="IQG59" s="64"/>
      <c r="IQH59" s="64"/>
      <c r="IQI59" s="64"/>
      <c r="IQJ59" s="64"/>
      <c r="IQK59" s="64"/>
      <c r="IQL59" s="64"/>
      <c r="IQM59" s="64"/>
      <c r="IQN59" s="64"/>
      <c r="IQO59" s="64"/>
      <c r="IQP59" s="64"/>
      <c r="IQQ59" s="64"/>
      <c r="IQR59" s="64"/>
      <c r="IQS59" s="64"/>
      <c r="IQT59" s="64"/>
      <c r="IQU59" s="64"/>
      <c r="IQV59" s="64"/>
      <c r="IQW59" s="64"/>
      <c r="IQX59" s="64"/>
      <c r="IQY59" s="64"/>
      <c r="IQZ59" s="64"/>
      <c r="IRA59" s="64"/>
      <c r="IRB59" s="64"/>
      <c r="IRC59" s="64"/>
      <c r="IRD59" s="64"/>
      <c r="IRE59" s="64"/>
      <c r="IRF59" s="64"/>
      <c r="IRG59" s="64"/>
      <c r="IRH59" s="64"/>
      <c r="IRI59" s="64"/>
      <c r="IRJ59" s="64"/>
      <c r="IRK59" s="64"/>
      <c r="IRL59" s="64"/>
      <c r="IRM59" s="64"/>
      <c r="IRN59" s="64"/>
      <c r="IRO59" s="64"/>
      <c r="IRP59" s="64"/>
      <c r="IRQ59" s="64"/>
      <c r="IRR59" s="64"/>
      <c r="IRS59" s="64"/>
      <c r="IRT59" s="64"/>
      <c r="IRU59" s="64"/>
      <c r="IRV59" s="64"/>
      <c r="IRW59" s="64"/>
      <c r="IRX59" s="64"/>
      <c r="IRY59" s="64"/>
      <c r="IRZ59" s="64"/>
      <c r="ISA59" s="64"/>
      <c r="ISB59" s="64"/>
      <c r="ISC59" s="64"/>
      <c r="ISD59" s="64"/>
      <c r="ISE59" s="64"/>
      <c r="ISF59" s="64"/>
      <c r="ISG59" s="64"/>
      <c r="ISH59" s="64"/>
      <c r="ISI59" s="64"/>
      <c r="ISJ59" s="64"/>
      <c r="ISK59" s="64"/>
      <c r="ISL59" s="64"/>
      <c r="ISM59" s="64"/>
      <c r="ISN59" s="64"/>
      <c r="ISO59" s="64"/>
      <c r="ISP59" s="64"/>
      <c r="ISQ59" s="64"/>
      <c r="ISR59" s="64"/>
      <c r="ISS59" s="64"/>
      <c r="IST59" s="64"/>
      <c r="ISU59" s="64"/>
      <c r="ISV59" s="64"/>
      <c r="ISW59" s="64"/>
      <c r="ISX59" s="64"/>
      <c r="ISY59" s="64"/>
      <c r="ISZ59" s="64"/>
      <c r="ITA59" s="64"/>
      <c r="ITB59" s="64"/>
      <c r="ITC59" s="64"/>
      <c r="ITD59" s="64"/>
      <c r="ITE59" s="64"/>
      <c r="ITF59" s="64"/>
      <c r="ITG59" s="64"/>
      <c r="ITH59" s="64"/>
      <c r="ITI59" s="64"/>
      <c r="ITJ59" s="64"/>
      <c r="ITK59" s="64"/>
      <c r="ITL59" s="64"/>
      <c r="ITM59" s="64"/>
      <c r="ITN59" s="64"/>
      <c r="ITO59" s="64"/>
      <c r="ITP59" s="64"/>
      <c r="ITQ59" s="64"/>
      <c r="ITR59" s="64"/>
      <c r="ITS59" s="64"/>
      <c r="ITT59" s="64"/>
      <c r="ITU59" s="64"/>
      <c r="ITV59" s="64"/>
      <c r="ITW59" s="64"/>
      <c r="ITX59" s="64"/>
      <c r="ITY59" s="64"/>
      <c r="ITZ59" s="64"/>
      <c r="IUA59" s="64"/>
      <c r="IUB59" s="64"/>
      <c r="IUC59" s="64"/>
      <c r="IUD59" s="64"/>
      <c r="IUE59" s="64"/>
      <c r="IUF59" s="64"/>
      <c r="IUG59" s="64"/>
      <c r="IUH59" s="64"/>
      <c r="IUI59" s="64"/>
      <c r="IUJ59" s="64"/>
      <c r="IUK59" s="64"/>
      <c r="IUL59" s="64"/>
      <c r="IUM59" s="64"/>
      <c r="IUN59" s="64"/>
      <c r="IUO59" s="64"/>
      <c r="IUP59" s="64"/>
      <c r="IUQ59" s="64"/>
      <c r="IUR59" s="64"/>
      <c r="IUS59" s="64"/>
      <c r="IUT59" s="64"/>
      <c r="IUU59" s="64"/>
      <c r="IUV59" s="64"/>
      <c r="IUW59" s="64"/>
      <c r="IUX59" s="64"/>
      <c r="IUY59" s="64"/>
      <c r="IUZ59" s="64"/>
      <c r="IVA59" s="64"/>
      <c r="IVB59" s="64"/>
      <c r="IVC59" s="64"/>
      <c r="IVD59" s="64"/>
      <c r="IVE59" s="64"/>
      <c r="IVF59" s="64"/>
      <c r="IVG59" s="64"/>
      <c r="IVH59" s="64"/>
      <c r="IVI59" s="64"/>
      <c r="IVJ59" s="64"/>
      <c r="IVK59" s="64"/>
      <c r="IVL59" s="64"/>
      <c r="IVM59" s="64"/>
      <c r="IVN59" s="64"/>
      <c r="IVO59" s="64"/>
      <c r="IVP59" s="64"/>
      <c r="IVQ59" s="64"/>
      <c r="IVR59" s="64"/>
      <c r="IVS59" s="64"/>
      <c r="IVT59" s="64"/>
      <c r="IVU59" s="64"/>
      <c r="IVV59" s="64"/>
      <c r="IVW59" s="64"/>
      <c r="IVX59" s="64"/>
      <c r="IVY59" s="64"/>
      <c r="IVZ59" s="64"/>
      <c r="IWA59" s="64"/>
      <c r="IWB59" s="64"/>
      <c r="IWC59" s="64"/>
      <c r="IWD59" s="64"/>
      <c r="IWE59" s="64"/>
      <c r="IWF59" s="64"/>
      <c r="IWG59" s="64"/>
      <c r="IWH59" s="64"/>
      <c r="IWI59" s="64"/>
      <c r="IWJ59" s="64"/>
      <c r="IWK59" s="64"/>
      <c r="IWL59" s="64"/>
      <c r="IWM59" s="64"/>
      <c r="IWN59" s="64"/>
      <c r="IWO59" s="64"/>
      <c r="IWP59" s="64"/>
      <c r="IWQ59" s="64"/>
      <c r="IWR59" s="64"/>
      <c r="IWS59" s="64"/>
      <c r="IWT59" s="64"/>
      <c r="IWU59" s="64"/>
      <c r="IWV59" s="64"/>
      <c r="IWW59" s="64"/>
      <c r="IWX59" s="64"/>
      <c r="IWY59" s="64"/>
      <c r="IWZ59" s="64"/>
      <c r="IXA59" s="64"/>
      <c r="IXB59" s="64"/>
      <c r="IXC59" s="64"/>
      <c r="IXD59" s="64"/>
      <c r="IXE59" s="64"/>
      <c r="IXF59" s="64"/>
      <c r="IXG59" s="64"/>
      <c r="IXH59" s="64"/>
      <c r="IXI59" s="64"/>
      <c r="IXJ59" s="64"/>
      <c r="IXK59" s="64"/>
      <c r="IXL59" s="64"/>
      <c r="IXM59" s="64"/>
      <c r="IXN59" s="64"/>
      <c r="IXO59" s="64"/>
      <c r="IXP59" s="64"/>
      <c r="IXQ59" s="64"/>
      <c r="IXR59" s="64"/>
      <c r="IXS59" s="64"/>
      <c r="IXT59" s="64"/>
      <c r="IXU59" s="64"/>
      <c r="IXV59" s="64"/>
      <c r="IXW59" s="64"/>
      <c r="IXX59" s="64"/>
      <c r="IXY59" s="64"/>
      <c r="IXZ59" s="64"/>
      <c r="IYA59" s="64"/>
      <c r="IYB59" s="64"/>
      <c r="IYC59" s="64"/>
      <c r="IYD59" s="64"/>
      <c r="IYE59" s="64"/>
      <c r="IYF59" s="64"/>
      <c r="IYG59" s="64"/>
      <c r="IYH59" s="64"/>
      <c r="IYI59" s="64"/>
      <c r="IYJ59" s="64"/>
      <c r="IYK59" s="64"/>
      <c r="IYL59" s="64"/>
      <c r="IYM59" s="64"/>
      <c r="IYN59" s="64"/>
      <c r="IYO59" s="64"/>
      <c r="IYP59" s="64"/>
      <c r="IYQ59" s="64"/>
      <c r="IYR59" s="64"/>
      <c r="IYS59" s="64"/>
      <c r="IYT59" s="64"/>
      <c r="IYU59" s="64"/>
      <c r="IYV59" s="64"/>
      <c r="IYW59" s="64"/>
      <c r="IYX59" s="64"/>
      <c r="IYY59" s="64"/>
      <c r="IYZ59" s="64"/>
      <c r="IZA59" s="64"/>
      <c r="IZB59" s="64"/>
      <c r="IZC59" s="64"/>
      <c r="IZD59" s="64"/>
      <c r="IZE59" s="64"/>
      <c r="IZF59" s="64"/>
      <c r="IZG59" s="64"/>
      <c r="IZH59" s="64"/>
      <c r="IZI59" s="64"/>
      <c r="IZJ59" s="64"/>
      <c r="IZK59" s="64"/>
      <c r="IZL59" s="64"/>
      <c r="IZM59" s="64"/>
      <c r="IZN59" s="64"/>
      <c r="IZO59" s="64"/>
      <c r="IZP59" s="64"/>
      <c r="IZQ59" s="64"/>
      <c r="IZR59" s="64"/>
      <c r="IZS59" s="64"/>
      <c r="IZT59" s="64"/>
      <c r="IZU59" s="64"/>
      <c r="IZV59" s="64"/>
      <c r="IZW59" s="64"/>
      <c r="IZX59" s="64"/>
      <c r="IZY59" s="64"/>
      <c r="IZZ59" s="64"/>
      <c r="JAA59" s="64"/>
      <c r="JAB59" s="64"/>
      <c r="JAC59" s="64"/>
      <c r="JAD59" s="64"/>
      <c r="JAE59" s="64"/>
      <c r="JAF59" s="64"/>
      <c r="JAG59" s="64"/>
      <c r="JAH59" s="64"/>
      <c r="JAI59" s="64"/>
      <c r="JAJ59" s="64"/>
      <c r="JAK59" s="64"/>
      <c r="JAL59" s="64"/>
      <c r="JAM59" s="64"/>
      <c r="JAN59" s="64"/>
      <c r="JAO59" s="64"/>
      <c r="JAP59" s="64"/>
      <c r="JAQ59" s="64"/>
      <c r="JAR59" s="64"/>
      <c r="JAS59" s="64"/>
      <c r="JAT59" s="64"/>
      <c r="JAU59" s="64"/>
      <c r="JAV59" s="64"/>
      <c r="JAW59" s="64"/>
      <c r="JAX59" s="64"/>
      <c r="JAY59" s="64"/>
      <c r="JAZ59" s="64"/>
      <c r="JBA59" s="64"/>
      <c r="JBB59" s="64"/>
      <c r="JBC59" s="64"/>
      <c r="JBD59" s="64"/>
      <c r="JBE59" s="64"/>
      <c r="JBF59" s="64"/>
      <c r="JBG59" s="64"/>
      <c r="JBH59" s="64"/>
      <c r="JBI59" s="64"/>
      <c r="JBJ59" s="64"/>
      <c r="JBK59" s="64"/>
      <c r="JBL59" s="64"/>
      <c r="JBM59" s="64"/>
      <c r="JBN59" s="64"/>
      <c r="JBO59" s="64"/>
      <c r="JBP59" s="64"/>
      <c r="JBQ59" s="64"/>
      <c r="JBR59" s="64"/>
      <c r="JBS59" s="64"/>
      <c r="JBT59" s="64"/>
      <c r="JBU59" s="64"/>
      <c r="JBV59" s="64"/>
      <c r="JBW59" s="64"/>
      <c r="JBX59" s="64"/>
      <c r="JBY59" s="64"/>
      <c r="JBZ59" s="64"/>
      <c r="JCA59" s="64"/>
      <c r="JCB59" s="64"/>
      <c r="JCC59" s="64"/>
      <c r="JCD59" s="64"/>
      <c r="JCE59" s="64"/>
      <c r="JCF59" s="64"/>
      <c r="JCG59" s="64"/>
      <c r="JCH59" s="64"/>
      <c r="JCI59" s="64"/>
      <c r="JCJ59" s="64"/>
      <c r="JCK59" s="64"/>
      <c r="JCL59" s="64"/>
      <c r="JCM59" s="64"/>
      <c r="JCN59" s="64"/>
      <c r="JCO59" s="64"/>
      <c r="JCP59" s="64"/>
      <c r="JCQ59" s="64"/>
      <c r="JCR59" s="64"/>
      <c r="JCS59" s="64"/>
      <c r="JCT59" s="64"/>
      <c r="JCU59" s="64"/>
      <c r="JCV59" s="64"/>
      <c r="JCW59" s="64"/>
      <c r="JCX59" s="64"/>
      <c r="JCY59" s="64"/>
      <c r="JCZ59" s="64"/>
      <c r="JDA59" s="64"/>
      <c r="JDB59" s="64"/>
      <c r="JDC59" s="64"/>
      <c r="JDD59" s="64"/>
      <c r="JDE59" s="64"/>
      <c r="JDF59" s="64"/>
      <c r="JDG59" s="64"/>
      <c r="JDH59" s="64"/>
      <c r="JDI59" s="64"/>
      <c r="JDJ59" s="64"/>
      <c r="JDK59" s="64"/>
      <c r="JDL59" s="64"/>
      <c r="JDM59" s="64"/>
      <c r="JDN59" s="64"/>
      <c r="JDO59" s="64"/>
      <c r="JDP59" s="64"/>
      <c r="JDQ59" s="64"/>
      <c r="JDR59" s="64"/>
      <c r="JDS59" s="64"/>
      <c r="JDT59" s="64"/>
      <c r="JDU59" s="64"/>
      <c r="JDV59" s="64"/>
      <c r="JDW59" s="64"/>
      <c r="JDX59" s="64"/>
      <c r="JDY59" s="64"/>
      <c r="JDZ59" s="64"/>
      <c r="JEA59" s="64"/>
      <c r="JEB59" s="64"/>
      <c r="JEC59" s="64"/>
      <c r="JED59" s="64"/>
      <c r="JEE59" s="64"/>
      <c r="JEF59" s="64"/>
      <c r="JEG59" s="64"/>
      <c r="JEH59" s="64"/>
      <c r="JEI59" s="64"/>
      <c r="JEJ59" s="64"/>
      <c r="JEK59" s="64"/>
      <c r="JEL59" s="64"/>
      <c r="JEM59" s="64"/>
      <c r="JEN59" s="64"/>
      <c r="JEO59" s="64"/>
      <c r="JEP59" s="64"/>
      <c r="JEQ59" s="64"/>
      <c r="JER59" s="64"/>
      <c r="JES59" s="64"/>
      <c r="JET59" s="64"/>
      <c r="JEU59" s="64"/>
      <c r="JEV59" s="64"/>
      <c r="JEW59" s="64"/>
      <c r="JEX59" s="64"/>
      <c r="JEY59" s="64"/>
      <c r="JEZ59" s="64"/>
      <c r="JFA59" s="64"/>
      <c r="JFB59" s="64"/>
      <c r="JFC59" s="64"/>
      <c r="JFD59" s="64"/>
      <c r="JFE59" s="64"/>
      <c r="JFF59" s="64"/>
      <c r="JFG59" s="64"/>
      <c r="JFH59" s="64"/>
      <c r="JFI59" s="64"/>
      <c r="JFJ59" s="64"/>
      <c r="JFK59" s="64"/>
      <c r="JFL59" s="64"/>
      <c r="JFM59" s="64"/>
      <c r="JFN59" s="64"/>
      <c r="JFO59" s="64"/>
      <c r="JFP59" s="64"/>
      <c r="JFQ59" s="64"/>
      <c r="JFR59" s="64"/>
      <c r="JFS59" s="64"/>
      <c r="JFT59" s="64"/>
      <c r="JFU59" s="64"/>
      <c r="JFV59" s="64"/>
      <c r="JFW59" s="64"/>
      <c r="JFX59" s="64"/>
      <c r="JFY59" s="64"/>
      <c r="JFZ59" s="64"/>
      <c r="JGA59" s="64"/>
      <c r="JGB59" s="64"/>
      <c r="JGC59" s="64"/>
      <c r="JGD59" s="64"/>
      <c r="JGE59" s="64"/>
      <c r="JGF59" s="64"/>
      <c r="JGG59" s="64"/>
      <c r="JGH59" s="64"/>
      <c r="JGI59" s="64"/>
      <c r="JGJ59" s="64"/>
      <c r="JGK59" s="64"/>
      <c r="JGL59" s="64"/>
      <c r="JGM59" s="64"/>
      <c r="JGN59" s="64"/>
      <c r="JGO59" s="64"/>
      <c r="JGP59" s="64"/>
      <c r="JGQ59" s="64"/>
      <c r="JGR59" s="64"/>
      <c r="JGS59" s="64"/>
      <c r="JGT59" s="64"/>
      <c r="JGU59" s="64"/>
      <c r="JGV59" s="64"/>
      <c r="JGW59" s="64"/>
      <c r="JGX59" s="64"/>
      <c r="JGY59" s="64"/>
      <c r="JGZ59" s="64"/>
      <c r="JHA59" s="64"/>
      <c r="JHB59" s="64"/>
      <c r="JHC59" s="64"/>
      <c r="JHD59" s="64"/>
      <c r="JHE59" s="64"/>
      <c r="JHF59" s="64"/>
      <c r="JHG59" s="64"/>
      <c r="JHH59" s="64"/>
      <c r="JHI59" s="64"/>
      <c r="JHJ59" s="64"/>
      <c r="JHK59" s="64"/>
      <c r="JHL59" s="64"/>
      <c r="JHM59" s="64"/>
      <c r="JHN59" s="64"/>
      <c r="JHO59" s="64"/>
      <c r="JHP59" s="64"/>
      <c r="JHQ59" s="64"/>
      <c r="JHR59" s="64"/>
      <c r="JHS59" s="64"/>
      <c r="JHT59" s="64"/>
      <c r="JHU59" s="64"/>
      <c r="JHV59" s="64"/>
      <c r="JHW59" s="64"/>
      <c r="JHX59" s="64"/>
      <c r="JHY59" s="64"/>
      <c r="JHZ59" s="64"/>
      <c r="JIA59" s="64"/>
      <c r="JIB59" s="64"/>
      <c r="JIC59" s="64"/>
      <c r="JID59" s="64"/>
      <c r="JIE59" s="64"/>
      <c r="JIF59" s="64"/>
      <c r="JIG59" s="64"/>
      <c r="JIH59" s="64"/>
      <c r="JII59" s="64"/>
      <c r="JIJ59" s="64"/>
      <c r="JIK59" s="64"/>
      <c r="JIL59" s="64"/>
      <c r="JIM59" s="64"/>
      <c r="JIN59" s="64"/>
      <c r="JIO59" s="64"/>
      <c r="JIP59" s="64"/>
      <c r="JIQ59" s="64"/>
      <c r="JIR59" s="64"/>
      <c r="JIS59" s="64"/>
      <c r="JIT59" s="64"/>
      <c r="JIU59" s="64"/>
      <c r="JIV59" s="64"/>
      <c r="JIW59" s="64"/>
      <c r="JIX59" s="64"/>
      <c r="JIY59" s="64"/>
      <c r="JIZ59" s="64"/>
      <c r="JJA59" s="64"/>
      <c r="JJB59" s="64"/>
      <c r="JJC59" s="64"/>
      <c r="JJD59" s="64"/>
      <c r="JJE59" s="64"/>
      <c r="JJF59" s="64"/>
      <c r="JJG59" s="64"/>
      <c r="JJH59" s="64"/>
      <c r="JJI59" s="64"/>
      <c r="JJJ59" s="64"/>
      <c r="JJK59" s="64"/>
      <c r="JJL59" s="64"/>
      <c r="JJM59" s="64"/>
      <c r="JJN59" s="64"/>
      <c r="JJO59" s="64"/>
      <c r="JJP59" s="64"/>
      <c r="JJQ59" s="64"/>
      <c r="JJR59" s="64"/>
      <c r="JJS59" s="64"/>
      <c r="JJT59" s="64"/>
      <c r="JJU59" s="64"/>
      <c r="JJV59" s="64"/>
      <c r="JJW59" s="64"/>
      <c r="JJX59" s="64"/>
      <c r="JJY59" s="64"/>
      <c r="JJZ59" s="64"/>
      <c r="JKA59" s="64"/>
      <c r="JKB59" s="64"/>
      <c r="JKC59" s="64"/>
      <c r="JKD59" s="64"/>
      <c r="JKE59" s="64"/>
      <c r="JKF59" s="64"/>
      <c r="JKG59" s="64"/>
      <c r="JKH59" s="64"/>
      <c r="JKI59" s="64"/>
      <c r="JKJ59" s="64"/>
      <c r="JKK59" s="64"/>
      <c r="JKL59" s="64"/>
      <c r="JKM59" s="64"/>
      <c r="JKN59" s="64"/>
      <c r="JKO59" s="64"/>
      <c r="JKP59" s="64"/>
      <c r="JKQ59" s="64"/>
      <c r="JKR59" s="64"/>
      <c r="JKS59" s="64"/>
      <c r="JKT59" s="64"/>
      <c r="JKU59" s="64"/>
      <c r="JKV59" s="64"/>
      <c r="JKW59" s="64"/>
      <c r="JKX59" s="64"/>
      <c r="JKY59" s="64"/>
      <c r="JKZ59" s="64"/>
      <c r="JLA59" s="64"/>
      <c r="JLB59" s="64"/>
      <c r="JLC59" s="64"/>
      <c r="JLD59" s="64"/>
      <c r="JLE59" s="64"/>
      <c r="JLF59" s="64"/>
      <c r="JLG59" s="64"/>
      <c r="JLH59" s="64"/>
      <c r="JLI59" s="64"/>
      <c r="JLJ59" s="64"/>
      <c r="JLK59" s="64"/>
      <c r="JLL59" s="64"/>
      <c r="JLM59" s="64"/>
      <c r="JLN59" s="64"/>
      <c r="JLO59" s="64"/>
      <c r="JLP59" s="64"/>
      <c r="JLQ59" s="64"/>
      <c r="JLR59" s="64"/>
      <c r="JLS59" s="64"/>
      <c r="JLT59" s="64"/>
      <c r="JLU59" s="64"/>
      <c r="JLV59" s="64"/>
      <c r="JLW59" s="64"/>
      <c r="JLX59" s="64"/>
      <c r="JLY59" s="64"/>
      <c r="JLZ59" s="64"/>
      <c r="JMA59" s="64"/>
      <c r="JMB59" s="64"/>
      <c r="JMC59" s="64"/>
      <c r="JMD59" s="64"/>
      <c r="JME59" s="64"/>
      <c r="JMF59" s="64"/>
      <c r="JMG59" s="64"/>
      <c r="JMH59" s="64"/>
      <c r="JMI59" s="64"/>
      <c r="JMJ59" s="64"/>
      <c r="JMK59" s="64"/>
      <c r="JML59" s="64"/>
      <c r="JMM59" s="64"/>
      <c r="JMN59" s="64"/>
      <c r="JMO59" s="64"/>
      <c r="JMP59" s="64"/>
      <c r="JMQ59" s="64"/>
      <c r="JMR59" s="64"/>
      <c r="JMS59" s="64"/>
      <c r="JMT59" s="64"/>
      <c r="JMU59" s="64"/>
      <c r="JMV59" s="64"/>
      <c r="JMW59" s="64"/>
      <c r="JMX59" s="64"/>
      <c r="JMY59" s="64"/>
      <c r="JMZ59" s="64"/>
      <c r="JNA59" s="64"/>
      <c r="JNB59" s="64"/>
      <c r="JNC59" s="64"/>
      <c r="JND59" s="64"/>
      <c r="JNE59" s="64"/>
      <c r="JNF59" s="64"/>
      <c r="JNG59" s="64"/>
      <c r="JNH59" s="64"/>
      <c r="JNI59" s="64"/>
      <c r="JNJ59" s="64"/>
      <c r="JNK59" s="64"/>
      <c r="JNL59" s="64"/>
      <c r="JNM59" s="64"/>
      <c r="JNN59" s="64"/>
      <c r="JNO59" s="64"/>
      <c r="JNP59" s="64"/>
      <c r="JNQ59" s="64"/>
      <c r="JNR59" s="64"/>
      <c r="JNS59" s="64"/>
      <c r="JNT59" s="64"/>
      <c r="JNU59" s="64"/>
      <c r="JNV59" s="64"/>
      <c r="JNW59" s="64"/>
      <c r="JNX59" s="64"/>
      <c r="JNY59" s="64"/>
      <c r="JNZ59" s="64"/>
      <c r="JOA59" s="64"/>
      <c r="JOB59" s="64"/>
      <c r="JOC59" s="64"/>
      <c r="JOD59" s="64"/>
      <c r="JOE59" s="64"/>
      <c r="JOF59" s="64"/>
      <c r="JOG59" s="64"/>
      <c r="JOH59" s="64"/>
      <c r="JOI59" s="64"/>
      <c r="JOJ59" s="64"/>
      <c r="JOK59" s="64"/>
      <c r="JOL59" s="64"/>
      <c r="JOM59" s="64"/>
      <c r="JON59" s="64"/>
      <c r="JOO59" s="64"/>
      <c r="JOP59" s="64"/>
      <c r="JOQ59" s="64"/>
      <c r="JOR59" s="64"/>
      <c r="JOS59" s="64"/>
      <c r="JOT59" s="64"/>
      <c r="JOU59" s="64"/>
      <c r="JOV59" s="64"/>
      <c r="JOW59" s="64"/>
      <c r="JOX59" s="64"/>
      <c r="JOY59" s="64"/>
      <c r="JOZ59" s="64"/>
      <c r="JPA59" s="64"/>
      <c r="JPB59" s="64"/>
      <c r="JPC59" s="64"/>
      <c r="JPD59" s="64"/>
      <c r="JPE59" s="64"/>
      <c r="JPF59" s="64"/>
      <c r="JPG59" s="64"/>
      <c r="JPH59" s="64"/>
      <c r="JPI59" s="64"/>
      <c r="JPJ59" s="64"/>
      <c r="JPK59" s="64"/>
      <c r="JPL59" s="64"/>
      <c r="JPM59" s="64"/>
      <c r="JPN59" s="64"/>
      <c r="JPO59" s="64"/>
      <c r="JPP59" s="64"/>
      <c r="JPQ59" s="64"/>
      <c r="JPR59" s="64"/>
      <c r="JPS59" s="64"/>
      <c r="JPT59" s="64"/>
      <c r="JPU59" s="64"/>
      <c r="JPV59" s="64"/>
      <c r="JPW59" s="64"/>
      <c r="JPX59" s="64"/>
      <c r="JPY59" s="64"/>
      <c r="JPZ59" s="64"/>
      <c r="JQA59" s="64"/>
      <c r="JQB59" s="64"/>
      <c r="JQC59" s="64"/>
      <c r="JQD59" s="64"/>
      <c r="JQE59" s="64"/>
      <c r="JQF59" s="64"/>
      <c r="JQG59" s="64"/>
      <c r="JQH59" s="64"/>
      <c r="JQI59" s="64"/>
      <c r="JQJ59" s="64"/>
      <c r="JQK59" s="64"/>
      <c r="JQL59" s="64"/>
      <c r="JQM59" s="64"/>
      <c r="JQN59" s="64"/>
      <c r="JQO59" s="64"/>
      <c r="JQP59" s="64"/>
      <c r="JQQ59" s="64"/>
      <c r="JQR59" s="64"/>
      <c r="JQS59" s="64"/>
      <c r="JQT59" s="64"/>
      <c r="JQU59" s="64"/>
      <c r="JQV59" s="64"/>
      <c r="JQW59" s="64"/>
      <c r="JQX59" s="64"/>
      <c r="JQY59" s="64"/>
      <c r="JQZ59" s="64"/>
      <c r="JRA59" s="64"/>
      <c r="JRB59" s="64"/>
      <c r="JRC59" s="64"/>
      <c r="JRD59" s="64"/>
      <c r="JRE59" s="64"/>
      <c r="JRF59" s="64"/>
      <c r="JRG59" s="64"/>
      <c r="JRH59" s="64"/>
      <c r="JRI59" s="64"/>
      <c r="JRJ59" s="64"/>
      <c r="JRK59" s="64"/>
      <c r="JRL59" s="64"/>
      <c r="JRM59" s="64"/>
      <c r="JRN59" s="64"/>
      <c r="JRO59" s="64"/>
      <c r="JRP59" s="64"/>
      <c r="JRQ59" s="64"/>
      <c r="JRR59" s="64"/>
      <c r="JRS59" s="64"/>
      <c r="JRT59" s="64"/>
      <c r="JRU59" s="64"/>
      <c r="JRV59" s="64"/>
      <c r="JRW59" s="64"/>
      <c r="JRX59" s="64"/>
      <c r="JRY59" s="64"/>
      <c r="JRZ59" s="64"/>
      <c r="JSA59" s="64"/>
      <c r="JSB59" s="64"/>
      <c r="JSC59" s="64"/>
      <c r="JSD59" s="64"/>
      <c r="JSE59" s="64"/>
      <c r="JSF59" s="64"/>
      <c r="JSG59" s="64"/>
      <c r="JSH59" s="64"/>
      <c r="JSI59" s="64"/>
      <c r="JSJ59" s="64"/>
      <c r="JSK59" s="64"/>
      <c r="JSL59" s="64"/>
      <c r="JSM59" s="64"/>
      <c r="JSN59" s="64"/>
      <c r="JSO59" s="64"/>
      <c r="JSP59" s="64"/>
      <c r="JSQ59" s="64"/>
      <c r="JSR59" s="64"/>
      <c r="JSS59" s="64"/>
      <c r="JST59" s="64"/>
      <c r="JSU59" s="64"/>
      <c r="JSV59" s="64"/>
      <c r="JSW59" s="64"/>
      <c r="JSX59" s="64"/>
      <c r="JSY59" s="64"/>
      <c r="JSZ59" s="64"/>
      <c r="JTA59" s="64"/>
      <c r="JTB59" s="64"/>
      <c r="JTC59" s="64"/>
      <c r="JTD59" s="64"/>
      <c r="JTE59" s="64"/>
      <c r="JTF59" s="64"/>
      <c r="JTG59" s="64"/>
      <c r="JTH59" s="64"/>
      <c r="JTI59" s="64"/>
      <c r="JTJ59" s="64"/>
      <c r="JTK59" s="64"/>
      <c r="JTL59" s="64"/>
      <c r="JTM59" s="64"/>
      <c r="JTN59" s="64"/>
      <c r="JTO59" s="64"/>
      <c r="JTP59" s="64"/>
      <c r="JTQ59" s="64"/>
      <c r="JTR59" s="64"/>
      <c r="JTS59" s="64"/>
      <c r="JTT59" s="64"/>
      <c r="JTU59" s="64"/>
      <c r="JTV59" s="64"/>
      <c r="JTW59" s="64"/>
      <c r="JTX59" s="64"/>
      <c r="JTY59" s="64"/>
      <c r="JTZ59" s="64"/>
      <c r="JUA59" s="64"/>
      <c r="JUB59" s="64"/>
      <c r="JUC59" s="64"/>
      <c r="JUD59" s="64"/>
      <c r="JUE59" s="64"/>
      <c r="JUF59" s="64"/>
      <c r="JUG59" s="64"/>
      <c r="JUH59" s="64"/>
      <c r="JUI59" s="64"/>
      <c r="JUJ59" s="64"/>
      <c r="JUK59" s="64"/>
      <c r="JUL59" s="64"/>
      <c r="JUM59" s="64"/>
      <c r="JUN59" s="64"/>
      <c r="JUO59" s="64"/>
      <c r="JUP59" s="64"/>
      <c r="JUQ59" s="64"/>
      <c r="JUR59" s="64"/>
      <c r="JUS59" s="64"/>
      <c r="JUT59" s="64"/>
      <c r="JUU59" s="64"/>
      <c r="JUV59" s="64"/>
      <c r="JUW59" s="64"/>
      <c r="JUX59" s="64"/>
      <c r="JUY59" s="64"/>
      <c r="JUZ59" s="64"/>
      <c r="JVA59" s="64"/>
      <c r="JVB59" s="64"/>
      <c r="JVC59" s="64"/>
      <c r="JVD59" s="64"/>
      <c r="JVE59" s="64"/>
      <c r="JVF59" s="64"/>
      <c r="JVG59" s="64"/>
      <c r="JVH59" s="64"/>
      <c r="JVI59" s="64"/>
      <c r="JVJ59" s="64"/>
      <c r="JVK59" s="64"/>
      <c r="JVL59" s="64"/>
      <c r="JVM59" s="64"/>
      <c r="JVN59" s="64"/>
      <c r="JVO59" s="64"/>
      <c r="JVP59" s="64"/>
      <c r="JVQ59" s="64"/>
      <c r="JVR59" s="64"/>
      <c r="JVS59" s="64"/>
      <c r="JVT59" s="64"/>
      <c r="JVU59" s="64"/>
      <c r="JVV59" s="64"/>
      <c r="JVW59" s="64"/>
      <c r="JVX59" s="64"/>
      <c r="JVY59" s="64"/>
      <c r="JVZ59" s="64"/>
      <c r="JWA59" s="64"/>
      <c r="JWB59" s="64"/>
      <c r="JWC59" s="64"/>
      <c r="JWD59" s="64"/>
      <c r="JWE59" s="64"/>
      <c r="JWF59" s="64"/>
      <c r="JWG59" s="64"/>
      <c r="JWH59" s="64"/>
      <c r="JWI59" s="64"/>
      <c r="JWJ59" s="64"/>
      <c r="JWK59" s="64"/>
      <c r="JWL59" s="64"/>
      <c r="JWM59" s="64"/>
      <c r="JWN59" s="64"/>
      <c r="JWO59" s="64"/>
      <c r="JWP59" s="64"/>
      <c r="JWQ59" s="64"/>
      <c r="JWR59" s="64"/>
      <c r="JWS59" s="64"/>
      <c r="JWT59" s="64"/>
      <c r="JWU59" s="64"/>
      <c r="JWV59" s="64"/>
      <c r="JWW59" s="64"/>
      <c r="JWX59" s="64"/>
      <c r="JWY59" s="64"/>
      <c r="JWZ59" s="64"/>
      <c r="JXA59" s="64"/>
      <c r="JXB59" s="64"/>
      <c r="JXC59" s="64"/>
      <c r="JXD59" s="64"/>
      <c r="JXE59" s="64"/>
      <c r="JXF59" s="64"/>
      <c r="JXG59" s="64"/>
      <c r="JXH59" s="64"/>
      <c r="JXI59" s="64"/>
      <c r="JXJ59" s="64"/>
      <c r="JXK59" s="64"/>
      <c r="JXL59" s="64"/>
      <c r="JXM59" s="64"/>
      <c r="JXN59" s="64"/>
      <c r="JXO59" s="64"/>
      <c r="JXP59" s="64"/>
      <c r="JXQ59" s="64"/>
      <c r="JXR59" s="64"/>
      <c r="JXS59" s="64"/>
      <c r="JXT59" s="64"/>
      <c r="JXU59" s="64"/>
      <c r="JXV59" s="64"/>
      <c r="JXW59" s="64"/>
      <c r="JXX59" s="64"/>
      <c r="JXY59" s="64"/>
      <c r="JXZ59" s="64"/>
      <c r="JYA59" s="64"/>
      <c r="JYB59" s="64"/>
      <c r="JYC59" s="64"/>
      <c r="JYD59" s="64"/>
      <c r="JYE59" s="64"/>
      <c r="JYF59" s="64"/>
      <c r="JYG59" s="64"/>
      <c r="JYH59" s="64"/>
      <c r="JYI59" s="64"/>
      <c r="JYJ59" s="64"/>
      <c r="JYK59" s="64"/>
      <c r="JYL59" s="64"/>
      <c r="JYM59" s="64"/>
      <c r="JYN59" s="64"/>
      <c r="JYO59" s="64"/>
      <c r="JYP59" s="64"/>
      <c r="JYQ59" s="64"/>
      <c r="JYR59" s="64"/>
      <c r="JYS59" s="64"/>
      <c r="JYT59" s="64"/>
      <c r="JYU59" s="64"/>
      <c r="JYV59" s="64"/>
      <c r="JYW59" s="64"/>
      <c r="JYX59" s="64"/>
      <c r="JYY59" s="64"/>
      <c r="JYZ59" s="64"/>
      <c r="JZA59" s="64"/>
      <c r="JZB59" s="64"/>
      <c r="JZC59" s="64"/>
      <c r="JZD59" s="64"/>
      <c r="JZE59" s="64"/>
      <c r="JZF59" s="64"/>
      <c r="JZG59" s="64"/>
      <c r="JZH59" s="64"/>
      <c r="JZI59" s="64"/>
      <c r="JZJ59" s="64"/>
      <c r="JZK59" s="64"/>
      <c r="JZL59" s="64"/>
      <c r="JZM59" s="64"/>
      <c r="JZN59" s="64"/>
      <c r="JZO59" s="64"/>
      <c r="JZP59" s="64"/>
      <c r="JZQ59" s="64"/>
      <c r="JZR59" s="64"/>
      <c r="JZS59" s="64"/>
      <c r="JZT59" s="64"/>
      <c r="JZU59" s="64"/>
      <c r="JZV59" s="64"/>
      <c r="JZW59" s="64"/>
      <c r="JZX59" s="64"/>
      <c r="JZY59" s="64"/>
      <c r="JZZ59" s="64"/>
      <c r="KAA59" s="64"/>
      <c r="KAB59" s="64"/>
      <c r="KAC59" s="64"/>
      <c r="KAD59" s="64"/>
      <c r="KAE59" s="64"/>
      <c r="KAF59" s="64"/>
      <c r="KAG59" s="64"/>
      <c r="KAH59" s="64"/>
      <c r="KAI59" s="64"/>
      <c r="KAJ59" s="64"/>
      <c r="KAK59" s="64"/>
      <c r="KAL59" s="64"/>
      <c r="KAM59" s="64"/>
      <c r="KAN59" s="64"/>
      <c r="KAO59" s="64"/>
      <c r="KAP59" s="64"/>
      <c r="KAQ59" s="64"/>
      <c r="KAR59" s="64"/>
      <c r="KAS59" s="64"/>
      <c r="KAT59" s="64"/>
      <c r="KAU59" s="64"/>
      <c r="KAV59" s="64"/>
      <c r="KAW59" s="64"/>
      <c r="KAX59" s="64"/>
      <c r="KAY59" s="64"/>
      <c r="KAZ59" s="64"/>
      <c r="KBA59" s="64"/>
      <c r="KBB59" s="64"/>
      <c r="KBC59" s="64"/>
      <c r="KBD59" s="64"/>
      <c r="KBE59" s="64"/>
      <c r="KBF59" s="64"/>
      <c r="KBG59" s="64"/>
      <c r="KBH59" s="64"/>
      <c r="KBI59" s="64"/>
      <c r="KBJ59" s="64"/>
      <c r="KBK59" s="64"/>
      <c r="KBL59" s="64"/>
      <c r="KBM59" s="64"/>
      <c r="KBN59" s="64"/>
      <c r="KBO59" s="64"/>
      <c r="KBP59" s="64"/>
      <c r="KBQ59" s="64"/>
      <c r="KBR59" s="64"/>
      <c r="KBS59" s="64"/>
      <c r="KBT59" s="64"/>
      <c r="KBU59" s="64"/>
      <c r="KBV59" s="64"/>
      <c r="KBW59" s="64"/>
      <c r="KBX59" s="64"/>
      <c r="KBY59" s="64"/>
      <c r="KBZ59" s="64"/>
      <c r="KCA59" s="64"/>
      <c r="KCB59" s="64"/>
      <c r="KCC59" s="64"/>
      <c r="KCD59" s="64"/>
      <c r="KCE59" s="64"/>
      <c r="KCF59" s="64"/>
      <c r="KCG59" s="64"/>
      <c r="KCH59" s="64"/>
      <c r="KCI59" s="64"/>
      <c r="KCJ59" s="64"/>
      <c r="KCK59" s="64"/>
      <c r="KCL59" s="64"/>
      <c r="KCM59" s="64"/>
      <c r="KCN59" s="64"/>
      <c r="KCO59" s="64"/>
      <c r="KCP59" s="64"/>
      <c r="KCQ59" s="64"/>
      <c r="KCR59" s="64"/>
      <c r="KCS59" s="64"/>
      <c r="KCT59" s="64"/>
      <c r="KCU59" s="64"/>
      <c r="KCV59" s="64"/>
      <c r="KCW59" s="64"/>
      <c r="KCX59" s="64"/>
      <c r="KCY59" s="64"/>
      <c r="KCZ59" s="64"/>
      <c r="KDA59" s="64"/>
      <c r="KDB59" s="64"/>
      <c r="KDC59" s="64"/>
      <c r="KDD59" s="64"/>
      <c r="KDE59" s="64"/>
      <c r="KDF59" s="64"/>
      <c r="KDG59" s="64"/>
      <c r="KDH59" s="64"/>
      <c r="KDI59" s="64"/>
      <c r="KDJ59" s="64"/>
      <c r="KDK59" s="64"/>
      <c r="KDL59" s="64"/>
      <c r="KDM59" s="64"/>
      <c r="KDN59" s="64"/>
      <c r="KDO59" s="64"/>
      <c r="KDP59" s="64"/>
      <c r="KDQ59" s="64"/>
      <c r="KDR59" s="64"/>
      <c r="KDS59" s="64"/>
      <c r="KDT59" s="64"/>
      <c r="KDU59" s="64"/>
      <c r="KDV59" s="64"/>
      <c r="KDW59" s="64"/>
      <c r="KDX59" s="64"/>
      <c r="KDY59" s="64"/>
      <c r="KDZ59" s="64"/>
      <c r="KEA59" s="64"/>
      <c r="KEB59" s="64"/>
      <c r="KEC59" s="64"/>
      <c r="KED59" s="64"/>
      <c r="KEE59" s="64"/>
      <c r="KEF59" s="64"/>
      <c r="KEG59" s="64"/>
      <c r="KEH59" s="64"/>
      <c r="KEI59" s="64"/>
      <c r="KEJ59" s="64"/>
      <c r="KEK59" s="64"/>
      <c r="KEL59" s="64"/>
      <c r="KEM59" s="64"/>
      <c r="KEN59" s="64"/>
      <c r="KEO59" s="64"/>
      <c r="KEP59" s="64"/>
      <c r="KEQ59" s="64"/>
      <c r="KER59" s="64"/>
      <c r="KES59" s="64"/>
      <c r="KET59" s="64"/>
      <c r="KEU59" s="64"/>
      <c r="KEV59" s="64"/>
      <c r="KEW59" s="64"/>
      <c r="KEX59" s="64"/>
      <c r="KEY59" s="64"/>
      <c r="KEZ59" s="64"/>
      <c r="KFA59" s="64"/>
      <c r="KFB59" s="64"/>
      <c r="KFC59" s="64"/>
      <c r="KFD59" s="64"/>
      <c r="KFE59" s="64"/>
      <c r="KFF59" s="64"/>
      <c r="KFG59" s="64"/>
      <c r="KFH59" s="64"/>
      <c r="KFI59" s="64"/>
      <c r="KFJ59" s="64"/>
      <c r="KFK59" s="64"/>
      <c r="KFL59" s="64"/>
      <c r="KFM59" s="64"/>
      <c r="KFN59" s="64"/>
      <c r="KFO59" s="64"/>
      <c r="KFP59" s="64"/>
      <c r="KFQ59" s="64"/>
      <c r="KFR59" s="64"/>
      <c r="KFS59" s="64"/>
      <c r="KFT59" s="64"/>
      <c r="KFU59" s="64"/>
      <c r="KFV59" s="64"/>
      <c r="KFW59" s="64"/>
      <c r="KFX59" s="64"/>
      <c r="KFY59" s="64"/>
      <c r="KFZ59" s="64"/>
      <c r="KGA59" s="64"/>
      <c r="KGB59" s="64"/>
      <c r="KGC59" s="64"/>
      <c r="KGD59" s="64"/>
      <c r="KGE59" s="64"/>
      <c r="KGF59" s="64"/>
      <c r="KGG59" s="64"/>
      <c r="KGH59" s="64"/>
      <c r="KGI59" s="64"/>
      <c r="KGJ59" s="64"/>
      <c r="KGK59" s="64"/>
      <c r="KGL59" s="64"/>
      <c r="KGM59" s="64"/>
      <c r="KGN59" s="64"/>
      <c r="KGO59" s="64"/>
      <c r="KGP59" s="64"/>
      <c r="KGQ59" s="64"/>
      <c r="KGR59" s="64"/>
      <c r="KGS59" s="64"/>
      <c r="KGT59" s="64"/>
      <c r="KGU59" s="64"/>
      <c r="KGV59" s="64"/>
      <c r="KGW59" s="64"/>
      <c r="KGX59" s="64"/>
      <c r="KGY59" s="64"/>
      <c r="KGZ59" s="64"/>
      <c r="KHA59" s="64"/>
      <c r="KHB59" s="64"/>
      <c r="KHC59" s="64"/>
      <c r="KHD59" s="64"/>
      <c r="KHE59" s="64"/>
      <c r="KHF59" s="64"/>
      <c r="KHG59" s="64"/>
      <c r="KHH59" s="64"/>
      <c r="KHI59" s="64"/>
      <c r="KHJ59" s="64"/>
      <c r="KHK59" s="64"/>
      <c r="KHL59" s="64"/>
      <c r="KHM59" s="64"/>
      <c r="KHN59" s="64"/>
      <c r="KHO59" s="64"/>
      <c r="KHP59" s="64"/>
      <c r="KHQ59" s="64"/>
      <c r="KHR59" s="64"/>
      <c r="KHS59" s="64"/>
      <c r="KHT59" s="64"/>
      <c r="KHU59" s="64"/>
      <c r="KHV59" s="64"/>
      <c r="KHW59" s="64"/>
      <c r="KHX59" s="64"/>
      <c r="KHY59" s="64"/>
      <c r="KHZ59" s="64"/>
      <c r="KIA59" s="64"/>
      <c r="KIB59" s="64"/>
      <c r="KIC59" s="64"/>
      <c r="KID59" s="64"/>
      <c r="KIE59" s="64"/>
      <c r="KIF59" s="64"/>
      <c r="KIG59" s="64"/>
      <c r="KIH59" s="64"/>
      <c r="KII59" s="64"/>
      <c r="KIJ59" s="64"/>
      <c r="KIK59" s="64"/>
      <c r="KIL59" s="64"/>
      <c r="KIM59" s="64"/>
      <c r="KIN59" s="64"/>
      <c r="KIO59" s="64"/>
      <c r="KIP59" s="64"/>
      <c r="KIQ59" s="64"/>
      <c r="KIR59" s="64"/>
      <c r="KIS59" s="64"/>
      <c r="KIT59" s="64"/>
      <c r="KIU59" s="64"/>
      <c r="KIV59" s="64"/>
      <c r="KIW59" s="64"/>
      <c r="KIX59" s="64"/>
      <c r="KIY59" s="64"/>
      <c r="KIZ59" s="64"/>
      <c r="KJA59" s="64"/>
      <c r="KJB59" s="64"/>
      <c r="KJC59" s="64"/>
      <c r="KJD59" s="64"/>
      <c r="KJE59" s="64"/>
      <c r="KJF59" s="64"/>
      <c r="KJG59" s="64"/>
      <c r="KJH59" s="64"/>
      <c r="KJI59" s="64"/>
      <c r="KJJ59" s="64"/>
      <c r="KJK59" s="64"/>
      <c r="KJL59" s="64"/>
      <c r="KJM59" s="64"/>
      <c r="KJN59" s="64"/>
      <c r="KJO59" s="64"/>
      <c r="KJP59" s="64"/>
      <c r="KJQ59" s="64"/>
      <c r="KJR59" s="64"/>
      <c r="KJS59" s="64"/>
      <c r="KJT59" s="64"/>
      <c r="KJU59" s="64"/>
      <c r="KJV59" s="64"/>
      <c r="KJW59" s="64"/>
      <c r="KJX59" s="64"/>
      <c r="KJY59" s="64"/>
      <c r="KJZ59" s="64"/>
      <c r="KKA59" s="64"/>
      <c r="KKB59" s="64"/>
      <c r="KKC59" s="64"/>
      <c r="KKD59" s="64"/>
      <c r="KKE59" s="64"/>
      <c r="KKF59" s="64"/>
      <c r="KKG59" s="64"/>
      <c r="KKH59" s="64"/>
      <c r="KKI59" s="64"/>
      <c r="KKJ59" s="64"/>
      <c r="KKK59" s="64"/>
      <c r="KKL59" s="64"/>
      <c r="KKM59" s="64"/>
      <c r="KKN59" s="64"/>
      <c r="KKO59" s="64"/>
      <c r="KKP59" s="64"/>
      <c r="KKQ59" s="64"/>
      <c r="KKR59" s="64"/>
      <c r="KKS59" s="64"/>
      <c r="KKT59" s="64"/>
      <c r="KKU59" s="64"/>
      <c r="KKV59" s="64"/>
      <c r="KKW59" s="64"/>
      <c r="KKX59" s="64"/>
      <c r="KKY59" s="64"/>
      <c r="KKZ59" s="64"/>
      <c r="KLA59" s="64"/>
      <c r="KLB59" s="64"/>
      <c r="KLC59" s="64"/>
      <c r="KLD59" s="64"/>
      <c r="KLE59" s="64"/>
      <c r="KLF59" s="64"/>
      <c r="KLG59" s="64"/>
      <c r="KLH59" s="64"/>
      <c r="KLI59" s="64"/>
      <c r="KLJ59" s="64"/>
      <c r="KLK59" s="64"/>
      <c r="KLL59" s="64"/>
      <c r="KLM59" s="64"/>
      <c r="KLN59" s="64"/>
      <c r="KLO59" s="64"/>
      <c r="KLP59" s="64"/>
      <c r="KLQ59" s="64"/>
      <c r="KLR59" s="64"/>
      <c r="KLS59" s="64"/>
      <c r="KLT59" s="64"/>
      <c r="KLU59" s="64"/>
      <c r="KLV59" s="64"/>
      <c r="KLW59" s="64"/>
      <c r="KLX59" s="64"/>
      <c r="KLY59" s="64"/>
      <c r="KLZ59" s="64"/>
      <c r="KMA59" s="64"/>
      <c r="KMB59" s="64"/>
      <c r="KMC59" s="64"/>
      <c r="KMD59" s="64"/>
      <c r="KME59" s="64"/>
      <c r="KMF59" s="64"/>
      <c r="KMG59" s="64"/>
      <c r="KMH59" s="64"/>
      <c r="KMI59" s="64"/>
      <c r="KMJ59" s="64"/>
      <c r="KMK59" s="64"/>
      <c r="KML59" s="64"/>
      <c r="KMM59" s="64"/>
      <c r="KMN59" s="64"/>
      <c r="KMO59" s="64"/>
      <c r="KMP59" s="64"/>
      <c r="KMQ59" s="64"/>
      <c r="KMR59" s="64"/>
      <c r="KMS59" s="64"/>
      <c r="KMT59" s="64"/>
      <c r="KMU59" s="64"/>
      <c r="KMV59" s="64"/>
      <c r="KMW59" s="64"/>
      <c r="KMX59" s="64"/>
      <c r="KMY59" s="64"/>
      <c r="KMZ59" s="64"/>
      <c r="KNA59" s="64"/>
      <c r="KNB59" s="64"/>
      <c r="KNC59" s="64"/>
      <c r="KND59" s="64"/>
      <c r="KNE59" s="64"/>
      <c r="KNF59" s="64"/>
      <c r="KNG59" s="64"/>
      <c r="KNH59" s="64"/>
      <c r="KNI59" s="64"/>
      <c r="KNJ59" s="64"/>
      <c r="KNK59" s="64"/>
      <c r="KNL59" s="64"/>
      <c r="KNM59" s="64"/>
      <c r="KNN59" s="64"/>
      <c r="KNO59" s="64"/>
      <c r="KNP59" s="64"/>
      <c r="KNQ59" s="64"/>
      <c r="KNR59" s="64"/>
      <c r="KNS59" s="64"/>
      <c r="KNT59" s="64"/>
      <c r="KNU59" s="64"/>
      <c r="KNV59" s="64"/>
      <c r="KNW59" s="64"/>
      <c r="KNX59" s="64"/>
      <c r="KNY59" s="64"/>
      <c r="KNZ59" s="64"/>
      <c r="KOA59" s="64"/>
      <c r="KOB59" s="64"/>
      <c r="KOC59" s="64"/>
      <c r="KOD59" s="64"/>
      <c r="KOE59" s="64"/>
      <c r="KOF59" s="64"/>
      <c r="KOG59" s="64"/>
      <c r="KOH59" s="64"/>
      <c r="KOI59" s="64"/>
      <c r="KOJ59" s="64"/>
      <c r="KOK59" s="64"/>
      <c r="KOL59" s="64"/>
      <c r="KOM59" s="64"/>
      <c r="KON59" s="64"/>
      <c r="KOO59" s="64"/>
      <c r="KOP59" s="64"/>
      <c r="KOQ59" s="64"/>
      <c r="KOR59" s="64"/>
      <c r="KOS59" s="64"/>
      <c r="KOT59" s="64"/>
      <c r="KOU59" s="64"/>
      <c r="KOV59" s="64"/>
      <c r="KOW59" s="64"/>
      <c r="KOX59" s="64"/>
      <c r="KOY59" s="64"/>
      <c r="KOZ59" s="64"/>
      <c r="KPA59" s="64"/>
      <c r="KPB59" s="64"/>
      <c r="KPC59" s="64"/>
      <c r="KPD59" s="64"/>
      <c r="KPE59" s="64"/>
      <c r="KPF59" s="64"/>
      <c r="KPG59" s="64"/>
      <c r="KPH59" s="64"/>
      <c r="KPI59" s="64"/>
      <c r="KPJ59" s="64"/>
      <c r="KPK59" s="64"/>
      <c r="KPL59" s="64"/>
      <c r="KPM59" s="64"/>
      <c r="KPN59" s="64"/>
      <c r="KPO59" s="64"/>
      <c r="KPP59" s="64"/>
      <c r="KPQ59" s="64"/>
      <c r="KPR59" s="64"/>
      <c r="KPS59" s="64"/>
      <c r="KPT59" s="64"/>
      <c r="KPU59" s="64"/>
      <c r="KPV59" s="64"/>
      <c r="KPW59" s="64"/>
      <c r="KPX59" s="64"/>
      <c r="KPY59" s="64"/>
      <c r="KPZ59" s="64"/>
      <c r="KQA59" s="64"/>
      <c r="KQB59" s="64"/>
      <c r="KQC59" s="64"/>
      <c r="KQD59" s="64"/>
      <c r="KQE59" s="64"/>
      <c r="KQF59" s="64"/>
      <c r="KQG59" s="64"/>
      <c r="KQH59" s="64"/>
      <c r="KQI59" s="64"/>
      <c r="KQJ59" s="64"/>
      <c r="KQK59" s="64"/>
      <c r="KQL59" s="64"/>
      <c r="KQM59" s="64"/>
      <c r="KQN59" s="64"/>
      <c r="KQO59" s="64"/>
      <c r="KQP59" s="64"/>
      <c r="KQQ59" s="64"/>
      <c r="KQR59" s="64"/>
      <c r="KQS59" s="64"/>
      <c r="KQT59" s="64"/>
      <c r="KQU59" s="64"/>
      <c r="KQV59" s="64"/>
      <c r="KQW59" s="64"/>
      <c r="KQX59" s="64"/>
      <c r="KQY59" s="64"/>
      <c r="KQZ59" s="64"/>
      <c r="KRA59" s="64"/>
      <c r="KRB59" s="64"/>
      <c r="KRC59" s="64"/>
      <c r="KRD59" s="64"/>
      <c r="KRE59" s="64"/>
      <c r="KRF59" s="64"/>
      <c r="KRG59" s="64"/>
      <c r="KRH59" s="64"/>
      <c r="KRI59" s="64"/>
      <c r="KRJ59" s="64"/>
      <c r="KRK59" s="64"/>
      <c r="KRL59" s="64"/>
      <c r="KRM59" s="64"/>
      <c r="KRN59" s="64"/>
      <c r="KRO59" s="64"/>
      <c r="KRP59" s="64"/>
      <c r="KRQ59" s="64"/>
      <c r="KRR59" s="64"/>
      <c r="KRS59" s="64"/>
      <c r="KRT59" s="64"/>
      <c r="KRU59" s="64"/>
      <c r="KRV59" s="64"/>
      <c r="KRW59" s="64"/>
      <c r="KRX59" s="64"/>
      <c r="KRY59" s="64"/>
      <c r="KRZ59" s="64"/>
      <c r="KSA59" s="64"/>
      <c r="KSB59" s="64"/>
      <c r="KSC59" s="64"/>
      <c r="KSD59" s="64"/>
      <c r="KSE59" s="64"/>
      <c r="KSF59" s="64"/>
      <c r="KSG59" s="64"/>
      <c r="KSH59" s="64"/>
      <c r="KSI59" s="64"/>
      <c r="KSJ59" s="64"/>
      <c r="KSK59" s="64"/>
      <c r="KSL59" s="64"/>
      <c r="KSM59" s="64"/>
      <c r="KSN59" s="64"/>
      <c r="KSO59" s="64"/>
      <c r="KSP59" s="64"/>
      <c r="KSQ59" s="64"/>
      <c r="KSR59" s="64"/>
      <c r="KSS59" s="64"/>
      <c r="KST59" s="64"/>
      <c r="KSU59" s="64"/>
      <c r="KSV59" s="64"/>
      <c r="KSW59" s="64"/>
      <c r="KSX59" s="64"/>
      <c r="KSY59" s="64"/>
      <c r="KSZ59" s="64"/>
      <c r="KTA59" s="64"/>
      <c r="KTB59" s="64"/>
      <c r="KTC59" s="64"/>
      <c r="KTD59" s="64"/>
      <c r="KTE59" s="64"/>
      <c r="KTF59" s="64"/>
      <c r="KTG59" s="64"/>
      <c r="KTH59" s="64"/>
      <c r="KTI59" s="64"/>
      <c r="KTJ59" s="64"/>
      <c r="KTK59" s="64"/>
      <c r="KTL59" s="64"/>
      <c r="KTM59" s="64"/>
      <c r="KTN59" s="64"/>
      <c r="KTO59" s="64"/>
      <c r="KTP59" s="64"/>
      <c r="KTQ59" s="64"/>
      <c r="KTR59" s="64"/>
      <c r="KTS59" s="64"/>
      <c r="KTT59" s="64"/>
      <c r="KTU59" s="64"/>
      <c r="KTV59" s="64"/>
      <c r="KTW59" s="64"/>
      <c r="KTX59" s="64"/>
      <c r="KTY59" s="64"/>
      <c r="KTZ59" s="64"/>
      <c r="KUA59" s="64"/>
      <c r="KUB59" s="64"/>
      <c r="KUC59" s="64"/>
      <c r="KUD59" s="64"/>
      <c r="KUE59" s="64"/>
      <c r="KUF59" s="64"/>
      <c r="KUG59" s="64"/>
      <c r="KUH59" s="64"/>
      <c r="KUI59" s="64"/>
      <c r="KUJ59" s="64"/>
      <c r="KUK59" s="64"/>
      <c r="KUL59" s="64"/>
      <c r="KUM59" s="64"/>
      <c r="KUN59" s="64"/>
      <c r="KUO59" s="64"/>
      <c r="KUP59" s="64"/>
      <c r="KUQ59" s="64"/>
      <c r="KUR59" s="64"/>
      <c r="KUS59" s="64"/>
      <c r="KUT59" s="64"/>
      <c r="KUU59" s="64"/>
      <c r="KUV59" s="64"/>
      <c r="KUW59" s="64"/>
      <c r="KUX59" s="64"/>
      <c r="KUY59" s="64"/>
      <c r="KUZ59" s="64"/>
      <c r="KVA59" s="64"/>
      <c r="KVB59" s="64"/>
      <c r="KVC59" s="64"/>
      <c r="KVD59" s="64"/>
      <c r="KVE59" s="64"/>
      <c r="KVF59" s="64"/>
      <c r="KVG59" s="64"/>
      <c r="KVH59" s="64"/>
      <c r="KVI59" s="64"/>
      <c r="KVJ59" s="64"/>
      <c r="KVK59" s="64"/>
      <c r="KVL59" s="64"/>
      <c r="KVM59" s="64"/>
      <c r="KVN59" s="64"/>
      <c r="KVO59" s="64"/>
      <c r="KVP59" s="64"/>
      <c r="KVQ59" s="64"/>
      <c r="KVR59" s="64"/>
      <c r="KVS59" s="64"/>
      <c r="KVT59" s="64"/>
      <c r="KVU59" s="64"/>
      <c r="KVV59" s="64"/>
      <c r="KVW59" s="64"/>
      <c r="KVX59" s="64"/>
      <c r="KVY59" s="64"/>
      <c r="KVZ59" s="64"/>
      <c r="KWA59" s="64"/>
      <c r="KWB59" s="64"/>
      <c r="KWC59" s="64"/>
      <c r="KWD59" s="64"/>
      <c r="KWE59" s="64"/>
      <c r="KWF59" s="64"/>
      <c r="KWG59" s="64"/>
      <c r="KWH59" s="64"/>
      <c r="KWI59" s="64"/>
      <c r="KWJ59" s="64"/>
      <c r="KWK59" s="64"/>
      <c r="KWL59" s="64"/>
      <c r="KWM59" s="64"/>
      <c r="KWN59" s="64"/>
      <c r="KWO59" s="64"/>
      <c r="KWP59" s="64"/>
      <c r="KWQ59" s="64"/>
      <c r="KWR59" s="64"/>
      <c r="KWS59" s="64"/>
      <c r="KWT59" s="64"/>
      <c r="KWU59" s="64"/>
      <c r="KWV59" s="64"/>
      <c r="KWW59" s="64"/>
      <c r="KWX59" s="64"/>
      <c r="KWY59" s="64"/>
      <c r="KWZ59" s="64"/>
      <c r="KXA59" s="64"/>
      <c r="KXB59" s="64"/>
      <c r="KXC59" s="64"/>
      <c r="KXD59" s="64"/>
      <c r="KXE59" s="64"/>
      <c r="KXF59" s="64"/>
      <c r="KXG59" s="64"/>
      <c r="KXH59" s="64"/>
      <c r="KXI59" s="64"/>
      <c r="KXJ59" s="64"/>
      <c r="KXK59" s="64"/>
      <c r="KXL59" s="64"/>
      <c r="KXM59" s="64"/>
      <c r="KXN59" s="64"/>
      <c r="KXO59" s="64"/>
      <c r="KXP59" s="64"/>
      <c r="KXQ59" s="64"/>
      <c r="KXR59" s="64"/>
      <c r="KXS59" s="64"/>
      <c r="KXT59" s="64"/>
      <c r="KXU59" s="64"/>
      <c r="KXV59" s="64"/>
      <c r="KXW59" s="64"/>
      <c r="KXX59" s="64"/>
      <c r="KXY59" s="64"/>
      <c r="KXZ59" s="64"/>
      <c r="KYA59" s="64"/>
      <c r="KYB59" s="64"/>
      <c r="KYC59" s="64"/>
      <c r="KYD59" s="64"/>
      <c r="KYE59" s="64"/>
      <c r="KYF59" s="64"/>
      <c r="KYG59" s="64"/>
      <c r="KYH59" s="64"/>
      <c r="KYI59" s="64"/>
      <c r="KYJ59" s="64"/>
      <c r="KYK59" s="64"/>
      <c r="KYL59" s="64"/>
      <c r="KYM59" s="64"/>
      <c r="KYN59" s="64"/>
      <c r="KYO59" s="64"/>
      <c r="KYP59" s="64"/>
      <c r="KYQ59" s="64"/>
      <c r="KYR59" s="64"/>
      <c r="KYS59" s="64"/>
      <c r="KYT59" s="64"/>
      <c r="KYU59" s="64"/>
      <c r="KYV59" s="64"/>
      <c r="KYW59" s="64"/>
      <c r="KYX59" s="64"/>
      <c r="KYY59" s="64"/>
      <c r="KYZ59" s="64"/>
      <c r="KZA59" s="64"/>
      <c r="KZB59" s="64"/>
      <c r="KZC59" s="64"/>
      <c r="KZD59" s="64"/>
      <c r="KZE59" s="64"/>
      <c r="KZF59" s="64"/>
      <c r="KZG59" s="64"/>
      <c r="KZH59" s="64"/>
      <c r="KZI59" s="64"/>
      <c r="KZJ59" s="64"/>
      <c r="KZK59" s="64"/>
      <c r="KZL59" s="64"/>
      <c r="KZM59" s="64"/>
      <c r="KZN59" s="64"/>
      <c r="KZO59" s="64"/>
      <c r="KZP59" s="64"/>
      <c r="KZQ59" s="64"/>
      <c r="KZR59" s="64"/>
      <c r="KZS59" s="64"/>
      <c r="KZT59" s="64"/>
      <c r="KZU59" s="64"/>
      <c r="KZV59" s="64"/>
      <c r="KZW59" s="64"/>
      <c r="KZX59" s="64"/>
      <c r="KZY59" s="64"/>
      <c r="KZZ59" s="64"/>
      <c r="LAA59" s="64"/>
      <c r="LAB59" s="64"/>
      <c r="LAC59" s="64"/>
      <c r="LAD59" s="64"/>
      <c r="LAE59" s="64"/>
      <c r="LAF59" s="64"/>
      <c r="LAG59" s="64"/>
      <c r="LAH59" s="64"/>
      <c r="LAI59" s="64"/>
      <c r="LAJ59" s="64"/>
      <c r="LAK59" s="64"/>
      <c r="LAL59" s="64"/>
      <c r="LAM59" s="64"/>
      <c r="LAN59" s="64"/>
      <c r="LAO59" s="64"/>
      <c r="LAP59" s="64"/>
      <c r="LAQ59" s="64"/>
      <c r="LAR59" s="64"/>
      <c r="LAS59" s="64"/>
      <c r="LAT59" s="64"/>
      <c r="LAU59" s="64"/>
      <c r="LAV59" s="64"/>
      <c r="LAW59" s="64"/>
      <c r="LAX59" s="64"/>
      <c r="LAY59" s="64"/>
      <c r="LAZ59" s="64"/>
      <c r="LBA59" s="64"/>
      <c r="LBB59" s="64"/>
      <c r="LBC59" s="64"/>
      <c r="LBD59" s="64"/>
      <c r="LBE59" s="64"/>
      <c r="LBF59" s="64"/>
      <c r="LBG59" s="64"/>
      <c r="LBH59" s="64"/>
      <c r="LBI59" s="64"/>
      <c r="LBJ59" s="64"/>
      <c r="LBK59" s="64"/>
      <c r="LBL59" s="64"/>
      <c r="LBM59" s="64"/>
      <c r="LBN59" s="64"/>
      <c r="LBO59" s="64"/>
      <c r="LBP59" s="64"/>
      <c r="LBQ59" s="64"/>
      <c r="LBR59" s="64"/>
      <c r="LBS59" s="64"/>
      <c r="LBT59" s="64"/>
      <c r="LBU59" s="64"/>
      <c r="LBV59" s="64"/>
      <c r="LBW59" s="64"/>
      <c r="LBX59" s="64"/>
      <c r="LBY59" s="64"/>
      <c r="LBZ59" s="64"/>
      <c r="LCA59" s="64"/>
      <c r="LCB59" s="64"/>
      <c r="LCC59" s="64"/>
      <c r="LCD59" s="64"/>
      <c r="LCE59" s="64"/>
      <c r="LCF59" s="64"/>
      <c r="LCG59" s="64"/>
      <c r="LCH59" s="64"/>
      <c r="LCI59" s="64"/>
      <c r="LCJ59" s="64"/>
      <c r="LCK59" s="64"/>
      <c r="LCL59" s="64"/>
      <c r="LCM59" s="64"/>
      <c r="LCN59" s="64"/>
      <c r="LCO59" s="64"/>
      <c r="LCP59" s="64"/>
      <c r="LCQ59" s="64"/>
      <c r="LCR59" s="64"/>
      <c r="LCS59" s="64"/>
      <c r="LCT59" s="64"/>
      <c r="LCU59" s="64"/>
      <c r="LCV59" s="64"/>
      <c r="LCW59" s="64"/>
      <c r="LCX59" s="64"/>
      <c r="LCY59" s="64"/>
      <c r="LCZ59" s="64"/>
      <c r="LDA59" s="64"/>
      <c r="LDB59" s="64"/>
      <c r="LDC59" s="64"/>
      <c r="LDD59" s="64"/>
      <c r="LDE59" s="64"/>
      <c r="LDF59" s="64"/>
      <c r="LDG59" s="64"/>
      <c r="LDH59" s="64"/>
      <c r="LDI59" s="64"/>
      <c r="LDJ59" s="64"/>
      <c r="LDK59" s="64"/>
      <c r="LDL59" s="64"/>
      <c r="LDM59" s="64"/>
      <c r="LDN59" s="64"/>
      <c r="LDO59" s="64"/>
      <c r="LDP59" s="64"/>
      <c r="LDQ59" s="64"/>
      <c r="LDR59" s="64"/>
      <c r="LDS59" s="64"/>
      <c r="LDT59" s="64"/>
      <c r="LDU59" s="64"/>
      <c r="LDV59" s="64"/>
      <c r="LDW59" s="64"/>
      <c r="LDX59" s="64"/>
      <c r="LDY59" s="64"/>
      <c r="LDZ59" s="64"/>
      <c r="LEA59" s="64"/>
      <c r="LEB59" s="64"/>
      <c r="LEC59" s="64"/>
      <c r="LED59" s="64"/>
      <c r="LEE59" s="64"/>
      <c r="LEF59" s="64"/>
      <c r="LEG59" s="64"/>
      <c r="LEH59" s="64"/>
      <c r="LEI59" s="64"/>
      <c r="LEJ59" s="64"/>
      <c r="LEK59" s="64"/>
      <c r="LEL59" s="64"/>
      <c r="LEM59" s="64"/>
      <c r="LEN59" s="64"/>
      <c r="LEO59" s="64"/>
      <c r="LEP59" s="64"/>
      <c r="LEQ59" s="64"/>
      <c r="LER59" s="64"/>
      <c r="LES59" s="64"/>
      <c r="LET59" s="64"/>
      <c r="LEU59" s="64"/>
      <c r="LEV59" s="64"/>
      <c r="LEW59" s="64"/>
      <c r="LEX59" s="64"/>
      <c r="LEY59" s="64"/>
      <c r="LEZ59" s="64"/>
      <c r="LFA59" s="64"/>
      <c r="LFB59" s="64"/>
      <c r="LFC59" s="64"/>
      <c r="LFD59" s="64"/>
      <c r="LFE59" s="64"/>
      <c r="LFF59" s="64"/>
      <c r="LFG59" s="64"/>
      <c r="LFH59" s="64"/>
      <c r="LFI59" s="64"/>
      <c r="LFJ59" s="64"/>
      <c r="LFK59" s="64"/>
      <c r="LFL59" s="64"/>
      <c r="LFM59" s="64"/>
      <c r="LFN59" s="64"/>
      <c r="LFO59" s="64"/>
      <c r="LFP59" s="64"/>
      <c r="LFQ59" s="64"/>
      <c r="LFR59" s="64"/>
      <c r="LFS59" s="64"/>
      <c r="LFT59" s="64"/>
      <c r="LFU59" s="64"/>
      <c r="LFV59" s="64"/>
      <c r="LFW59" s="64"/>
      <c r="LFX59" s="64"/>
      <c r="LFY59" s="64"/>
      <c r="LFZ59" s="64"/>
      <c r="LGA59" s="64"/>
      <c r="LGB59" s="64"/>
      <c r="LGC59" s="64"/>
      <c r="LGD59" s="64"/>
      <c r="LGE59" s="64"/>
      <c r="LGF59" s="64"/>
      <c r="LGG59" s="64"/>
      <c r="LGH59" s="64"/>
      <c r="LGI59" s="64"/>
      <c r="LGJ59" s="64"/>
      <c r="LGK59" s="64"/>
      <c r="LGL59" s="64"/>
      <c r="LGM59" s="64"/>
      <c r="LGN59" s="64"/>
      <c r="LGO59" s="64"/>
      <c r="LGP59" s="64"/>
      <c r="LGQ59" s="64"/>
      <c r="LGR59" s="64"/>
      <c r="LGS59" s="64"/>
      <c r="LGT59" s="64"/>
      <c r="LGU59" s="64"/>
      <c r="LGV59" s="64"/>
      <c r="LGW59" s="64"/>
      <c r="LGX59" s="64"/>
      <c r="LGY59" s="64"/>
      <c r="LGZ59" s="64"/>
      <c r="LHA59" s="64"/>
      <c r="LHB59" s="64"/>
      <c r="LHC59" s="64"/>
      <c r="LHD59" s="64"/>
      <c r="LHE59" s="64"/>
      <c r="LHF59" s="64"/>
      <c r="LHG59" s="64"/>
      <c r="LHH59" s="64"/>
      <c r="LHI59" s="64"/>
      <c r="LHJ59" s="64"/>
      <c r="LHK59" s="64"/>
      <c r="LHL59" s="64"/>
      <c r="LHM59" s="64"/>
      <c r="LHN59" s="64"/>
      <c r="LHO59" s="64"/>
      <c r="LHP59" s="64"/>
      <c r="LHQ59" s="64"/>
      <c r="LHR59" s="64"/>
      <c r="LHS59" s="64"/>
      <c r="LHT59" s="64"/>
      <c r="LHU59" s="64"/>
      <c r="LHV59" s="64"/>
      <c r="LHW59" s="64"/>
      <c r="LHX59" s="64"/>
      <c r="LHY59" s="64"/>
      <c r="LHZ59" s="64"/>
      <c r="LIA59" s="64"/>
      <c r="LIB59" s="64"/>
      <c r="LIC59" s="64"/>
      <c r="LID59" s="64"/>
      <c r="LIE59" s="64"/>
      <c r="LIF59" s="64"/>
      <c r="LIG59" s="64"/>
      <c r="LIH59" s="64"/>
      <c r="LII59" s="64"/>
      <c r="LIJ59" s="64"/>
      <c r="LIK59" s="64"/>
      <c r="LIL59" s="64"/>
      <c r="LIM59" s="64"/>
      <c r="LIN59" s="64"/>
      <c r="LIO59" s="64"/>
      <c r="LIP59" s="64"/>
      <c r="LIQ59" s="64"/>
      <c r="LIR59" s="64"/>
      <c r="LIS59" s="64"/>
      <c r="LIT59" s="64"/>
      <c r="LIU59" s="64"/>
      <c r="LIV59" s="64"/>
      <c r="LIW59" s="64"/>
      <c r="LIX59" s="64"/>
      <c r="LIY59" s="64"/>
      <c r="LIZ59" s="64"/>
      <c r="LJA59" s="64"/>
      <c r="LJB59" s="64"/>
      <c r="LJC59" s="64"/>
      <c r="LJD59" s="64"/>
      <c r="LJE59" s="64"/>
      <c r="LJF59" s="64"/>
      <c r="LJG59" s="64"/>
      <c r="LJH59" s="64"/>
      <c r="LJI59" s="64"/>
      <c r="LJJ59" s="64"/>
      <c r="LJK59" s="64"/>
      <c r="LJL59" s="64"/>
      <c r="LJM59" s="64"/>
      <c r="LJN59" s="64"/>
      <c r="LJO59" s="64"/>
      <c r="LJP59" s="64"/>
      <c r="LJQ59" s="64"/>
      <c r="LJR59" s="64"/>
      <c r="LJS59" s="64"/>
      <c r="LJT59" s="64"/>
      <c r="LJU59" s="64"/>
      <c r="LJV59" s="64"/>
      <c r="LJW59" s="64"/>
      <c r="LJX59" s="64"/>
      <c r="LJY59" s="64"/>
      <c r="LJZ59" s="64"/>
      <c r="LKA59" s="64"/>
      <c r="LKB59" s="64"/>
      <c r="LKC59" s="64"/>
      <c r="LKD59" s="64"/>
      <c r="LKE59" s="64"/>
      <c r="LKF59" s="64"/>
      <c r="LKG59" s="64"/>
      <c r="LKH59" s="64"/>
      <c r="LKI59" s="64"/>
      <c r="LKJ59" s="64"/>
      <c r="LKK59" s="64"/>
      <c r="LKL59" s="64"/>
      <c r="LKM59" s="64"/>
      <c r="LKN59" s="64"/>
      <c r="LKO59" s="64"/>
      <c r="LKP59" s="64"/>
      <c r="LKQ59" s="64"/>
      <c r="LKR59" s="64"/>
      <c r="LKS59" s="64"/>
      <c r="LKT59" s="64"/>
      <c r="LKU59" s="64"/>
      <c r="LKV59" s="64"/>
      <c r="LKW59" s="64"/>
      <c r="LKX59" s="64"/>
      <c r="LKY59" s="64"/>
      <c r="LKZ59" s="64"/>
      <c r="LLA59" s="64"/>
      <c r="LLB59" s="64"/>
      <c r="LLC59" s="64"/>
      <c r="LLD59" s="64"/>
      <c r="LLE59" s="64"/>
      <c r="LLF59" s="64"/>
      <c r="LLG59" s="64"/>
      <c r="LLH59" s="64"/>
      <c r="LLI59" s="64"/>
      <c r="LLJ59" s="64"/>
      <c r="LLK59" s="64"/>
      <c r="LLL59" s="64"/>
      <c r="LLM59" s="64"/>
      <c r="LLN59" s="64"/>
      <c r="LLO59" s="64"/>
      <c r="LLP59" s="64"/>
      <c r="LLQ59" s="64"/>
      <c r="LLR59" s="64"/>
      <c r="LLS59" s="64"/>
      <c r="LLT59" s="64"/>
      <c r="LLU59" s="64"/>
      <c r="LLV59" s="64"/>
      <c r="LLW59" s="64"/>
      <c r="LLX59" s="64"/>
      <c r="LLY59" s="64"/>
      <c r="LLZ59" s="64"/>
      <c r="LMA59" s="64"/>
      <c r="LMB59" s="64"/>
      <c r="LMC59" s="64"/>
      <c r="LMD59" s="64"/>
      <c r="LME59" s="64"/>
      <c r="LMF59" s="64"/>
      <c r="LMG59" s="64"/>
      <c r="LMH59" s="64"/>
      <c r="LMI59" s="64"/>
      <c r="LMJ59" s="64"/>
      <c r="LMK59" s="64"/>
      <c r="LML59" s="64"/>
      <c r="LMM59" s="64"/>
      <c r="LMN59" s="64"/>
      <c r="LMO59" s="64"/>
      <c r="LMP59" s="64"/>
      <c r="LMQ59" s="64"/>
      <c r="LMR59" s="64"/>
      <c r="LMS59" s="64"/>
      <c r="LMT59" s="64"/>
      <c r="LMU59" s="64"/>
      <c r="LMV59" s="64"/>
      <c r="LMW59" s="64"/>
      <c r="LMX59" s="64"/>
      <c r="LMY59" s="64"/>
      <c r="LMZ59" s="64"/>
      <c r="LNA59" s="64"/>
      <c r="LNB59" s="64"/>
      <c r="LNC59" s="64"/>
      <c r="LND59" s="64"/>
      <c r="LNE59" s="64"/>
      <c r="LNF59" s="64"/>
      <c r="LNG59" s="64"/>
      <c r="LNH59" s="64"/>
      <c r="LNI59" s="64"/>
      <c r="LNJ59" s="64"/>
      <c r="LNK59" s="64"/>
      <c r="LNL59" s="64"/>
      <c r="LNM59" s="64"/>
      <c r="LNN59" s="64"/>
      <c r="LNO59" s="64"/>
      <c r="LNP59" s="64"/>
      <c r="LNQ59" s="64"/>
      <c r="LNR59" s="64"/>
      <c r="LNS59" s="64"/>
      <c r="LNT59" s="64"/>
      <c r="LNU59" s="64"/>
      <c r="LNV59" s="64"/>
      <c r="LNW59" s="64"/>
      <c r="LNX59" s="64"/>
      <c r="LNY59" s="64"/>
      <c r="LNZ59" s="64"/>
      <c r="LOA59" s="64"/>
      <c r="LOB59" s="64"/>
      <c r="LOC59" s="64"/>
      <c r="LOD59" s="64"/>
      <c r="LOE59" s="64"/>
      <c r="LOF59" s="64"/>
      <c r="LOG59" s="64"/>
      <c r="LOH59" s="64"/>
      <c r="LOI59" s="64"/>
      <c r="LOJ59" s="64"/>
      <c r="LOK59" s="64"/>
      <c r="LOL59" s="64"/>
      <c r="LOM59" s="64"/>
      <c r="LON59" s="64"/>
      <c r="LOO59" s="64"/>
      <c r="LOP59" s="64"/>
      <c r="LOQ59" s="64"/>
      <c r="LOR59" s="64"/>
      <c r="LOS59" s="64"/>
      <c r="LOT59" s="64"/>
      <c r="LOU59" s="64"/>
      <c r="LOV59" s="64"/>
      <c r="LOW59" s="64"/>
      <c r="LOX59" s="64"/>
      <c r="LOY59" s="64"/>
      <c r="LOZ59" s="64"/>
      <c r="LPA59" s="64"/>
      <c r="LPB59" s="64"/>
      <c r="LPC59" s="64"/>
      <c r="LPD59" s="64"/>
      <c r="LPE59" s="64"/>
      <c r="LPF59" s="64"/>
      <c r="LPG59" s="64"/>
      <c r="LPH59" s="64"/>
      <c r="LPI59" s="64"/>
      <c r="LPJ59" s="64"/>
      <c r="LPK59" s="64"/>
      <c r="LPL59" s="64"/>
      <c r="LPM59" s="64"/>
      <c r="LPN59" s="64"/>
      <c r="LPO59" s="64"/>
      <c r="LPP59" s="64"/>
      <c r="LPQ59" s="64"/>
      <c r="LPR59" s="64"/>
      <c r="LPS59" s="64"/>
      <c r="LPT59" s="64"/>
      <c r="LPU59" s="64"/>
      <c r="LPV59" s="64"/>
      <c r="LPW59" s="64"/>
      <c r="LPX59" s="64"/>
      <c r="LPY59" s="64"/>
      <c r="LPZ59" s="64"/>
      <c r="LQA59" s="64"/>
      <c r="LQB59" s="64"/>
      <c r="LQC59" s="64"/>
      <c r="LQD59" s="64"/>
      <c r="LQE59" s="64"/>
      <c r="LQF59" s="64"/>
      <c r="LQG59" s="64"/>
      <c r="LQH59" s="64"/>
      <c r="LQI59" s="64"/>
      <c r="LQJ59" s="64"/>
      <c r="LQK59" s="64"/>
      <c r="LQL59" s="64"/>
      <c r="LQM59" s="64"/>
      <c r="LQN59" s="64"/>
      <c r="LQO59" s="64"/>
      <c r="LQP59" s="64"/>
      <c r="LQQ59" s="64"/>
      <c r="LQR59" s="64"/>
      <c r="LQS59" s="64"/>
      <c r="LQT59" s="64"/>
      <c r="LQU59" s="64"/>
      <c r="LQV59" s="64"/>
      <c r="LQW59" s="64"/>
      <c r="LQX59" s="64"/>
      <c r="LQY59" s="64"/>
      <c r="LQZ59" s="64"/>
      <c r="LRA59" s="64"/>
      <c r="LRB59" s="64"/>
      <c r="LRC59" s="64"/>
      <c r="LRD59" s="64"/>
      <c r="LRE59" s="64"/>
      <c r="LRF59" s="64"/>
      <c r="LRG59" s="64"/>
      <c r="LRH59" s="64"/>
      <c r="LRI59" s="64"/>
      <c r="LRJ59" s="64"/>
      <c r="LRK59" s="64"/>
      <c r="LRL59" s="64"/>
      <c r="LRM59" s="64"/>
      <c r="LRN59" s="64"/>
      <c r="LRO59" s="64"/>
      <c r="LRP59" s="64"/>
      <c r="LRQ59" s="64"/>
      <c r="LRR59" s="64"/>
      <c r="LRS59" s="64"/>
      <c r="LRT59" s="64"/>
      <c r="LRU59" s="64"/>
      <c r="LRV59" s="64"/>
      <c r="LRW59" s="64"/>
      <c r="LRX59" s="64"/>
      <c r="LRY59" s="64"/>
      <c r="LRZ59" s="64"/>
      <c r="LSA59" s="64"/>
      <c r="LSB59" s="64"/>
      <c r="LSC59" s="64"/>
      <c r="LSD59" s="64"/>
      <c r="LSE59" s="64"/>
      <c r="LSF59" s="64"/>
      <c r="LSG59" s="64"/>
      <c r="LSH59" s="64"/>
      <c r="LSI59" s="64"/>
      <c r="LSJ59" s="64"/>
      <c r="LSK59" s="64"/>
      <c r="LSL59" s="64"/>
      <c r="LSM59" s="64"/>
      <c r="LSN59" s="64"/>
      <c r="LSO59" s="64"/>
      <c r="LSP59" s="64"/>
      <c r="LSQ59" s="64"/>
      <c r="LSR59" s="64"/>
      <c r="LSS59" s="64"/>
      <c r="LST59" s="64"/>
      <c r="LSU59" s="64"/>
      <c r="LSV59" s="64"/>
      <c r="LSW59" s="64"/>
      <c r="LSX59" s="64"/>
      <c r="LSY59" s="64"/>
      <c r="LSZ59" s="64"/>
      <c r="LTA59" s="64"/>
      <c r="LTB59" s="64"/>
      <c r="LTC59" s="64"/>
      <c r="LTD59" s="64"/>
      <c r="LTE59" s="64"/>
      <c r="LTF59" s="64"/>
      <c r="LTG59" s="64"/>
      <c r="LTH59" s="64"/>
      <c r="LTI59" s="64"/>
      <c r="LTJ59" s="64"/>
      <c r="LTK59" s="64"/>
      <c r="LTL59" s="64"/>
      <c r="LTM59" s="64"/>
      <c r="LTN59" s="64"/>
      <c r="LTO59" s="64"/>
      <c r="LTP59" s="64"/>
      <c r="LTQ59" s="64"/>
      <c r="LTR59" s="64"/>
      <c r="LTS59" s="64"/>
      <c r="LTT59" s="64"/>
      <c r="LTU59" s="64"/>
      <c r="LTV59" s="64"/>
      <c r="LTW59" s="64"/>
      <c r="LTX59" s="64"/>
      <c r="LTY59" s="64"/>
      <c r="LTZ59" s="64"/>
      <c r="LUA59" s="64"/>
      <c r="LUB59" s="64"/>
      <c r="LUC59" s="64"/>
      <c r="LUD59" s="64"/>
      <c r="LUE59" s="64"/>
      <c r="LUF59" s="64"/>
      <c r="LUG59" s="64"/>
      <c r="LUH59" s="64"/>
      <c r="LUI59" s="64"/>
      <c r="LUJ59" s="64"/>
      <c r="LUK59" s="64"/>
      <c r="LUL59" s="64"/>
      <c r="LUM59" s="64"/>
      <c r="LUN59" s="64"/>
      <c r="LUO59" s="64"/>
      <c r="LUP59" s="64"/>
      <c r="LUQ59" s="64"/>
      <c r="LUR59" s="64"/>
      <c r="LUS59" s="64"/>
      <c r="LUT59" s="64"/>
      <c r="LUU59" s="64"/>
      <c r="LUV59" s="64"/>
      <c r="LUW59" s="64"/>
      <c r="LUX59" s="64"/>
      <c r="LUY59" s="64"/>
      <c r="LUZ59" s="64"/>
      <c r="LVA59" s="64"/>
      <c r="LVB59" s="64"/>
      <c r="LVC59" s="64"/>
      <c r="LVD59" s="64"/>
      <c r="LVE59" s="64"/>
      <c r="LVF59" s="64"/>
      <c r="LVG59" s="64"/>
      <c r="LVH59" s="64"/>
      <c r="LVI59" s="64"/>
      <c r="LVJ59" s="64"/>
      <c r="LVK59" s="64"/>
      <c r="LVL59" s="64"/>
      <c r="LVM59" s="64"/>
      <c r="LVN59" s="64"/>
      <c r="LVO59" s="64"/>
      <c r="LVP59" s="64"/>
      <c r="LVQ59" s="64"/>
      <c r="LVR59" s="64"/>
      <c r="LVS59" s="64"/>
      <c r="LVT59" s="64"/>
      <c r="LVU59" s="64"/>
      <c r="LVV59" s="64"/>
      <c r="LVW59" s="64"/>
      <c r="LVX59" s="64"/>
      <c r="LVY59" s="64"/>
      <c r="LVZ59" s="64"/>
      <c r="LWA59" s="64"/>
      <c r="LWB59" s="64"/>
      <c r="LWC59" s="64"/>
      <c r="LWD59" s="64"/>
      <c r="LWE59" s="64"/>
      <c r="LWF59" s="64"/>
      <c r="LWG59" s="64"/>
      <c r="LWH59" s="64"/>
      <c r="LWI59" s="64"/>
      <c r="LWJ59" s="64"/>
      <c r="LWK59" s="64"/>
      <c r="LWL59" s="64"/>
      <c r="LWM59" s="64"/>
      <c r="LWN59" s="64"/>
      <c r="LWO59" s="64"/>
      <c r="LWP59" s="64"/>
      <c r="LWQ59" s="64"/>
      <c r="LWR59" s="64"/>
      <c r="LWS59" s="64"/>
      <c r="LWT59" s="64"/>
      <c r="LWU59" s="64"/>
      <c r="LWV59" s="64"/>
      <c r="LWW59" s="64"/>
      <c r="LWX59" s="64"/>
      <c r="LWY59" s="64"/>
      <c r="LWZ59" s="64"/>
      <c r="LXA59" s="64"/>
      <c r="LXB59" s="64"/>
      <c r="LXC59" s="64"/>
      <c r="LXD59" s="64"/>
      <c r="LXE59" s="64"/>
      <c r="LXF59" s="64"/>
      <c r="LXG59" s="64"/>
      <c r="LXH59" s="64"/>
      <c r="LXI59" s="64"/>
      <c r="LXJ59" s="64"/>
      <c r="LXK59" s="64"/>
      <c r="LXL59" s="64"/>
      <c r="LXM59" s="64"/>
      <c r="LXN59" s="64"/>
      <c r="LXO59" s="64"/>
      <c r="LXP59" s="64"/>
      <c r="LXQ59" s="64"/>
      <c r="LXR59" s="64"/>
      <c r="LXS59" s="64"/>
      <c r="LXT59" s="64"/>
      <c r="LXU59" s="64"/>
      <c r="LXV59" s="64"/>
      <c r="LXW59" s="64"/>
      <c r="LXX59" s="64"/>
      <c r="LXY59" s="64"/>
      <c r="LXZ59" s="64"/>
      <c r="LYA59" s="64"/>
      <c r="LYB59" s="64"/>
      <c r="LYC59" s="64"/>
      <c r="LYD59" s="64"/>
      <c r="LYE59" s="64"/>
      <c r="LYF59" s="64"/>
      <c r="LYG59" s="64"/>
      <c r="LYH59" s="64"/>
      <c r="LYI59" s="64"/>
      <c r="LYJ59" s="64"/>
      <c r="LYK59" s="64"/>
      <c r="LYL59" s="64"/>
      <c r="LYM59" s="64"/>
      <c r="LYN59" s="64"/>
      <c r="LYO59" s="64"/>
      <c r="LYP59" s="64"/>
      <c r="LYQ59" s="64"/>
      <c r="LYR59" s="64"/>
      <c r="LYS59" s="64"/>
      <c r="LYT59" s="64"/>
      <c r="LYU59" s="64"/>
      <c r="LYV59" s="64"/>
      <c r="LYW59" s="64"/>
      <c r="LYX59" s="64"/>
      <c r="LYY59" s="64"/>
      <c r="LYZ59" s="64"/>
      <c r="LZA59" s="64"/>
      <c r="LZB59" s="64"/>
      <c r="LZC59" s="64"/>
      <c r="LZD59" s="64"/>
      <c r="LZE59" s="64"/>
      <c r="LZF59" s="64"/>
      <c r="LZG59" s="64"/>
      <c r="LZH59" s="64"/>
      <c r="LZI59" s="64"/>
      <c r="LZJ59" s="64"/>
      <c r="LZK59" s="64"/>
      <c r="LZL59" s="64"/>
      <c r="LZM59" s="64"/>
      <c r="LZN59" s="64"/>
      <c r="LZO59" s="64"/>
      <c r="LZP59" s="64"/>
      <c r="LZQ59" s="64"/>
      <c r="LZR59" s="64"/>
      <c r="LZS59" s="64"/>
      <c r="LZT59" s="64"/>
      <c r="LZU59" s="64"/>
      <c r="LZV59" s="64"/>
      <c r="LZW59" s="64"/>
      <c r="LZX59" s="64"/>
      <c r="LZY59" s="64"/>
      <c r="LZZ59" s="64"/>
      <c r="MAA59" s="64"/>
      <c r="MAB59" s="64"/>
      <c r="MAC59" s="64"/>
      <c r="MAD59" s="64"/>
      <c r="MAE59" s="64"/>
      <c r="MAF59" s="64"/>
      <c r="MAG59" s="64"/>
      <c r="MAH59" s="64"/>
      <c r="MAI59" s="64"/>
      <c r="MAJ59" s="64"/>
      <c r="MAK59" s="64"/>
      <c r="MAL59" s="64"/>
      <c r="MAM59" s="64"/>
      <c r="MAN59" s="64"/>
      <c r="MAO59" s="64"/>
      <c r="MAP59" s="64"/>
      <c r="MAQ59" s="64"/>
      <c r="MAR59" s="64"/>
      <c r="MAS59" s="64"/>
      <c r="MAT59" s="64"/>
      <c r="MAU59" s="64"/>
      <c r="MAV59" s="64"/>
      <c r="MAW59" s="64"/>
      <c r="MAX59" s="64"/>
      <c r="MAY59" s="64"/>
      <c r="MAZ59" s="64"/>
      <c r="MBA59" s="64"/>
      <c r="MBB59" s="64"/>
      <c r="MBC59" s="64"/>
      <c r="MBD59" s="64"/>
      <c r="MBE59" s="64"/>
      <c r="MBF59" s="64"/>
      <c r="MBG59" s="64"/>
      <c r="MBH59" s="64"/>
      <c r="MBI59" s="64"/>
      <c r="MBJ59" s="64"/>
      <c r="MBK59" s="64"/>
      <c r="MBL59" s="64"/>
      <c r="MBM59" s="64"/>
      <c r="MBN59" s="64"/>
      <c r="MBO59" s="64"/>
      <c r="MBP59" s="64"/>
      <c r="MBQ59" s="64"/>
      <c r="MBR59" s="64"/>
      <c r="MBS59" s="64"/>
      <c r="MBT59" s="64"/>
      <c r="MBU59" s="64"/>
      <c r="MBV59" s="64"/>
      <c r="MBW59" s="64"/>
      <c r="MBX59" s="64"/>
      <c r="MBY59" s="64"/>
      <c r="MBZ59" s="64"/>
      <c r="MCA59" s="64"/>
      <c r="MCB59" s="64"/>
      <c r="MCC59" s="64"/>
      <c r="MCD59" s="64"/>
      <c r="MCE59" s="64"/>
      <c r="MCF59" s="64"/>
      <c r="MCG59" s="64"/>
      <c r="MCH59" s="64"/>
      <c r="MCI59" s="64"/>
      <c r="MCJ59" s="64"/>
      <c r="MCK59" s="64"/>
      <c r="MCL59" s="64"/>
      <c r="MCM59" s="64"/>
      <c r="MCN59" s="64"/>
      <c r="MCO59" s="64"/>
      <c r="MCP59" s="64"/>
      <c r="MCQ59" s="64"/>
      <c r="MCR59" s="64"/>
      <c r="MCS59" s="64"/>
      <c r="MCT59" s="64"/>
      <c r="MCU59" s="64"/>
      <c r="MCV59" s="64"/>
      <c r="MCW59" s="64"/>
      <c r="MCX59" s="64"/>
      <c r="MCY59" s="64"/>
      <c r="MCZ59" s="64"/>
      <c r="MDA59" s="64"/>
      <c r="MDB59" s="64"/>
      <c r="MDC59" s="64"/>
      <c r="MDD59" s="64"/>
      <c r="MDE59" s="64"/>
      <c r="MDF59" s="64"/>
      <c r="MDG59" s="64"/>
      <c r="MDH59" s="64"/>
      <c r="MDI59" s="64"/>
      <c r="MDJ59" s="64"/>
      <c r="MDK59" s="64"/>
      <c r="MDL59" s="64"/>
      <c r="MDM59" s="64"/>
      <c r="MDN59" s="64"/>
      <c r="MDO59" s="64"/>
      <c r="MDP59" s="64"/>
      <c r="MDQ59" s="64"/>
      <c r="MDR59" s="64"/>
      <c r="MDS59" s="64"/>
      <c r="MDT59" s="64"/>
      <c r="MDU59" s="64"/>
      <c r="MDV59" s="64"/>
      <c r="MDW59" s="64"/>
      <c r="MDX59" s="64"/>
      <c r="MDY59" s="64"/>
      <c r="MDZ59" s="64"/>
      <c r="MEA59" s="64"/>
      <c r="MEB59" s="64"/>
      <c r="MEC59" s="64"/>
      <c r="MED59" s="64"/>
      <c r="MEE59" s="64"/>
      <c r="MEF59" s="64"/>
      <c r="MEG59" s="64"/>
      <c r="MEH59" s="64"/>
      <c r="MEI59" s="64"/>
      <c r="MEJ59" s="64"/>
      <c r="MEK59" s="64"/>
      <c r="MEL59" s="64"/>
      <c r="MEM59" s="64"/>
      <c r="MEN59" s="64"/>
      <c r="MEO59" s="64"/>
      <c r="MEP59" s="64"/>
      <c r="MEQ59" s="64"/>
      <c r="MER59" s="64"/>
      <c r="MES59" s="64"/>
      <c r="MET59" s="64"/>
      <c r="MEU59" s="64"/>
      <c r="MEV59" s="64"/>
      <c r="MEW59" s="64"/>
      <c r="MEX59" s="64"/>
      <c r="MEY59" s="64"/>
      <c r="MEZ59" s="64"/>
      <c r="MFA59" s="64"/>
      <c r="MFB59" s="64"/>
      <c r="MFC59" s="64"/>
      <c r="MFD59" s="64"/>
      <c r="MFE59" s="64"/>
      <c r="MFF59" s="64"/>
      <c r="MFG59" s="64"/>
      <c r="MFH59" s="64"/>
      <c r="MFI59" s="64"/>
      <c r="MFJ59" s="64"/>
      <c r="MFK59" s="64"/>
      <c r="MFL59" s="64"/>
      <c r="MFM59" s="64"/>
      <c r="MFN59" s="64"/>
      <c r="MFO59" s="64"/>
      <c r="MFP59" s="64"/>
      <c r="MFQ59" s="64"/>
      <c r="MFR59" s="64"/>
      <c r="MFS59" s="64"/>
      <c r="MFT59" s="64"/>
      <c r="MFU59" s="64"/>
      <c r="MFV59" s="64"/>
      <c r="MFW59" s="64"/>
      <c r="MFX59" s="64"/>
      <c r="MFY59" s="64"/>
      <c r="MFZ59" s="64"/>
      <c r="MGA59" s="64"/>
      <c r="MGB59" s="64"/>
      <c r="MGC59" s="64"/>
      <c r="MGD59" s="64"/>
      <c r="MGE59" s="64"/>
      <c r="MGF59" s="64"/>
      <c r="MGG59" s="64"/>
      <c r="MGH59" s="64"/>
      <c r="MGI59" s="64"/>
      <c r="MGJ59" s="64"/>
      <c r="MGK59" s="64"/>
      <c r="MGL59" s="64"/>
      <c r="MGM59" s="64"/>
      <c r="MGN59" s="64"/>
      <c r="MGO59" s="64"/>
      <c r="MGP59" s="64"/>
      <c r="MGQ59" s="64"/>
      <c r="MGR59" s="64"/>
      <c r="MGS59" s="64"/>
      <c r="MGT59" s="64"/>
      <c r="MGU59" s="64"/>
      <c r="MGV59" s="64"/>
      <c r="MGW59" s="64"/>
      <c r="MGX59" s="64"/>
      <c r="MGY59" s="64"/>
      <c r="MGZ59" s="64"/>
      <c r="MHA59" s="64"/>
      <c r="MHB59" s="64"/>
      <c r="MHC59" s="64"/>
      <c r="MHD59" s="64"/>
      <c r="MHE59" s="64"/>
      <c r="MHF59" s="64"/>
      <c r="MHG59" s="64"/>
      <c r="MHH59" s="64"/>
      <c r="MHI59" s="64"/>
      <c r="MHJ59" s="64"/>
      <c r="MHK59" s="64"/>
      <c r="MHL59" s="64"/>
      <c r="MHM59" s="64"/>
      <c r="MHN59" s="64"/>
      <c r="MHO59" s="64"/>
      <c r="MHP59" s="64"/>
      <c r="MHQ59" s="64"/>
      <c r="MHR59" s="64"/>
      <c r="MHS59" s="64"/>
      <c r="MHT59" s="64"/>
      <c r="MHU59" s="64"/>
      <c r="MHV59" s="64"/>
      <c r="MHW59" s="64"/>
      <c r="MHX59" s="64"/>
      <c r="MHY59" s="64"/>
      <c r="MHZ59" s="64"/>
      <c r="MIA59" s="64"/>
      <c r="MIB59" s="64"/>
      <c r="MIC59" s="64"/>
      <c r="MID59" s="64"/>
      <c r="MIE59" s="64"/>
      <c r="MIF59" s="64"/>
      <c r="MIG59" s="64"/>
      <c r="MIH59" s="64"/>
      <c r="MII59" s="64"/>
      <c r="MIJ59" s="64"/>
      <c r="MIK59" s="64"/>
      <c r="MIL59" s="64"/>
      <c r="MIM59" s="64"/>
      <c r="MIN59" s="64"/>
      <c r="MIO59" s="64"/>
      <c r="MIP59" s="64"/>
      <c r="MIQ59" s="64"/>
      <c r="MIR59" s="64"/>
      <c r="MIS59" s="64"/>
      <c r="MIT59" s="64"/>
      <c r="MIU59" s="64"/>
      <c r="MIV59" s="64"/>
      <c r="MIW59" s="64"/>
      <c r="MIX59" s="64"/>
      <c r="MIY59" s="64"/>
      <c r="MIZ59" s="64"/>
      <c r="MJA59" s="64"/>
      <c r="MJB59" s="64"/>
      <c r="MJC59" s="64"/>
      <c r="MJD59" s="64"/>
      <c r="MJE59" s="64"/>
      <c r="MJF59" s="64"/>
      <c r="MJG59" s="64"/>
      <c r="MJH59" s="64"/>
      <c r="MJI59" s="64"/>
      <c r="MJJ59" s="64"/>
      <c r="MJK59" s="64"/>
      <c r="MJL59" s="64"/>
      <c r="MJM59" s="64"/>
      <c r="MJN59" s="64"/>
      <c r="MJO59" s="64"/>
      <c r="MJP59" s="64"/>
      <c r="MJQ59" s="64"/>
      <c r="MJR59" s="64"/>
      <c r="MJS59" s="64"/>
      <c r="MJT59" s="64"/>
      <c r="MJU59" s="64"/>
      <c r="MJV59" s="64"/>
      <c r="MJW59" s="64"/>
      <c r="MJX59" s="64"/>
      <c r="MJY59" s="64"/>
      <c r="MJZ59" s="64"/>
      <c r="MKA59" s="64"/>
      <c r="MKB59" s="64"/>
      <c r="MKC59" s="64"/>
      <c r="MKD59" s="64"/>
      <c r="MKE59" s="64"/>
      <c r="MKF59" s="64"/>
      <c r="MKG59" s="64"/>
      <c r="MKH59" s="64"/>
      <c r="MKI59" s="64"/>
      <c r="MKJ59" s="64"/>
      <c r="MKK59" s="64"/>
      <c r="MKL59" s="64"/>
      <c r="MKM59" s="64"/>
      <c r="MKN59" s="64"/>
      <c r="MKO59" s="64"/>
      <c r="MKP59" s="64"/>
      <c r="MKQ59" s="64"/>
      <c r="MKR59" s="64"/>
      <c r="MKS59" s="64"/>
      <c r="MKT59" s="64"/>
      <c r="MKU59" s="64"/>
      <c r="MKV59" s="64"/>
      <c r="MKW59" s="64"/>
      <c r="MKX59" s="64"/>
      <c r="MKY59" s="64"/>
      <c r="MKZ59" s="64"/>
      <c r="MLA59" s="64"/>
      <c r="MLB59" s="64"/>
      <c r="MLC59" s="64"/>
      <c r="MLD59" s="64"/>
      <c r="MLE59" s="64"/>
      <c r="MLF59" s="64"/>
      <c r="MLG59" s="64"/>
      <c r="MLH59" s="64"/>
      <c r="MLI59" s="64"/>
      <c r="MLJ59" s="64"/>
      <c r="MLK59" s="64"/>
      <c r="MLL59" s="64"/>
      <c r="MLM59" s="64"/>
      <c r="MLN59" s="64"/>
      <c r="MLO59" s="64"/>
      <c r="MLP59" s="64"/>
      <c r="MLQ59" s="64"/>
      <c r="MLR59" s="64"/>
      <c r="MLS59" s="64"/>
      <c r="MLT59" s="64"/>
      <c r="MLU59" s="64"/>
      <c r="MLV59" s="64"/>
      <c r="MLW59" s="64"/>
      <c r="MLX59" s="64"/>
      <c r="MLY59" s="64"/>
      <c r="MLZ59" s="64"/>
      <c r="MMA59" s="64"/>
      <c r="MMB59" s="64"/>
      <c r="MMC59" s="64"/>
      <c r="MMD59" s="64"/>
      <c r="MME59" s="64"/>
      <c r="MMF59" s="64"/>
      <c r="MMG59" s="64"/>
      <c r="MMH59" s="64"/>
      <c r="MMI59" s="64"/>
      <c r="MMJ59" s="64"/>
      <c r="MMK59" s="64"/>
      <c r="MML59" s="64"/>
      <c r="MMM59" s="64"/>
      <c r="MMN59" s="64"/>
      <c r="MMO59" s="64"/>
      <c r="MMP59" s="64"/>
      <c r="MMQ59" s="64"/>
      <c r="MMR59" s="64"/>
      <c r="MMS59" s="64"/>
      <c r="MMT59" s="64"/>
      <c r="MMU59" s="64"/>
      <c r="MMV59" s="64"/>
      <c r="MMW59" s="64"/>
      <c r="MMX59" s="64"/>
      <c r="MMY59" s="64"/>
      <c r="MMZ59" s="64"/>
      <c r="MNA59" s="64"/>
      <c r="MNB59" s="64"/>
      <c r="MNC59" s="64"/>
      <c r="MND59" s="64"/>
      <c r="MNE59" s="64"/>
      <c r="MNF59" s="64"/>
      <c r="MNG59" s="64"/>
      <c r="MNH59" s="64"/>
      <c r="MNI59" s="64"/>
      <c r="MNJ59" s="64"/>
      <c r="MNK59" s="64"/>
      <c r="MNL59" s="64"/>
      <c r="MNM59" s="64"/>
      <c r="MNN59" s="64"/>
      <c r="MNO59" s="64"/>
      <c r="MNP59" s="64"/>
      <c r="MNQ59" s="64"/>
      <c r="MNR59" s="64"/>
      <c r="MNS59" s="64"/>
      <c r="MNT59" s="64"/>
      <c r="MNU59" s="64"/>
      <c r="MNV59" s="64"/>
      <c r="MNW59" s="64"/>
      <c r="MNX59" s="64"/>
      <c r="MNY59" s="64"/>
      <c r="MNZ59" s="64"/>
      <c r="MOA59" s="64"/>
      <c r="MOB59" s="64"/>
      <c r="MOC59" s="64"/>
      <c r="MOD59" s="64"/>
      <c r="MOE59" s="64"/>
      <c r="MOF59" s="64"/>
      <c r="MOG59" s="64"/>
      <c r="MOH59" s="64"/>
      <c r="MOI59" s="64"/>
      <c r="MOJ59" s="64"/>
      <c r="MOK59" s="64"/>
      <c r="MOL59" s="64"/>
      <c r="MOM59" s="64"/>
      <c r="MON59" s="64"/>
      <c r="MOO59" s="64"/>
      <c r="MOP59" s="64"/>
      <c r="MOQ59" s="64"/>
      <c r="MOR59" s="64"/>
      <c r="MOS59" s="64"/>
      <c r="MOT59" s="64"/>
      <c r="MOU59" s="64"/>
      <c r="MOV59" s="64"/>
      <c r="MOW59" s="64"/>
      <c r="MOX59" s="64"/>
      <c r="MOY59" s="64"/>
      <c r="MOZ59" s="64"/>
      <c r="MPA59" s="64"/>
      <c r="MPB59" s="64"/>
      <c r="MPC59" s="64"/>
      <c r="MPD59" s="64"/>
      <c r="MPE59" s="64"/>
      <c r="MPF59" s="64"/>
      <c r="MPG59" s="64"/>
      <c r="MPH59" s="64"/>
      <c r="MPI59" s="64"/>
      <c r="MPJ59" s="64"/>
      <c r="MPK59" s="64"/>
      <c r="MPL59" s="64"/>
      <c r="MPM59" s="64"/>
      <c r="MPN59" s="64"/>
      <c r="MPO59" s="64"/>
      <c r="MPP59" s="64"/>
      <c r="MPQ59" s="64"/>
      <c r="MPR59" s="64"/>
      <c r="MPS59" s="64"/>
      <c r="MPT59" s="64"/>
      <c r="MPU59" s="64"/>
      <c r="MPV59" s="64"/>
      <c r="MPW59" s="64"/>
      <c r="MPX59" s="64"/>
      <c r="MPY59" s="64"/>
      <c r="MPZ59" s="64"/>
      <c r="MQA59" s="64"/>
      <c r="MQB59" s="64"/>
      <c r="MQC59" s="64"/>
      <c r="MQD59" s="64"/>
      <c r="MQE59" s="64"/>
      <c r="MQF59" s="64"/>
      <c r="MQG59" s="64"/>
      <c r="MQH59" s="64"/>
      <c r="MQI59" s="64"/>
      <c r="MQJ59" s="64"/>
      <c r="MQK59" s="64"/>
      <c r="MQL59" s="64"/>
      <c r="MQM59" s="64"/>
      <c r="MQN59" s="64"/>
      <c r="MQO59" s="64"/>
      <c r="MQP59" s="64"/>
      <c r="MQQ59" s="64"/>
      <c r="MQR59" s="64"/>
      <c r="MQS59" s="64"/>
      <c r="MQT59" s="64"/>
      <c r="MQU59" s="64"/>
      <c r="MQV59" s="64"/>
      <c r="MQW59" s="64"/>
      <c r="MQX59" s="64"/>
      <c r="MQY59" s="64"/>
      <c r="MQZ59" s="64"/>
      <c r="MRA59" s="64"/>
      <c r="MRB59" s="64"/>
      <c r="MRC59" s="64"/>
      <c r="MRD59" s="64"/>
      <c r="MRE59" s="64"/>
      <c r="MRF59" s="64"/>
      <c r="MRG59" s="64"/>
      <c r="MRH59" s="64"/>
      <c r="MRI59" s="64"/>
      <c r="MRJ59" s="64"/>
      <c r="MRK59" s="64"/>
      <c r="MRL59" s="64"/>
      <c r="MRM59" s="64"/>
      <c r="MRN59" s="64"/>
      <c r="MRO59" s="64"/>
      <c r="MRP59" s="64"/>
      <c r="MRQ59" s="64"/>
      <c r="MRR59" s="64"/>
      <c r="MRS59" s="64"/>
      <c r="MRT59" s="64"/>
      <c r="MRU59" s="64"/>
      <c r="MRV59" s="64"/>
      <c r="MRW59" s="64"/>
      <c r="MRX59" s="64"/>
      <c r="MRY59" s="64"/>
      <c r="MRZ59" s="64"/>
      <c r="MSA59" s="64"/>
      <c r="MSB59" s="64"/>
      <c r="MSC59" s="64"/>
      <c r="MSD59" s="64"/>
      <c r="MSE59" s="64"/>
      <c r="MSF59" s="64"/>
      <c r="MSG59" s="64"/>
      <c r="MSH59" s="64"/>
      <c r="MSI59" s="64"/>
      <c r="MSJ59" s="64"/>
      <c r="MSK59" s="64"/>
      <c r="MSL59" s="64"/>
      <c r="MSM59" s="64"/>
      <c r="MSN59" s="64"/>
      <c r="MSO59" s="64"/>
      <c r="MSP59" s="64"/>
      <c r="MSQ59" s="64"/>
      <c r="MSR59" s="64"/>
      <c r="MSS59" s="64"/>
      <c r="MST59" s="64"/>
      <c r="MSU59" s="64"/>
      <c r="MSV59" s="64"/>
      <c r="MSW59" s="64"/>
      <c r="MSX59" s="64"/>
      <c r="MSY59" s="64"/>
      <c r="MSZ59" s="64"/>
      <c r="MTA59" s="64"/>
      <c r="MTB59" s="64"/>
      <c r="MTC59" s="64"/>
      <c r="MTD59" s="64"/>
      <c r="MTE59" s="64"/>
      <c r="MTF59" s="64"/>
      <c r="MTG59" s="64"/>
      <c r="MTH59" s="64"/>
      <c r="MTI59" s="64"/>
      <c r="MTJ59" s="64"/>
      <c r="MTK59" s="64"/>
      <c r="MTL59" s="64"/>
      <c r="MTM59" s="64"/>
      <c r="MTN59" s="64"/>
      <c r="MTO59" s="64"/>
      <c r="MTP59" s="64"/>
      <c r="MTQ59" s="64"/>
      <c r="MTR59" s="64"/>
      <c r="MTS59" s="64"/>
      <c r="MTT59" s="64"/>
      <c r="MTU59" s="64"/>
      <c r="MTV59" s="64"/>
      <c r="MTW59" s="64"/>
      <c r="MTX59" s="64"/>
      <c r="MTY59" s="64"/>
      <c r="MTZ59" s="64"/>
      <c r="MUA59" s="64"/>
      <c r="MUB59" s="64"/>
      <c r="MUC59" s="64"/>
      <c r="MUD59" s="64"/>
      <c r="MUE59" s="64"/>
      <c r="MUF59" s="64"/>
      <c r="MUG59" s="64"/>
      <c r="MUH59" s="64"/>
      <c r="MUI59" s="64"/>
      <c r="MUJ59" s="64"/>
      <c r="MUK59" s="64"/>
      <c r="MUL59" s="64"/>
      <c r="MUM59" s="64"/>
      <c r="MUN59" s="64"/>
      <c r="MUO59" s="64"/>
      <c r="MUP59" s="64"/>
      <c r="MUQ59" s="64"/>
      <c r="MUR59" s="64"/>
      <c r="MUS59" s="64"/>
      <c r="MUT59" s="64"/>
      <c r="MUU59" s="64"/>
      <c r="MUV59" s="64"/>
      <c r="MUW59" s="64"/>
      <c r="MUX59" s="64"/>
      <c r="MUY59" s="64"/>
      <c r="MUZ59" s="64"/>
      <c r="MVA59" s="64"/>
      <c r="MVB59" s="64"/>
      <c r="MVC59" s="64"/>
      <c r="MVD59" s="64"/>
      <c r="MVE59" s="64"/>
      <c r="MVF59" s="64"/>
      <c r="MVG59" s="64"/>
      <c r="MVH59" s="64"/>
      <c r="MVI59" s="64"/>
      <c r="MVJ59" s="64"/>
      <c r="MVK59" s="64"/>
      <c r="MVL59" s="64"/>
      <c r="MVM59" s="64"/>
      <c r="MVN59" s="64"/>
      <c r="MVO59" s="64"/>
      <c r="MVP59" s="64"/>
      <c r="MVQ59" s="64"/>
      <c r="MVR59" s="64"/>
      <c r="MVS59" s="64"/>
      <c r="MVT59" s="64"/>
      <c r="MVU59" s="64"/>
      <c r="MVV59" s="64"/>
      <c r="MVW59" s="64"/>
      <c r="MVX59" s="64"/>
      <c r="MVY59" s="64"/>
      <c r="MVZ59" s="64"/>
      <c r="MWA59" s="64"/>
      <c r="MWB59" s="64"/>
      <c r="MWC59" s="64"/>
      <c r="MWD59" s="64"/>
      <c r="MWE59" s="64"/>
      <c r="MWF59" s="64"/>
      <c r="MWG59" s="64"/>
      <c r="MWH59" s="64"/>
      <c r="MWI59" s="64"/>
      <c r="MWJ59" s="64"/>
      <c r="MWK59" s="64"/>
      <c r="MWL59" s="64"/>
      <c r="MWM59" s="64"/>
      <c r="MWN59" s="64"/>
      <c r="MWO59" s="64"/>
      <c r="MWP59" s="64"/>
      <c r="MWQ59" s="64"/>
      <c r="MWR59" s="64"/>
      <c r="MWS59" s="64"/>
      <c r="MWT59" s="64"/>
      <c r="MWU59" s="64"/>
      <c r="MWV59" s="64"/>
      <c r="MWW59" s="64"/>
      <c r="MWX59" s="64"/>
      <c r="MWY59" s="64"/>
      <c r="MWZ59" s="64"/>
      <c r="MXA59" s="64"/>
      <c r="MXB59" s="64"/>
      <c r="MXC59" s="64"/>
      <c r="MXD59" s="64"/>
      <c r="MXE59" s="64"/>
      <c r="MXF59" s="64"/>
      <c r="MXG59" s="64"/>
      <c r="MXH59" s="64"/>
      <c r="MXI59" s="64"/>
      <c r="MXJ59" s="64"/>
      <c r="MXK59" s="64"/>
      <c r="MXL59" s="64"/>
      <c r="MXM59" s="64"/>
      <c r="MXN59" s="64"/>
      <c r="MXO59" s="64"/>
      <c r="MXP59" s="64"/>
      <c r="MXQ59" s="64"/>
      <c r="MXR59" s="64"/>
      <c r="MXS59" s="64"/>
      <c r="MXT59" s="64"/>
      <c r="MXU59" s="64"/>
      <c r="MXV59" s="64"/>
      <c r="MXW59" s="64"/>
      <c r="MXX59" s="64"/>
      <c r="MXY59" s="64"/>
      <c r="MXZ59" s="64"/>
      <c r="MYA59" s="64"/>
      <c r="MYB59" s="64"/>
      <c r="MYC59" s="64"/>
      <c r="MYD59" s="64"/>
      <c r="MYE59" s="64"/>
      <c r="MYF59" s="64"/>
      <c r="MYG59" s="64"/>
      <c r="MYH59" s="64"/>
      <c r="MYI59" s="64"/>
      <c r="MYJ59" s="64"/>
      <c r="MYK59" s="64"/>
      <c r="MYL59" s="64"/>
      <c r="MYM59" s="64"/>
      <c r="MYN59" s="64"/>
      <c r="MYO59" s="64"/>
      <c r="MYP59" s="64"/>
      <c r="MYQ59" s="64"/>
      <c r="MYR59" s="64"/>
      <c r="MYS59" s="64"/>
      <c r="MYT59" s="64"/>
      <c r="MYU59" s="64"/>
      <c r="MYV59" s="64"/>
      <c r="MYW59" s="64"/>
      <c r="MYX59" s="64"/>
      <c r="MYY59" s="64"/>
      <c r="MYZ59" s="64"/>
      <c r="MZA59" s="64"/>
      <c r="MZB59" s="64"/>
      <c r="MZC59" s="64"/>
      <c r="MZD59" s="64"/>
      <c r="MZE59" s="64"/>
      <c r="MZF59" s="64"/>
      <c r="MZG59" s="64"/>
      <c r="MZH59" s="64"/>
      <c r="MZI59" s="64"/>
      <c r="MZJ59" s="64"/>
      <c r="MZK59" s="64"/>
      <c r="MZL59" s="64"/>
      <c r="MZM59" s="64"/>
      <c r="MZN59" s="64"/>
      <c r="MZO59" s="64"/>
      <c r="MZP59" s="64"/>
      <c r="MZQ59" s="64"/>
      <c r="MZR59" s="64"/>
      <c r="MZS59" s="64"/>
      <c r="MZT59" s="64"/>
      <c r="MZU59" s="64"/>
      <c r="MZV59" s="64"/>
      <c r="MZW59" s="64"/>
      <c r="MZX59" s="64"/>
      <c r="MZY59" s="64"/>
      <c r="MZZ59" s="64"/>
      <c r="NAA59" s="64"/>
      <c r="NAB59" s="64"/>
      <c r="NAC59" s="64"/>
      <c r="NAD59" s="64"/>
      <c r="NAE59" s="64"/>
      <c r="NAF59" s="64"/>
      <c r="NAG59" s="64"/>
      <c r="NAH59" s="64"/>
      <c r="NAI59" s="64"/>
      <c r="NAJ59" s="64"/>
      <c r="NAK59" s="64"/>
      <c r="NAL59" s="64"/>
      <c r="NAM59" s="64"/>
      <c r="NAN59" s="64"/>
      <c r="NAO59" s="64"/>
      <c r="NAP59" s="64"/>
      <c r="NAQ59" s="64"/>
      <c r="NAR59" s="64"/>
      <c r="NAS59" s="64"/>
      <c r="NAT59" s="64"/>
      <c r="NAU59" s="64"/>
      <c r="NAV59" s="64"/>
      <c r="NAW59" s="64"/>
      <c r="NAX59" s="64"/>
      <c r="NAY59" s="64"/>
      <c r="NAZ59" s="64"/>
      <c r="NBA59" s="64"/>
      <c r="NBB59" s="64"/>
      <c r="NBC59" s="64"/>
      <c r="NBD59" s="64"/>
      <c r="NBE59" s="64"/>
      <c r="NBF59" s="64"/>
      <c r="NBG59" s="64"/>
      <c r="NBH59" s="64"/>
      <c r="NBI59" s="64"/>
      <c r="NBJ59" s="64"/>
      <c r="NBK59" s="64"/>
      <c r="NBL59" s="64"/>
      <c r="NBM59" s="64"/>
      <c r="NBN59" s="64"/>
      <c r="NBO59" s="64"/>
      <c r="NBP59" s="64"/>
      <c r="NBQ59" s="64"/>
      <c r="NBR59" s="64"/>
      <c r="NBS59" s="64"/>
      <c r="NBT59" s="64"/>
      <c r="NBU59" s="64"/>
      <c r="NBV59" s="64"/>
      <c r="NBW59" s="64"/>
      <c r="NBX59" s="64"/>
      <c r="NBY59" s="64"/>
      <c r="NBZ59" s="64"/>
      <c r="NCA59" s="64"/>
      <c r="NCB59" s="64"/>
      <c r="NCC59" s="64"/>
      <c r="NCD59" s="64"/>
      <c r="NCE59" s="64"/>
      <c r="NCF59" s="64"/>
      <c r="NCG59" s="64"/>
      <c r="NCH59" s="64"/>
      <c r="NCI59" s="64"/>
      <c r="NCJ59" s="64"/>
      <c r="NCK59" s="64"/>
      <c r="NCL59" s="64"/>
      <c r="NCM59" s="64"/>
      <c r="NCN59" s="64"/>
      <c r="NCO59" s="64"/>
      <c r="NCP59" s="64"/>
      <c r="NCQ59" s="64"/>
      <c r="NCR59" s="64"/>
      <c r="NCS59" s="64"/>
      <c r="NCT59" s="64"/>
      <c r="NCU59" s="64"/>
      <c r="NCV59" s="64"/>
      <c r="NCW59" s="64"/>
      <c r="NCX59" s="64"/>
      <c r="NCY59" s="64"/>
      <c r="NCZ59" s="64"/>
      <c r="NDA59" s="64"/>
      <c r="NDB59" s="64"/>
      <c r="NDC59" s="64"/>
      <c r="NDD59" s="64"/>
      <c r="NDE59" s="64"/>
      <c r="NDF59" s="64"/>
      <c r="NDG59" s="64"/>
      <c r="NDH59" s="64"/>
      <c r="NDI59" s="64"/>
      <c r="NDJ59" s="64"/>
      <c r="NDK59" s="64"/>
      <c r="NDL59" s="64"/>
      <c r="NDM59" s="64"/>
      <c r="NDN59" s="64"/>
      <c r="NDO59" s="64"/>
      <c r="NDP59" s="64"/>
      <c r="NDQ59" s="64"/>
      <c r="NDR59" s="64"/>
      <c r="NDS59" s="64"/>
      <c r="NDT59" s="64"/>
      <c r="NDU59" s="64"/>
      <c r="NDV59" s="64"/>
      <c r="NDW59" s="64"/>
      <c r="NDX59" s="64"/>
      <c r="NDY59" s="64"/>
      <c r="NDZ59" s="64"/>
      <c r="NEA59" s="64"/>
      <c r="NEB59" s="64"/>
      <c r="NEC59" s="64"/>
      <c r="NED59" s="64"/>
      <c r="NEE59" s="64"/>
      <c r="NEF59" s="64"/>
      <c r="NEG59" s="64"/>
      <c r="NEH59" s="64"/>
      <c r="NEI59" s="64"/>
      <c r="NEJ59" s="64"/>
      <c r="NEK59" s="64"/>
      <c r="NEL59" s="64"/>
      <c r="NEM59" s="64"/>
      <c r="NEN59" s="64"/>
      <c r="NEO59" s="64"/>
      <c r="NEP59" s="64"/>
      <c r="NEQ59" s="64"/>
      <c r="NER59" s="64"/>
      <c r="NES59" s="64"/>
      <c r="NET59" s="64"/>
      <c r="NEU59" s="64"/>
      <c r="NEV59" s="64"/>
      <c r="NEW59" s="64"/>
      <c r="NEX59" s="64"/>
      <c r="NEY59" s="64"/>
      <c r="NEZ59" s="64"/>
      <c r="NFA59" s="64"/>
      <c r="NFB59" s="64"/>
      <c r="NFC59" s="64"/>
      <c r="NFD59" s="64"/>
      <c r="NFE59" s="64"/>
      <c r="NFF59" s="64"/>
      <c r="NFG59" s="64"/>
      <c r="NFH59" s="64"/>
      <c r="NFI59" s="64"/>
      <c r="NFJ59" s="64"/>
      <c r="NFK59" s="64"/>
      <c r="NFL59" s="64"/>
      <c r="NFM59" s="64"/>
      <c r="NFN59" s="64"/>
      <c r="NFO59" s="64"/>
      <c r="NFP59" s="64"/>
      <c r="NFQ59" s="64"/>
      <c r="NFR59" s="64"/>
      <c r="NFS59" s="64"/>
      <c r="NFT59" s="64"/>
      <c r="NFU59" s="64"/>
      <c r="NFV59" s="64"/>
      <c r="NFW59" s="64"/>
      <c r="NFX59" s="64"/>
      <c r="NFY59" s="64"/>
      <c r="NFZ59" s="64"/>
      <c r="NGA59" s="64"/>
      <c r="NGB59" s="64"/>
      <c r="NGC59" s="64"/>
      <c r="NGD59" s="64"/>
      <c r="NGE59" s="64"/>
      <c r="NGF59" s="64"/>
      <c r="NGG59" s="64"/>
      <c r="NGH59" s="64"/>
      <c r="NGI59" s="64"/>
      <c r="NGJ59" s="64"/>
      <c r="NGK59" s="64"/>
      <c r="NGL59" s="64"/>
      <c r="NGM59" s="64"/>
      <c r="NGN59" s="64"/>
      <c r="NGO59" s="64"/>
      <c r="NGP59" s="64"/>
      <c r="NGQ59" s="64"/>
      <c r="NGR59" s="64"/>
      <c r="NGS59" s="64"/>
      <c r="NGT59" s="64"/>
      <c r="NGU59" s="64"/>
      <c r="NGV59" s="64"/>
      <c r="NGW59" s="64"/>
      <c r="NGX59" s="64"/>
      <c r="NGY59" s="64"/>
      <c r="NGZ59" s="64"/>
      <c r="NHA59" s="64"/>
      <c r="NHB59" s="64"/>
      <c r="NHC59" s="64"/>
      <c r="NHD59" s="64"/>
      <c r="NHE59" s="64"/>
      <c r="NHF59" s="64"/>
      <c r="NHG59" s="64"/>
      <c r="NHH59" s="64"/>
      <c r="NHI59" s="64"/>
      <c r="NHJ59" s="64"/>
      <c r="NHK59" s="64"/>
      <c r="NHL59" s="64"/>
      <c r="NHM59" s="64"/>
      <c r="NHN59" s="64"/>
      <c r="NHO59" s="64"/>
      <c r="NHP59" s="64"/>
      <c r="NHQ59" s="64"/>
      <c r="NHR59" s="64"/>
      <c r="NHS59" s="64"/>
      <c r="NHT59" s="64"/>
      <c r="NHU59" s="64"/>
      <c r="NHV59" s="64"/>
      <c r="NHW59" s="64"/>
      <c r="NHX59" s="64"/>
      <c r="NHY59" s="64"/>
      <c r="NHZ59" s="64"/>
      <c r="NIA59" s="64"/>
      <c r="NIB59" s="64"/>
      <c r="NIC59" s="64"/>
      <c r="NID59" s="64"/>
      <c r="NIE59" s="64"/>
      <c r="NIF59" s="64"/>
      <c r="NIG59" s="64"/>
      <c r="NIH59" s="64"/>
      <c r="NII59" s="64"/>
      <c r="NIJ59" s="64"/>
      <c r="NIK59" s="64"/>
      <c r="NIL59" s="64"/>
      <c r="NIM59" s="64"/>
      <c r="NIN59" s="64"/>
      <c r="NIO59" s="64"/>
      <c r="NIP59" s="64"/>
      <c r="NIQ59" s="64"/>
      <c r="NIR59" s="64"/>
      <c r="NIS59" s="64"/>
      <c r="NIT59" s="64"/>
      <c r="NIU59" s="64"/>
      <c r="NIV59" s="64"/>
      <c r="NIW59" s="64"/>
      <c r="NIX59" s="64"/>
      <c r="NIY59" s="64"/>
      <c r="NIZ59" s="64"/>
      <c r="NJA59" s="64"/>
      <c r="NJB59" s="64"/>
      <c r="NJC59" s="64"/>
      <c r="NJD59" s="64"/>
      <c r="NJE59" s="64"/>
      <c r="NJF59" s="64"/>
      <c r="NJG59" s="64"/>
      <c r="NJH59" s="64"/>
      <c r="NJI59" s="64"/>
      <c r="NJJ59" s="64"/>
      <c r="NJK59" s="64"/>
      <c r="NJL59" s="64"/>
      <c r="NJM59" s="64"/>
      <c r="NJN59" s="64"/>
      <c r="NJO59" s="64"/>
      <c r="NJP59" s="64"/>
      <c r="NJQ59" s="64"/>
      <c r="NJR59" s="64"/>
      <c r="NJS59" s="64"/>
      <c r="NJT59" s="64"/>
      <c r="NJU59" s="64"/>
      <c r="NJV59" s="64"/>
      <c r="NJW59" s="64"/>
      <c r="NJX59" s="64"/>
      <c r="NJY59" s="64"/>
      <c r="NJZ59" s="64"/>
      <c r="NKA59" s="64"/>
      <c r="NKB59" s="64"/>
      <c r="NKC59" s="64"/>
      <c r="NKD59" s="64"/>
      <c r="NKE59" s="64"/>
      <c r="NKF59" s="64"/>
      <c r="NKG59" s="64"/>
      <c r="NKH59" s="64"/>
      <c r="NKI59" s="64"/>
      <c r="NKJ59" s="64"/>
      <c r="NKK59" s="64"/>
      <c r="NKL59" s="64"/>
      <c r="NKM59" s="64"/>
      <c r="NKN59" s="64"/>
      <c r="NKO59" s="64"/>
      <c r="NKP59" s="64"/>
      <c r="NKQ59" s="64"/>
      <c r="NKR59" s="64"/>
      <c r="NKS59" s="64"/>
      <c r="NKT59" s="64"/>
      <c r="NKU59" s="64"/>
      <c r="NKV59" s="64"/>
      <c r="NKW59" s="64"/>
      <c r="NKX59" s="64"/>
      <c r="NKY59" s="64"/>
      <c r="NKZ59" s="64"/>
      <c r="NLA59" s="64"/>
      <c r="NLB59" s="64"/>
      <c r="NLC59" s="64"/>
      <c r="NLD59" s="64"/>
      <c r="NLE59" s="64"/>
      <c r="NLF59" s="64"/>
      <c r="NLG59" s="64"/>
      <c r="NLH59" s="64"/>
      <c r="NLI59" s="64"/>
      <c r="NLJ59" s="64"/>
      <c r="NLK59" s="64"/>
      <c r="NLL59" s="64"/>
      <c r="NLM59" s="64"/>
      <c r="NLN59" s="64"/>
      <c r="NLO59" s="64"/>
      <c r="NLP59" s="64"/>
      <c r="NLQ59" s="64"/>
      <c r="NLR59" s="64"/>
      <c r="NLS59" s="64"/>
      <c r="NLT59" s="64"/>
      <c r="NLU59" s="64"/>
      <c r="NLV59" s="64"/>
      <c r="NLW59" s="64"/>
      <c r="NLX59" s="64"/>
      <c r="NLY59" s="64"/>
      <c r="NLZ59" s="64"/>
      <c r="NMA59" s="64"/>
      <c r="NMB59" s="64"/>
      <c r="NMC59" s="64"/>
      <c r="NMD59" s="64"/>
      <c r="NME59" s="64"/>
      <c r="NMF59" s="64"/>
      <c r="NMG59" s="64"/>
      <c r="NMH59" s="64"/>
      <c r="NMI59" s="64"/>
      <c r="NMJ59" s="64"/>
      <c r="NMK59" s="64"/>
      <c r="NML59" s="64"/>
      <c r="NMM59" s="64"/>
      <c r="NMN59" s="64"/>
      <c r="NMO59" s="64"/>
      <c r="NMP59" s="64"/>
      <c r="NMQ59" s="64"/>
      <c r="NMR59" s="64"/>
      <c r="NMS59" s="64"/>
      <c r="NMT59" s="64"/>
      <c r="NMU59" s="64"/>
      <c r="NMV59" s="64"/>
      <c r="NMW59" s="64"/>
      <c r="NMX59" s="64"/>
      <c r="NMY59" s="64"/>
      <c r="NMZ59" s="64"/>
      <c r="NNA59" s="64"/>
      <c r="NNB59" s="64"/>
      <c r="NNC59" s="64"/>
      <c r="NND59" s="64"/>
      <c r="NNE59" s="64"/>
      <c r="NNF59" s="64"/>
      <c r="NNG59" s="64"/>
      <c r="NNH59" s="64"/>
      <c r="NNI59" s="64"/>
      <c r="NNJ59" s="64"/>
      <c r="NNK59" s="64"/>
      <c r="NNL59" s="64"/>
      <c r="NNM59" s="64"/>
      <c r="NNN59" s="64"/>
      <c r="NNO59" s="64"/>
      <c r="NNP59" s="64"/>
      <c r="NNQ59" s="64"/>
      <c r="NNR59" s="64"/>
      <c r="NNS59" s="64"/>
      <c r="NNT59" s="64"/>
      <c r="NNU59" s="64"/>
      <c r="NNV59" s="64"/>
      <c r="NNW59" s="64"/>
      <c r="NNX59" s="64"/>
      <c r="NNY59" s="64"/>
      <c r="NNZ59" s="64"/>
      <c r="NOA59" s="64"/>
      <c r="NOB59" s="64"/>
      <c r="NOC59" s="64"/>
      <c r="NOD59" s="64"/>
      <c r="NOE59" s="64"/>
      <c r="NOF59" s="64"/>
      <c r="NOG59" s="64"/>
      <c r="NOH59" s="64"/>
      <c r="NOI59" s="64"/>
      <c r="NOJ59" s="64"/>
      <c r="NOK59" s="64"/>
      <c r="NOL59" s="64"/>
      <c r="NOM59" s="64"/>
      <c r="NON59" s="64"/>
      <c r="NOO59" s="64"/>
      <c r="NOP59" s="64"/>
      <c r="NOQ59" s="64"/>
      <c r="NOR59" s="64"/>
      <c r="NOS59" s="64"/>
      <c r="NOT59" s="64"/>
      <c r="NOU59" s="64"/>
      <c r="NOV59" s="64"/>
      <c r="NOW59" s="64"/>
      <c r="NOX59" s="64"/>
      <c r="NOY59" s="64"/>
      <c r="NOZ59" s="64"/>
      <c r="NPA59" s="64"/>
      <c r="NPB59" s="64"/>
      <c r="NPC59" s="64"/>
      <c r="NPD59" s="64"/>
      <c r="NPE59" s="64"/>
      <c r="NPF59" s="64"/>
      <c r="NPG59" s="64"/>
      <c r="NPH59" s="64"/>
      <c r="NPI59" s="64"/>
      <c r="NPJ59" s="64"/>
      <c r="NPK59" s="64"/>
      <c r="NPL59" s="64"/>
      <c r="NPM59" s="64"/>
      <c r="NPN59" s="64"/>
      <c r="NPO59" s="64"/>
      <c r="NPP59" s="64"/>
      <c r="NPQ59" s="64"/>
      <c r="NPR59" s="64"/>
      <c r="NPS59" s="64"/>
      <c r="NPT59" s="64"/>
      <c r="NPU59" s="64"/>
      <c r="NPV59" s="64"/>
      <c r="NPW59" s="64"/>
      <c r="NPX59" s="64"/>
      <c r="NPY59" s="64"/>
      <c r="NPZ59" s="64"/>
      <c r="NQA59" s="64"/>
      <c r="NQB59" s="64"/>
      <c r="NQC59" s="64"/>
      <c r="NQD59" s="64"/>
      <c r="NQE59" s="64"/>
      <c r="NQF59" s="64"/>
      <c r="NQG59" s="64"/>
      <c r="NQH59" s="64"/>
      <c r="NQI59" s="64"/>
      <c r="NQJ59" s="64"/>
      <c r="NQK59" s="64"/>
      <c r="NQL59" s="64"/>
      <c r="NQM59" s="64"/>
      <c r="NQN59" s="64"/>
      <c r="NQO59" s="64"/>
      <c r="NQP59" s="64"/>
      <c r="NQQ59" s="64"/>
      <c r="NQR59" s="64"/>
      <c r="NQS59" s="64"/>
      <c r="NQT59" s="64"/>
      <c r="NQU59" s="64"/>
      <c r="NQV59" s="64"/>
      <c r="NQW59" s="64"/>
      <c r="NQX59" s="64"/>
      <c r="NQY59" s="64"/>
      <c r="NQZ59" s="64"/>
      <c r="NRA59" s="64"/>
      <c r="NRB59" s="64"/>
      <c r="NRC59" s="64"/>
      <c r="NRD59" s="64"/>
      <c r="NRE59" s="64"/>
      <c r="NRF59" s="64"/>
      <c r="NRG59" s="64"/>
      <c r="NRH59" s="64"/>
      <c r="NRI59" s="64"/>
      <c r="NRJ59" s="64"/>
      <c r="NRK59" s="64"/>
      <c r="NRL59" s="64"/>
      <c r="NRM59" s="64"/>
      <c r="NRN59" s="64"/>
      <c r="NRO59" s="64"/>
      <c r="NRP59" s="64"/>
      <c r="NRQ59" s="64"/>
      <c r="NRR59" s="64"/>
      <c r="NRS59" s="64"/>
      <c r="NRT59" s="64"/>
      <c r="NRU59" s="64"/>
      <c r="NRV59" s="64"/>
      <c r="NRW59" s="64"/>
      <c r="NRX59" s="64"/>
      <c r="NRY59" s="64"/>
      <c r="NRZ59" s="64"/>
      <c r="NSA59" s="64"/>
      <c r="NSB59" s="64"/>
      <c r="NSC59" s="64"/>
      <c r="NSD59" s="64"/>
      <c r="NSE59" s="64"/>
      <c r="NSF59" s="64"/>
      <c r="NSG59" s="64"/>
      <c r="NSH59" s="64"/>
      <c r="NSI59" s="64"/>
      <c r="NSJ59" s="64"/>
      <c r="NSK59" s="64"/>
      <c r="NSL59" s="64"/>
      <c r="NSM59" s="64"/>
      <c r="NSN59" s="64"/>
      <c r="NSO59" s="64"/>
      <c r="NSP59" s="64"/>
      <c r="NSQ59" s="64"/>
      <c r="NSR59" s="64"/>
      <c r="NSS59" s="64"/>
      <c r="NST59" s="64"/>
      <c r="NSU59" s="64"/>
      <c r="NSV59" s="64"/>
      <c r="NSW59" s="64"/>
      <c r="NSX59" s="64"/>
      <c r="NSY59" s="64"/>
      <c r="NSZ59" s="64"/>
      <c r="NTA59" s="64"/>
      <c r="NTB59" s="64"/>
      <c r="NTC59" s="64"/>
      <c r="NTD59" s="64"/>
      <c r="NTE59" s="64"/>
      <c r="NTF59" s="64"/>
      <c r="NTG59" s="64"/>
      <c r="NTH59" s="64"/>
      <c r="NTI59" s="64"/>
      <c r="NTJ59" s="64"/>
      <c r="NTK59" s="64"/>
      <c r="NTL59" s="64"/>
      <c r="NTM59" s="64"/>
      <c r="NTN59" s="64"/>
      <c r="NTO59" s="64"/>
      <c r="NTP59" s="64"/>
      <c r="NTQ59" s="64"/>
      <c r="NTR59" s="64"/>
      <c r="NTS59" s="64"/>
      <c r="NTT59" s="64"/>
      <c r="NTU59" s="64"/>
      <c r="NTV59" s="64"/>
      <c r="NTW59" s="64"/>
      <c r="NTX59" s="64"/>
      <c r="NTY59" s="64"/>
      <c r="NTZ59" s="64"/>
      <c r="NUA59" s="64"/>
      <c r="NUB59" s="64"/>
      <c r="NUC59" s="64"/>
      <c r="NUD59" s="64"/>
      <c r="NUE59" s="64"/>
      <c r="NUF59" s="64"/>
      <c r="NUG59" s="64"/>
      <c r="NUH59" s="64"/>
      <c r="NUI59" s="64"/>
      <c r="NUJ59" s="64"/>
      <c r="NUK59" s="64"/>
      <c r="NUL59" s="64"/>
      <c r="NUM59" s="64"/>
      <c r="NUN59" s="64"/>
      <c r="NUO59" s="64"/>
      <c r="NUP59" s="64"/>
      <c r="NUQ59" s="64"/>
      <c r="NUR59" s="64"/>
      <c r="NUS59" s="64"/>
      <c r="NUT59" s="64"/>
      <c r="NUU59" s="64"/>
      <c r="NUV59" s="64"/>
      <c r="NUW59" s="64"/>
      <c r="NUX59" s="64"/>
      <c r="NUY59" s="64"/>
      <c r="NUZ59" s="64"/>
      <c r="NVA59" s="64"/>
      <c r="NVB59" s="64"/>
      <c r="NVC59" s="64"/>
      <c r="NVD59" s="64"/>
      <c r="NVE59" s="64"/>
      <c r="NVF59" s="64"/>
      <c r="NVG59" s="64"/>
      <c r="NVH59" s="64"/>
      <c r="NVI59" s="64"/>
      <c r="NVJ59" s="64"/>
      <c r="NVK59" s="64"/>
      <c r="NVL59" s="64"/>
      <c r="NVM59" s="64"/>
      <c r="NVN59" s="64"/>
      <c r="NVO59" s="64"/>
      <c r="NVP59" s="64"/>
      <c r="NVQ59" s="64"/>
      <c r="NVR59" s="64"/>
      <c r="NVS59" s="64"/>
      <c r="NVT59" s="64"/>
      <c r="NVU59" s="64"/>
      <c r="NVV59" s="64"/>
      <c r="NVW59" s="64"/>
      <c r="NVX59" s="64"/>
      <c r="NVY59" s="64"/>
      <c r="NVZ59" s="64"/>
      <c r="NWA59" s="64"/>
      <c r="NWB59" s="64"/>
      <c r="NWC59" s="64"/>
      <c r="NWD59" s="64"/>
      <c r="NWE59" s="64"/>
      <c r="NWF59" s="64"/>
      <c r="NWG59" s="64"/>
      <c r="NWH59" s="64"/>
      <c r="NWI59" s="64"/>
      <c r="NWJ59" s="64"/>
      <c r="NWK59" s="64"/>
      <c r="NWL59" s="64"/>
      <c r="NWM59" s="64"/>
      <c r="NWN59" s="64"/>
      <c r="NWO59" s="64"/>
      <c r="NWP59" s="64"/>
      <c r="NWQ59" s="64"/>
      <c r="NWR59" s="64"/>
      <c r="NWS59" s="64"/>
      <c r="NWT59" s="64"/>
      <c r="NWU59" s="64"/>
      <c r="NWV59" s="64"/>
      <c r="NWW59" s="64"/>
      <c r="NWX59" s="64"/>
      <c r="NWY59" s="64"/>
      <c r="NWZ59" s="64"/>
      <c r="NXA59" s="64"/>
      <c r="NXB59" s="64"/>
      <c r="NXC59" s="64"/>
      <c r="NXD59" s="64"/>
      <c r="NXE59" s="64"/>
      <c r="NXF59" s="64"/>
      <c r="NXG59" s="64"/>
      <c r="NXH59" s="64"/>
      <c r="NXI59" s="64"/>
      <c r="NXJ59" s="64"/>
      <c r="NXK59" s="64"/>
      <c r="NXL59" s="64"/>
      <c r="NXM59" s="64"/>
      <c r="NXN59" s="64"/>
      <c r="NXO59" s="64"/>
      <c r="NXP59" s="64"/>
      <c r="NXQ59" s="64"/>
      <c r="NXR59" s="64"/>
      <c r="NXS59" s="64"/>
      <c r="NXT59" s="64"/>
      <c r="NXU59" s="64"/>
      <c r="NXV59" s="64"/>
      <c r="NXW59" s="64"/>
      <c r="NXX59" s="64"/>
      <c r="NXY59" s="64"/>
      <c r="NXZ59" s="64"/>
      <c r="NYA59" s="64"/>
      <c r="NYB59" s="64"/>
      <c r="NYC59" s="64"/>
      <c r="NYD59" s="64"/>
      <c r="NYE59" s="64"/>
      <c r="NYF59" s="64"/>
      <c r="NYG59" s="64"/>
      <c r="NYH59" s="64"/>
      <c r="NYI59" s="64"/>
      <c r="NYJ59" s="64"/>
      <c r="NYK59" s="64"/>
      <c r="NYL59" s="64"/>
      <c r="NYM59" s="64"/>
      <c r="NYN59" s="64"/>
      <c r="NYO59" s="64"/>
      <c r="NYP59" s="64"/>
      <c r="NYQ59" s="64"/>
      <c r="NYR59" s="64"/>
      <c r="NYS59" s="64"/>
      <c r="NYT59" s="64"/>
      <c r="NYU59" s="64"/>
      <c r="NYV59" s="64"/>
      <c r="NYW59" s="64"/>
      <c r="NYX59" s="64"/>
      <c r="NYY59" s="64"/>
      <c r="NYZ59" s="64"/>
      <c r="NZA59" s="64"/>
      <c r="NZB59" s="64"/>
      <c r="NZC59" s="64"/>
      <c r="NZD59" s="64"/>
      <c r="NZE59" s="64"/>
      <c r="NZF59" s="64"/>
      <c r="NZG59" s="64"/>
      <c r="NZH59" s="64"/>
      <c r="NZI59" s="64"/>
      <c r="NZJ59" s="64"/>
      <c r="NZK59" s="64"/>
      <c r="NZL59" s="64"/>
      <c r="NZM59" s="64"/>
      <c r="NZN59" s="64"/>
      <c r="NZO59" s="64"/>
      <c r="NZP59" s="64"/>
      <c r="NZQ59" s="64"/>
      <c r="NZR59" s="64"/>
      <c r="NZS59" s="64"/>
      <c r="NZT59" s="64"/>
      <c r="NZU59" s="64"/>
      <c r="NZV59" s="64"/>
      <c r="NZW59" s="64"/>
      <c r="NZX59" s="64"/>
      <c r="NZY59" s="64"/>
      <c r="NZZ59" s="64"/>
      <c r="OAA59" s="64"/>
      <c r="OAB59" s="64"/>
      <c r="OAC59" s="64"/>
      <c r="OAD59" s="64"/>
      <c r="OAE59" s="64"/>
      <c r="OAF59" s="64"/>
      <c r="OAG59" s="64"/>
      <c r="OAH59" s="64"/>
      <c r="OAI59" s="64"/>
      <c r="OAJ59" s="64"/>
      <c r="OAK59" s="64"/>
      <c r="OAL59" s="64"/>
      <c r="OAM59" s="64"/>
      <c r="OAN59" s="64"/>
      <c r="OAO59" s="64"/>
      <c r="OAP59" s="64"/>
      <c r="OAQ59" s="64"/>
      <c r="OAR59" s="64"/>
      <c r="OAS59" s="64"/>
      <c r="OAT59" s="64"/>
      <c r="OAU59" s="64"/>
      <c r="OAV59" s="64"/>
      <c r="OAW59" s="64"/>
      <c r="OAX59" s="64"/>
      <c r="OAY59" s="64"/>
      <c r="OAZ59" s="64"/>
      <c r="OBA59" s="64"/>
      <c r="OBB59" s="64"/>
      <c r="OBC59" s="64"/>
      <c r="OBD59" s="64"/>
      <c r="OBE59" s="64"/>
      <c r="OBF59" s="64"/>
      <c r="OBG59" s="64"/>
      <c r="OBH59" s="64"/>
      <c r="OBI59" s="64"/>
      <c r="OBJ59" s="64"/>
      <c r="OBK59" s="64"/>
      <c r="OBL59" s="64"/>
      <c r="OBM59" s="64"/>
      <c r="OBN59" s="64"/>
      <c r="OBO59" s="64"/>
      <c r="OBP59" s="64"/>
      <c r="OBQ59" s="64"/>
      <c r="OBR59" s="64"/>
      <c r="OBS59" s="64"/>
      <c r="OBT59" s="64"/>
      <c r="OBU59" s="64"/>
      <c r="OBV59" s="64"/>
      <c r="OBW59" s="64"/>
      <c r="OBX59" s="64"/>
      <c r="OBY59" s="64"/>
      <c r="OBZ59" s="64"/>
      <c r="OCA59" s="64"/>
      <c r="OCB59" s="64"/>
      <c r="OCC59" s="64"/>
      <c r="OCD59" s="64"/>
      <c r="OCE59" s="64"/>
      <c r="OCF59" s="64"/>
      <c r="OCG59" s="64"/>
      <c r="OCH59" s="64"/>
      <c r="OCI59" s="64"/>
      <c r="OCJ59" s="64"/>
      <c r="OCK59" s="64"/>
      <c r="OCL59" s="64"/>
      <c r="OCM59" s="64"/>
      <c r="OCN59" s="64"/>
      <c r="OCO59" s="64"/>
      <c r="OCP59" s="64"/>
      <c r="OCQ59" s="64"/>
      <c r="OCR59" s="64"/>
      <c r="OCS59" s="64"/>
      <c r="OCT59" s="64"/>
      <c r="OCU59" s="64"/>
      <c r="OCV59" s="64"/>
      <c r="OCW59" s="64"/>
      <c r="OCX59" s="64"/>
      <c r="OCY59" s="64"/>
      <c r="OCZ59" s="64"/>
      <c r="ODA59" s="64"/>
      <c r="ODB59" s="64"/>
      <c r="ODC59" s="64"/>
      <c r="ODD59" s="64"/>
      <c r="ODE59" s="64"/>
      <c r="ODF59" s="64"/>
      <c r="ODG59" s="64"/>
      <c r="ODH59" s="64"/>
      <c r="ODI59" s="64"/>
      <c r="ODJ59" s="64"/>
      <c r="ODK59" s="64"/>
      <c r="ODL59" s="64"/>
      <c r="ODM59" s="64"/>
      <c r="ODN59" s="64"/>
      <c r="ODO59" s="64"/>
      <c r="ODP59" s="64"/>
      <c r="ODQ59" s="64"/>
      <c r="ODR59" s="64"/>
      <c r="ODS59" s="64"/>
      <c r="ODT59" s="64"/>
      <c r="ODU59" s="64"/>
      <c r="ODV59" s="64"/>
      <c r="ODW59" s="64"/>
      <c r="ODX59" s="64"/>
      <c r="ODY59" s="64"/>
      <c r="ODZ59" s="64"/>
      <c r="OEA59" s="64"/>
      <c r="OEB59" s="64"/>
      <c r="OEC59" s="64"/>
      <c r="OED59" s="64"/>
      <c r="OEE59" s="64"/>
      <c r="OEF59" s="64"/>
      <c r="OEG59" s="64"/>
      <c r="OEH59" s="64"/>
      <c r="OEI59" s="64"/>
      <c r="OEJ59" s="64"/>
      <c r="OEK59" s="64"/>
      <c r="OEL59" s="64"/>
      <c r="OEM59" s="64"/>
      <c r="OEN59" s="64"/>
      <c r="OEO59" s="64"/>
      <c r="OEP59" s="64"/>
      <c r="OEQ59" s="64"/>
      <c r="OER59" s="64"/>
      <c r="OES59" s="64"/>
      <c r="OET59" s="64"/>
      <c r="OEU59" s="64"/>
      <c r="OEV59" s="64"/>
      <c r="OEW59" s="64"/>
      <c r="OEX59" s="64"/>
      <c r="OEY59" s="64"/>
      <c r="OEZ59" s="64"/>
      <c r="OFA59" s="64"/>
      <c r="OFB59" s="64"/>
      <c r="OFC59" s="64"/>
      <c r="OFD59" s="64"/>
      <c r="OFE59" s="64"/>
      <c r="OFF59" s="64"/>
      <c r="OFG59" s="64"/>
      <c r="OFH59" s="64"/>
      <c r="OFI59" s="64"/>
      <c r="OFJ59" s="64"/>
      <c r="OFK59" s="64"/>
      <c r="OFL59" s="64"/>
      <c r="OFM59" s="64"/>
      <c r="OFN59" s="64"/>
      <c r="OFO59" s="64"/>
      <c r="OFP59" s="64"/>
      <c r="OFQ59" s="64"/>
      <c r="OFR59" s="64"/>
      <c r="OFS59" s="64"/>
      <c r="OFT59" s="64"/>
      <c r="OFU59" s="64"/>
      <c r="OFV59" s="64"/>
      <c r="OFW59" s="64"/>
      <c r="OFX59" s="64"/>
      <c r="OFY59" s="64"/>
      <c r="OFZ59" s="64"/>
      <c r="OGA59" s="64"/>
      <c r="OGB59" s="64"/>
      <c r="OGC59" s="64"/>
      <c r="OGD59" s="64"/>
      <c r="OGE59" s="64"/>
      <c r="OGF59" s="64"/>
      <c r="OGG59" s="64"/>
      <c r="OGH59" s="64"/>
      <c r="OGI59" s="64"/>
      <c r="OGJ59" s="64"/>
      <c r="OGK59" s="64"/>
      <c r="OGL59" s="64"/>
      <c r="OGM59" s="64"/>
      <c r="OGN59" s="64"/>
      <c r="OGO59" s="64"/>
      <c r="OGP59" s="64"/>
      <c r="OGQ59" s="64"/>
      <c r="OGR59" s="64"/>
      <c r="OGS59" s="64"/>
      <c r="OGT59" s="64"/>
      <c r="OGU59" s="64"/>
      <c r="OGV59" s="64"/>
      <c r="OGW59" s="64"/>
      <c r="OGX59" s="64"/>
      <c r="OGY59" s="64"/>
      <c r="OGZ59" s="64"/>
      <c r="OHA59" s="64"/>
      <c r="OHB59" s="64"/>
      <c r="OHC59" s="64"/>
      <c r="OHD59" s="64"/>
      <c r="OHE59" s="64"/>
      <c r="OHF59" s="64"/>
      <c r="OHG59" s="64"/>
      <c r="OHH59" s="64"/>
      <c r="OHI59" s="64"/>
      <c r="OHJ59" s="64"/>
      <c r="OHK59" s="64"/>
      <c r="OHL59" s="64"/>
      <c r="OHM59" s="64"/>
      <c r="OHN59" s="64"/>
      <c r="OHO59" s="64"/>
      <c r="OHP59" s="64"/>
      <c r="OHQ59" s="64"/>
      <c r="OHR59" s="64"/>
      <c r="OHS59" s="64"/>
      <c r="OHT59" s="64"/>
      <c r="OHU59" s="64"/>
      <c r="OHV59" s="64"/>
      <c r="OHW59" s="64"/>
      <c r="OHX59" s="64"/>
      <c r="OHY59" s="64"/>
      <c r="OHZ59" s="64"/>
      <c r="OIA59" s="64"/>
      <c r="OIB59" s="64"/>
      <c r="OIC59" s="64"/>
      <c r="OID59" s="64"/>
      <c r="OIE59" s="64"/>
      <c r="OIF59" s="64"/>
      <c r="OIG59" s="64"/>
      <c r="OIH59" s="64"/>
      <c r="OII59" s="64"/>
      <c r="OIJ59" s="64"/>
      <c r="OIK59" s="64"/>
      <c r="OIL59" s="64"/>
      <c r="OIM59" s="64"/>
      <c r="OIN59" s="64"/>
      <c r="OIO59" s="64"/>
      <c r="OIP59" s="64"/>
      <c r="OIQ59" s="64"/>
      <c r="OIR59" s="64"/>
      <c r="OIS59" s="64"/>
      <c r="OIT59" s="64"/>
      <c r="OIU59" s="64"/>
      <c r="OIV59" s="64"/>
      <c r="OIW59" s="64"/>
      <c r="OIX59" s="64"/>
      <c r="OIY59" s="64"/>
      <c r="OIZ59" s="64"/>
      <c r="OJA59" s="64"/>
      <c r="OJB59" s="64"/>
      <c r="OJC59" s="64"/>
      <c r="OJD59" s="64"/>
      <c r="OJE59" s="64"/>
      <c r="OJF59" s="64"/>
      <c r="OJG59" s="64"/>
      <c r="OJH59" s="64"/>
      <c r="OJI59" s="64"/>
      <c r="OJJ59" s="64"/>
      <c r="OJK59" s="64"/>
      <c r="OJL59" s="64"/>
      <c r="OJM59" s="64"/>
      <c r="OJN59" s="64"/>
      <c r="OJO59" s="64"/>
      <c r="OJP59" s="64"/>
      <c r="OJQ59" s="64"/>
      <c r="OJR59" s="64"/>
      <c r="OJS59" s="64"/>
      <c r="OJT59" s="64"/>
      <c r="OJU59" s="64"/>
      <c r="OJV59" s="64"/>
      <c r="OJW59" s="64"/>
      <c r="OJX59" s="64"/>
      <c r="OJY59" s="64"/>
      <c r="OJZ59" s="64"/>
      <c r="OKA59" s="64"/>
      <c r="OKB59" s="64"/>
      <c r="OKC59" s="64"/>
      <c r="OKD59" s="64"/>
      <c r="OKE59" s="64"/>
      <c r="OKF59" s="64"/>
      <c r="OKG59" s="64"/>
      <c r="OKH59" s="64"/>
      <c r="OKI59" s="64"/>
      <c r="OKJ59" s="64"/>
      <c r="OKK59" s="64"/>
      <c r="OKL59" s="64"/>
      <c r="OKM59" s="64"/>
      <c r="OKN59" s="64"/>
      <c r="OKO59" s="64"/>
      <c r="OKP59" s="64"/>
      <c r="OKQ59" s="64"/>
      <c r="OKR59" s="64"/>
      <c r="OKS59" s="64"/>
      <c r="OKT59" s="64"/>
      <c r="OKU59" s="64"/>
      <c r="OKV59" s="64"/>
      <c r="OKW59" s="64"/>
      <c r="OKX59" s="64"/>
      <c r="OKY59" s="64"/>
      <c r="OKZ59" s="64"/>
      <c r="OLA59" s="64"/>
      <c r="OLB59" s="64"/>
      <c r="OLC59" s="64"/>
      <c r="OLD59" s="64"/>
      <c r="OLE59" s="64"/>
      <c r="OLF59" s="64"/>
      <c r="OLG59" s="64"/>
      <c r="OLH59" s="64"/>
      <c r="OLI59" s="64"/>
      <c r="OLJ59" s="64"/>
      <c r="OLK59" s="64"/>
      <c r="OLL59" s="64"/>
      <c r="OLM59" s="64"/>
      <c r="OLN59" s="64"/>
      <c r="OLO59" s="64"/>
      <c r="OLP59" s="64"/>
      <c r="OLQ59" s="64"/>
      <c r="OLR59" s="64"/>
      <c r="OLS59" s="64"/>
      <c r="OLT59" s="64"/>
      <c r="OLU59" s="64"/>
      <c r="OLV59" s="64"/>
      <c r="OLW59" s="64"/>
      <c r="OLX59" s="64"/>
      <c r="OLY59" s="64"/>
      <c r="OLZ59" s="64"/>
      <c r="OMA59" s="64"/>
      <c r="OMB59" s="64"/>
      <c r="OMC59" s="64"/>
      <c r="OMD59" s="64"/>
      <c r="OME59" s="64"/>
      <c r="OMF59" s="64"/>
      <c r="OMG59" s="64"/>
      <c r="OMH59" s="64"/>
      <c r="OMI59" s="64"/>
      <c r="OMJ59" s="64"/>
      <c r="OMK59" s="64"/>
      <c r="OML59" s="64"/>
      <c r="OMM59" s="64"/>
      <c r="OMN59" s="64"/>
      <c r="OMO59" s="64"/>
      <c r="OMP59" s="64"/>
      <c r="OMQ59" s="64"/>
      <c r="OMR59" s="64"/>
      <c r="OMS59" s="64"/>
      <c r="OMT59" s="64"/>
      <c r="OMU59" s="64"/>
      <c r="OMV59" s="64"/>
      <c r="OMW59" s="64"/>
      <c r="OMX59" s="64"/>
      <c r="OMY59" s="64"/>
      <c r="OMZ59" s="64"/>
      <c r="ONA59" s="64"/>
      <c r="ONB59" s="64"/>
      <c r="ONC59" s="64"/>
      <c r="OND59" s="64"/>
      <c r="ONE59" s="64"/>
      <c r="ONF59" s="64"/>
      <c r="ONG59" s="64"/>
      <c r="ONH59" s="64"/>
      <c r="ONI59" s="64"/>
      <c r="ONJ59" s="64"/>
      <c r="ONK59" s="64"/>
      <c r="ONL59" s="64"/>
      <c r="ONM59" s="64"/>
      <c r="ONN59" s="64"/>
      <c r="ONO59" s="64"/>
      <c r="ONP59" s="64"/>
      <c r="ONQ59" s="64"/>
      <c r="ONR59" s="64"/>
      <c r="ONS59" s="64"/>
      <c r="ONT59" s="64"/>
      <c r="ONU59" s="64"/>
      <c r="ONV59" s="64"/>
      <c r="ONW59" s="64"/>
      <c r="ONX59" s="64"/>
      <c r="ONY59" s="64"/>
      <c r="ONZ59" s="64"/>
      <c r="OOA59" s="64"/>
      <c r="OOB59" s="64"/>
      <c r="OOC59" s="64"/>
      <c r="OOD59" s="64"/>
      <c r="OOE59" s="64"/>
      <c r="OOF59" s="64"/>
      <c r="OOG59" s="64"/>
      <c r="OOH59" s="64"/>
      <c r="OOI59" s="64"/>
      <c r="OOJ59" s="64"/>
      <c r="OOK59" s="64"/>
      <c r="OOL59" s="64"/>
      <c r="OOM59" s="64"/>
      <c r="OON59" s="64"/>
      <c r="OOO59" s="64"/>
      <c r="OOP59" s="64"/>
      <c r="OOQ59" s="64"/>
      <c r="OOR59" s="64"/>
      <c r="OOS59" s="64"/>
      <c r="OOT59" s="64"/>
      <c r="OOU59" s="64"/>
      <c r="OOV59" s="64"/>
      <c r="OOW59" s="64"/>
      <c r="OOX59" s="64"/>
      <c r="OOY59" s="64"/>
      <c r="OOZ59" s="64"/>
      <c r="OPA59" s="64"/>
      <c r="OPB59" s="64"/>
      <c r="OPC59" s="64"/>
      <c r="OPD59" s="64"/>
      <c r="OPE59" s="64"/>
      <c r="OPF59" s="64"/>
      <c r="OPG59" s="64"/>
      <c r="OPH59" s="64"/>
      <c r="OPI59" s="64"/>
      <c r="OPJ59" s="64"/>
      <c r="OPK59" s="64"/>
      <c r="OPL59" s="64"/>
      <c r="OPM59" s="64"/>
      <c r="OPN59" s="64"/>
      <c r="OPO59" s="64"/>
      <c r="OPP59" s="64"/>
      <c r="OPQ59" s="64"/>
      <c r="OPR59" s="64"/>
      <c r="OPS59" s="64"/>
      <c r="OPT59" s="64"/>
      <c r="OPU59" s="64"/>
      <c r="OPV59" s="64"/>
      <c r="OPW59" s="64"/>
      <c r="OPX59" s="64"/>
      <c r="OPY59" s="64"/>
      <c r="OPZ59" s="64"/>
      <c r="OQA59" s="64"/>
      <c r="OQB59" s="64"/>
      <c r="OQC59" s="64"/>
      <c r="OQD59" s="64"/>
      <c r="OQE59" s="64"/>
      <c r="OQF59" s="64"/>
      <c r="OQG59" s="64"/>
      <c r="OQH59" s="64"/>
      <c r="OQI59" s="64"/>
      <c r="OQJ59" s="64"/>
      <c r="OQK59" s="64"/>
      <c r="OQL59" s="64"/>
      <c r="OQM59" s="64"/>
      <c r="OQN59" s="64"/>
      <c r="OQO59" s="64"/>
      <c r="OQP59" s="64"/>
      <c r="OQQ59" s="64"/>
      <c r="OQR59" s="64"/>
      <c r="OQS59" s="64"/>
      <c r="OQT59" s="64"/>
      <c r="OQU59" s="64"/>
      <c r="OQV59" s="64"/>
      <c r="OQW59" s="64"/>
      <c r="OQX59" s="64"/>
      <c r="OQY59" s="64"/>
      <c r="OQZ59" s="64"/>
      <c r="ORA59" s="64"/>
      <c r="ORB59" s="64"/>
      <c r="ORC59" s="64"/>
      <c r="ORD59" s="64"/>
      <c r="ORE59" s="64"/>
      <c r="ORF59" s="64"/>
      <c r="ORG59" s="64"/>
      <c r="ORH59" s="64"/>
      <c r="ORI59" s="64"/>
      <c r="ORJ59" s="64"/>
      <c r="ORK59" s="64"/>
      <c r="ORL59" s="64"/>
      <c r="ORM59" s="64"/>
      <c r="ORN59" s="64"/>
      <c r="ORO59" s="64"/>
      <c r="ORP59" s="64"/>
      <c r="ORQ59" s="64"/>
      <c r="ORR59" s="64"/>
      <c r="ORS59" s="64"/>
      <c r="ORT59" s="64"/>
      <c r="ORU59" s="64"/>
      <c r="ORV59" s="64"/>
      <c r="ORW59" s="64"/>
      <c r="ORX59" s="64"/>
      <c r="ORY59" s="64"/>
      <c r="ORZ59" s="64"/>
      <c r="OSA59" s="64"/>
      <c r="OSB59" s="64"/>
      <c r="OSC59" s="64"/>
      <c r="OSD59" s="64"/>
      <c r="OSE59" s="64"/>
      <c r="OSF59" s="64"/>
      <c r="OSG59" s="64"/>
      <c r="OSH59" s="64"/>
      <c r="OSI59" s="64"/>
      <c r="OSJ59" s="64"/>
      <c r="OSK59" s="64"/>
      <c r="OSL59" s="64"/>
      <c r="OSM59" s="64"/>
      <c r="OSN59" s="64"/>
      <c r="OSO59" s="64"/>
      <c r="OSP59" s="64"/>
      <c r="OSQ59" s="64"/>
      <c r="OSR59" s="64"/>
      <c r="OSS59" s="64"/>
      <c r="OST59" s="64"/>
      <c r="OSU59" s="64"/>
      <c r="OSV59" s="64"/>
      <c r="OSW59" s="64"/>
      <c r="OSX59" s="64"/>
      <c r="OSY59" s="64"/>
      <c r="OSZ59" s="64"/>
      <c r="OTA59" s="64"/>
      <c r="OTB59" s="64"/>
      <c r="OTC59" s="64"/>
      <c r="OTD59" s="64"/>
      <c r="OTE59" s="64"/>
      <c r="OTF59" s="64"/>
      <c r="OTG59" s="64"/>
      <c r="OTH59" s="64"/>
      <c r="OTI59" s="64"/>
      <c r="OTJ59" s="64"/>
      <c r="OTK59" s="64"/>
      <c r="OTL59" s="64"/>
      <c r="OTM59" s="64"/>
      <c r="OTN59" s="64"/>
      <c r="OTO59" s="64"/>
      <c r="OTP59" s="64"/>
      <c r="OTQ59" s="64"/>
      <c r="OTR59" s="64"/>
      <c r="OTS59" s="64"/>
      <c r="OTT59" s="64"/>
      <c r="OTU59" s="64"/>
      <c r="OTV59" s="64"/>
      <c r="OTW59" s="64"/>
      <c r="OTX59" s="64"/>
      <c r="OTY59" s="64"/>
      <c r="OTZ59" s="64"/>
      <c r="OUA59" s="64"/>
      <c r="OUB59" s="64"/>
      <c r="OUC59" s="64"/>
      <c r="OUD59" s="64"/>
      <c r="OUE59" s="64"/>
      <c r="OUF59" s="64"/>
      <c r="OUG59" s="64"/>
      <c r="OUH59" s="64"/>
      <c r="OUI59" s="64"/>
      <c r="OUJ59" s="64"/>
      <c r="OUK59" s="64"/>
      <c r="OUL59" s="64"/>
      <c r="OUM59" s="64"/>
      <c r="OUN59" s="64"/>
      <c r="OUO59" s="64"/>
      <c r="OUP59" s="64"/>
      <c r="OUQ59" s="64"/>
      <c r="OUR59" s="64"/>
      <c r="OUS59" s="64"/>
      <c r="OUT59" s="64"/>
      <c r="OUU59" s="64"/>
      <c r="OUV59" s="64"/>
      <c r="OUW59" s="64"/>
      <c r="OUX59" s="64"/>
      <c r="OUY59" s="64"/>
      <c r="OUZ59" s="64"/>
      <c r="OVA59" s="64"/>
      <c r="OVB59" s="64"/>
      <c r="OVC59" s="64"/>
      <c r="OVD59" s="64"/>
      <c r="OVE59" s="64"/>
      <c r="OVF59" s="64"/>
      <c r="OVG59" s="64"/>
      <c r="OVH59" s="64"/>
      <c r="OVI59" s="64"/>
      <c r="OVJ59" s="64"/>
      <c r="OVK59" s="64"/>
      <c r="OVL59" s="64"/>
      <c r="OVM59" s="64"/>
      <c r="OVN59" s="64"/>
      <c r="OVO59" s="64"/>
      <c r="OVP59" s="64"/>
      <c r="OVQ59" s="64"/>
      <c r="OVR59" s="64"/>
      <c r="OVS59" s="64"/>
      <c r="OVT59" s="64"/>
      <c r="OVU59" s="64"/>
      <c r="OVV59" s="64"/>
      <c r="OVW59" s="64"/>
      <c r="OVX59" s="64"/>
      <c r="OVY59" s="64"/>
      <c r="OVZ59" s="64"/>
      <c r="OWA59" s="64"/>
      <c r="OWB59" s="64"/>
      <c r="OWC59" s="64"/>
      <c r="OWD59" s="64"/>
      <c r="OWE59" s="64"/>
      <c r="OWF59" s="64"/>
      <c r="OWG59" s="64"/>
      <c r="OWH59" s="64"/>
      <c r="OWI59" s="64"/>
      <c r="OWJ59" s="64"/>
      <c r="OWK59" s="64"/>
      <c r="OWL59" s="64"/>
      <c r="OWM59" s="64"/>
      <c r="OWN59" s="64"/>
      <c r="OWO59" s="64"/>
      <c r="OWP59" s="64"/>
      <c r="OWQ59" s="64"/>
      <c r="OWR59" s="64"/>
      <c r="OWS59" s="64"/>
      <c r="OWT59" s="64"/>
      <c r="OWU59" s="64"/>
      <c r="OWV59" s="64"/>
      <c r="OWW59" s="64"/>
      <c r="OWX59" s="64"/>
      <c r="OWY59" s="64"/>
      <c r="OWZ59" s="64"/>
      <c r="OXA59" s="64"/>
      <c r="OXB59" s="64"/>
      <c r="OXC59" s="64"/>
      <c r="OXD59" s="64"/>
      <c r="OXE59" s="64"/>
      <c r="OXF59" s="64"/>
      <c r="OXG59" s="64"/>
      <c r="OXH59" s="64"/>
      <c r="OXI59" s="64"/>
      <c r="OXJ59" s="64"/>
      <c r="OXK59" s="64"/>
      <c r="OXL59" s="64"/>
      <c r="OXM59" s="64"/>
      <c r="OXN59" s="64"/>
      <c r="OXO59" s="64"/>
      <c r="OXP59" s="64"/>
      <c r="OXQ59" s="64"/>
      <c r="OXR59" s="64"/>
      <c r="OXS59" s="64"/>
      <c r="OXT59" s="64"/>
      <c r="OXU59" s="64"/>
      <c r="OXV59" s="64"/>
      <c r="OXW59" s="64"/>
      <c r="OXX59" s="64"/>
      <c r="OXY59" s="64"/>
      <c r="OXZ59" s="64"/>
      <c r="OYA59" s="64"/>
      <c r="OYB59" s="64"/>
      <c r="OYC59" s="64"/>
      <c r="OYD59" s="64"/>
      <c r="OYE59" s="64"/>
      <c r="OYF59" s="64"/>
      <c r="OYG59" s="64"/>
      <c r="OYH59" s="64"/>
      <c r="OYI59" s="64"/>
      <c r="OYJ59" s="64"/>
      <c r="OYK59" s="64"/>
      <c r="OYL59" s="64"/>
      <c r="OYM59" s="64"/>
      <c r="OYN59" s="64"/>
      <c r="OYO59" s="64"/>
      <c r="OYP59" s="64"/>
      <c r="OYQ59" s="64"/>
      <c r="OYR59" s="64"/>
      <c r="OYS59" s="64"/>
      <c r="OYT59" s="64"/>
      <c r="OYU59" s="64"/>
      <c r="OYV59" s="64"/>
      <c r="OYW59" s="64"/>
      <c r="OYX59" s="64"/>
      <c r="OYY59" s="64"/>
      <c r="OYZ59" s="64"/>
      <c r="OZA59" s="64"/>
      <c r="OZB59" s="64"/>
      <c r="OZC59" s="64"/>
      <c r="OZD59" s="64"/>
      <c r="OZE59" s="64"/>
      <c r="OZF59" s="64"/>
      <c r="OZG59" s="64"/>
      <c r="OZH59" s="64"/>
      <c r="OZI59" s="64"/>
      <c r="OZJ59" s="64"/>
      <c r="OZK59" s="64"/>
      <c r="OZL59" s="64"/>
      <c r="OZM59" s="64"/>
      <c r="OZN59" s="64"/>
      <c r="OZO59" s="64"/>
      <c r="OZP59" s="64"/>
      <c r="OZQ59" s="64"/>
      <c r="OZR59" s="64"/>
      <c r="OZS59" s="64"/>
      <c r="OZT59" s="64"/>
      <c r="OZU59" s="64"/>
      <c r="OZV59" s="64"/>
      <c r="OZW59" s="64"/>
      <c r="OZX59" s="64"/>
      <c r="OZY59" s="64"/>
      <c r="OZZ59" s="64"/>
      <c r="PAA59" s="64"/>
      <c r="PAB59" s="64"/>
      <c r="PAC59" s="64"/>
      <c r="PAD59" s="64"/>
      <c r="PAE59" s="64"/>
      <c r="PAF59" s="64"/>
      <c r="PAG59" s="64"/>
      <c r="PAH59" s="64"/>
      <c r="PAI59" s="64"/>
      <c r="PAJ59" s="64"/>
      <c r="PAK59" s="64"/>
      <c r="PAL59" s="64"/>
      <c r="PAM59" s="64"/>
      <c r="PAN59" s="64"/>
      <c r="PAO59" s="64"/>
      <c r="PAP59" s="64"/>
      <c r="PAQ59" s="64"/>
      <c r="PAR59" s="64"/>
      <c r="PAS59" s="64"/>
      <c r="PAT59" s="64"/>
      <c r="PAU59" s="64"/>
      <c r="PAV59" s="64"/>
      <c r="PAW59" s="64"/>
      <c r="PAX59" s="64"/>
      <c r="PAY59" s="64"/>
      <c r="PAZ59" s="64"/>
      <c r="PBA59" s="64"/>
      <c r="PBB59" s="64"/>
      <c r="PBC59" s="64"/>
      <c r="PBD59" s="64"/>
      <c r="PBE59" s="64"/>
      <c r="PBF59" s="64"/>
      <c r="PBG59" s="64"/>
      <c r="PBH59" s="64"/>
      <c r="PBI59" s="64"/>
      <c r="PBJ59" s="64"/>
      <c r="PBK59" s="64"/>
      <c r="PBL59" s="64"/>
      <c r="PBM59" s="64"/>
      <c r="PBN59" s="64"/>
      <c r="PBO59" s="64"/>
      <c r="PBP59" s="64"/>
      <c r="PBQ59" s="64"/>
      <c r="PBR59" s="64"/>
      <c r="PBS59" s="64"/>
      <c r="PBT59" s="64"/>
      <c r="PBU59" s="64"/>
      <c r="PBV59" s="64"/>
      <c r="PBW59" s="64"/>
      <c r="PBX59" s="64"/>
      <c r="PBY59" s="64"/>
      <c r="PBZ59" s="64"/>
      <c r="PCA59" s="64"/>
      <c r="PCB59" s="64"/>
      <c r="PCC59" s="64"/>
      <c r="PCD59" s="64"/>
      <c r="PCE59" s="64"/>
      <c r="PCF59" s="64"/>
      <c r="PCG59" s="64"/>
      <c r="PCH59" s="64"/>
      <c r="PCI59" s="64"/>
      <c r="PCJ59" s="64"/>
      <c r="PCK59" s="64"/>
      <c r="PCL59" s="64"/>
      <c r="PCM59" s="64"/>
      <c r="PCN59" s="64"/>
      <c r="PCO59" s="64"/>
      <c r="PCP59" s="64"/>
      <c r="PCQ59" s="64"/>
      <c r="PCR59" s="64"/>
      <c r="PCS59" s="64"/>
      <c r="PCT59" s="64"/>
      <c r="PCU59" s="64"/>
      <c r="PCV59" s="64"/>
      <c r="PCW59" s="64"/>
      <c r="PCX59" s="64"/>
      <c r="PCY59" s="64"/>
      <c r="PCZ59" s="64"/>
      <c r="PDA59" s="64"/>
      <c r="PDB59" s="64"/>
      <c r="PDC59" s="64"/>
      <c r="PDD59" s="64"/>
      <c r="PDE59" s="64"/>
      <c r="PDF59" s="64"/>
      <c r="PDG59" s="64"/>
      <c r="PDH59" s="64"/>
      <c r="PDI59" s="64"/>
      <c r="PDJ59" s="64"/>
      <c r="PDK59" s="64"/>
      <c r="PDL59" s="64"/>
      <c r="PDM59" s="64"/>
      <c r="PDN59" s="64"/>
      <c r="PDO59" s="64"/>
      <c r="PDP59" s="64"/>
      <c r="PDQ59" s="64"/>
      <c r="PDR59" s="64"/>
      <c r="PDS59" s="64"/>
      <c r="PDT59" s="64"/>
      <c r="PDU59" s="64"/>
      <c r="PDV59" s="64"/>
      <c r="PDW59" s="64"/>
      <c r="PDX59" s="64"/>
      <c r="PDY59" s="64"/>
      <c r="PDZ59" s="64"/>
      <c r="PEA59" s="64"/>
      <c r="PEB59" s="64"/>
      <c r="PEC59" s="64"/>
      <c r="PED59" s="64"/>
      <c r="PEE59" s="64"/>
      <c r="PEF59" s="64"/>
      <c r="PEG59" s="64"/>
      <c r="PEH59" s="64"/>
      <c r="PEI59" s="64"/>
      <c r="PEJ59" s="64"/>
      <c r="PEK59" s="64"/>
      <c r="PEL59" s="64"/>
      <c r="PEM59" s="64"/>
      <c r="PEN59" s="64"/>
      <c r="PEO59" s="64"/>
      <c r="PEP59" s="64"/>
      <c r="PEQ59" s="64"/>
      <c r="PER59" s="64"/>
      <c r="PES59" s="64"/>
      <c r="PET59" s="64"/>
      <c r="PEU59" s="64"/>
      <c r="PEV59" s="64"/>
      <c r="PEW59" s="64"/>
      <c r="PEX59" s="64"/>
      <c r="PEY59" s="64"/>
      <c r="PEZ59" s="64"/>
      <c r="PFA59" s="64"/>
      <c r="PFB59" s="64"/>
      <c r="PFC59" s="64"/>
      <c r="PFD59" s="64"/>
      <c r="PFE59" s="64"/>
      <c r="PFF59" s="64"/>
      <c r="PFG59" s="64"/>
      <c r="PFH59" s="64"/>
      <c r="PFI59" s="64"/>
      <c r="PFJ59" s="64"/>
      <c r="PFK59" s="64"/>
      <c r="PFL59" s="64"/>
      <c r="PFM59" s="64"/>
      <c r="PFN59" s="64"/>
      <c r="PFO59" s="64"/>
      <c r="PFP59" s="64"/>
      <c r="PFQ59" s="64"/>
      <c r="PFR59" s="64"/>
      <c r="PFS59" s="64"/>
      <c r="PFT59" s="64"/>
      <c r="PFU59" s="64"/>
      <c r="PFV59" s="64"/>
      <c r="PFW59" s="64"/>
      <c r="PFX59" s="64"/>
      <c r="PFY59" s="64"/>
      <c r="PFZ59" s="64"/>
      <c r="PGA59" s="64"/>
      <c r="PGB59" s="64"/>
      <c r="PGC59" s="64"/>
      <c r="PGD59" s="64"/>
      <c r="PGE59" s="64"/>
      <c r="PGF59" s="64"/>
      <c r="PGG59" s="64"/>
      <c r="PGH59" s="64"/>
      <c r="PGI59" s="64"/>
      <c r="PGJ59" s="64"/>
      <c r="PGK59" s="64"/>
      <c r="PGL59" s="64"/>
      <c r="PGM59" s="64"/>
      <c r="PGN59" s="64"/>
      <c r="PGO59" s="64"/>
      <c r="PGP59" s="64"/>
      <c r="PGQ59" s="64"/>
      <c r="PGR59" s="64"/>
      <c r="PGS59" s="64"/>
      <c r="PGT59" s="64"/>
      <c r="PGU59" s="64"/>
      <c r="PGV59" s="64"/>
      <c r="PGW59" s="64"/>
      <c r="PGX59" s="64"/>
      <c r="PGY59" s="64"/>
      <c r="PGZ59" s="64"/>
      <c r="PHA59" s="64"/>
      <c r="PHB59" s="64"/>
      <c r="PHC59" s="64"/>
      <c r="PHD59" s="64"/>
      <c r="PHE59" s="64"/>
      <c r="PHF59" s="64"/>
      <c r="PHG59" s="64"/>
      <c r="PHH59" s="64"/>
      <c r="PHI59" s="64"/>
      <c r="PHJ59" s="64"/>
      <c r="PHK59" s="64"/>
      <c r="PHL59" s="64"/>
      <c r="PHM59" s="64"/>
      <c r="PHN59" s="64"/>
      <c r="PHO59" s="64"/>
      <c r="PHP59" s="64"/>
      <c r="PHQ59" s="64"/>
      <c r="PHR59" s="64"/>
      <c r="PHS59" s="64"/>
      <c r="PHT59" s="64"/>
      <c r="PHU59" s="64"/>
      <c r="PHV59" s="64"/>
      <c r="PHW59" s="64"/>
      <c r="PHX59" s="64"/>
      <c r="PHY59" s="64"/>
      <c r="PHZ59" s="64"/>
      <c r="PIA59" s="64"/>
      <c r="PIB59" s="64"/>
      <c r="PIC59" s="64"/>
      <c r="PID59" s="64"/>
      <c r="PIE59" s="64"/>
      <c r="PIF59" s="64"/>
      <c r="PIG59" s="64"/>
      <c r="PIH59" s="64"/>
      <c r="PII59" s="64"/>
      <c r="PIJ59" s="64"/>
      <c r="PIK59" s="64"/>
      <c r="PIL59" s="64"/>
      <c r="PIM59" s="64"/>
      <c r="PIN59" s="64"/>
      <c r="PIO59" s="64"/>
      <c r="PIP59" s="64"/>
      <c r="PIQ59" s="64"/>
      <c r="PIR59" s="64"/>
      <c r="PIS59" s="64"/>
      <c r="PIT59" s="64"/>
      <c r="PIU59" s="64"/>
      <c r="PIV59" s="64"/>
      <c r="PIW59" s="64"/>
      <c r="PIX59" s="64"/>
      <c r="PIY59" s="64"/>
      <c r="PIZ59" s="64"/>
      <c r="PJA59" s="64"/>
      <c r="PJB59" s="64"/>
      <c r="PJC59" s="64"/>
      <c r="PJD59" s="64"/>
      <c r="PJE59" s="64"/>
      <c r="PJF59" s="64"/>
      <c r="PJG59" s="64"/>
      <c r="PJH59" s="64"/>
      <c r="PJI59" s="64"/>
      <c r="PJJ59" s="64"/>
      <c r="PJK59" s="64"/>
      <c r="PJL59" s="64"/>
      <c r="PJM59" s="64"/>
      <c r="PJN59" s="64"/>
      <c r="PJO59" s="64"/>
      <c r="PJP59" s="64"/>
      <c r="PJQ59" s="64"/>
      <c r="PJR59" s="64"/>
      <c r="PJS59" s="64"/>
      <c r="PJT59" s="64"/>
      <c r="PJU59" s="64"/>
      <c r="PJV59" s="64"/>
      <c r="PJW59" s="64"/>
      <c r="PJX59" s="64"/>
      <c r="PJY59" s="64"/>
      <c r="PJZ59" s="64"/>
      <c r="PKA59" s="64"/>
      <c r="PKB59" s="64"/>
      <c r="PKC59" s="64"/>
      <c r="PKD59" s="64"/>
      <c r="PKE59" s="64"/>
      <c r="PKF59" s="64"/>
      <c r="PKG59" s="64"/>
      <c r="PKH59" s="64"/>
      <c r="PKI59" s="64"/>
      <c r="PKJ59" s="64"/>
      <c r="PKK59" s="64"/>
      <c r="PKL59" s="64"/>
      <c r="PKM59" s="64"/>
      <c r="PKN59" s="64"/>
      <c r="PKO59" s="64"/>
      <c r="PKP59" s="64"/>
      <c r="PKQ59" s="64"/>
      <c r="PKR59" s="64"/>
      <c r="PKS59" s="64"/>
      <c r="PKT59" s="64"/>
      <c r="PKU59" s="64"/>
      <c r="PKV59" s="64"/>
      <c r="PKW59" s="64"/>
      <c r="PKX59" s="64"/>
      <c r="PKY59" s="64"/>
      <c r="PKZ59" s="64"/>
      <c r="PLA59" s="64"/>
      <c r="PLB59" s="64"/>
      <c r="PLC59" s="64"/>
      <c r="PLD59" s="64"/>
      <c r="PLE59" s="64"/>
      <c r="PLF59" s="64"/>
      <c r="PLG59" s="64"/>
      <c r="PLH59" s="64"/>
      <c r="PLI59" s="64"/>
      <c r="PLJ59" s="64"/>
      <c r="PLK59" s="64"/>
      <c r="PLL59" s="64"/>
      <c r="PLM59" s="64"/>
      <c r="PLN59" s="64"/>
      <c r="PLO59" s="64"/>
      <c r="PLP59" s="64"/>
      <c r="PLQ59" s="64"/>
      <c r="PLR59" s="64"/>
      <c r="PLS59" s="64"/>
      <c r="PLT59" s="64"/>
      <c r="PLU59" s="64"/>
      <c r="PLV59" s="64"/>
      <c r="PLW59" s="64"/>
      <c r="PLX59" s="64"/>
      <c r="PLY59" s="64"/>
      <c r="PLZ59" s="64"/>
      <c r="PMA59" s="64"/>
      <c r="PMB59" s="64"/>
      <c r="PMC59" s="64"/>
      <c r="PMD59" s="64"/>
      <c r="PME59" s="64"/>
      <c r="PMF59" s="64"/>
      <c r="PMG59" s="64"/>
      <c r="PMH59" s="64"/>
      <c r="PMI59" s="64"/>
      <c r="PMJ59" s="64"/>
      <c r="PMK59" s="64"/>
      <c r="PML59" s="64"/>
      <c r="PMM59" s="64"/>
      <c r="PMN59" s="64"/>
      <c r="PMO59" s="64"/>
      <c r="PMP59" s="64"/>
      <c r="PMQ59" s="64"/>
      <c r="PMR59" s="64"/>
      <c r="PMS59" s="64"/>
      <c r="PMT59" s="64"/>
      <c r="PMU59" s="64"/>
      <c r="PMV59" s="64"/>
      <c r="PMW59" s="64"/>
      <c r="PMX59" s="64"/>
      <c r="PMY59" s="64"/>
      <c r="PMZ59" s="64"/>
      <c r="PNA59" s="64"/>
      <c r="PNB59" s="64"/>
      <c r="PNC59" s="64"/>
      <c r="PND59" s="64"/>
      <c r="PNE59" s="64"/>
      <c r="PNF59" s="64"/>
      <c r="PNG59" s="64"/>
      <c r="PNH59" s="64"/>
      <c r="PNI59" s="64"/>
      <c r="PNJ59" s="64"/>
      <c r="PNK59" s="64"/>
      <c r="PNL59" s="64"/>
      <c r="PNM59" s="64"/>
      <c r="PNN59" s="64"/>
      <c r="PNO59" s="64"/>
      <c r="PNP59" s="64"/>
      <c r="PNQ59" s="64"/>
      <c r="PNR59" s="64"/>
      <c r="PNS59" s="64"/>
      <c r="PNT59" s="64"/>
      <c r="PNU59" s="64"/>
      <c r="PNV59" s="64"/>
      <c r="PNW59" s="64"/>
      <c r="PNX59" s="64"/>
      <c r="PNY59" s="64"/>
      <c r="PNZ59" s="64"/>
      <c r="POA59" s="64"/>
      <c r="POB59" s="64"/>
      <c r="POC59" s="64"/>
      <c r="POD59" s="64"/>
      <c r="POE59" s="64"/>
      <c r="POF59" s="64"/>
      <c r="POG59" s="64"/>
      <c r="POH59" s="64"/>
      <c r="POI59" s="64"/>
      <c r="POJ59" s="64"/>
      <c r="POK59" s="64"/>
      <c r="POL59" s="64"/>
      <c r="POM59" s="64"/>
      <c r="PON59" s="64"/>
      <c r="POO59" s="64"/>
      <c r="POP59" s="64"/>
      <c r="POQ59" s="64"/>
      <c r="POR59" s="64"/>
      <c r="POS59" s="64"/>
      <c r="POT59" s="64"/>
      <c r="POU59" s="64"/>
      <c r="POV59" s="64"/>
      <c r="POW59" s="64"/>
      <c r="POX59" s="64"/>
      <c r="POY59" s="64"/>
      <c r="POZ59" s="64"/>
      <c r="PPA59" s="64"/>
      <c r="PPB59" s="64"/>
      <c r="PPC59" s="64"/>
      <c r="PPD59" s="64"/>
      <c r="PPE59" s="64"/>
      <c r="PPF59" s="64"/>
      <c r="PPG59" s="64"/>
      <c r="PPH59" s="64"/>
      <c r="PPI59" s="64"/>
      <c r="PPJ59" s="64"/>
      <c r="PPK59" s="64"/>
      <c r="PPL59" s="64"/>
      <c r="PPM59" s="64"/>
      <c r="PPN59" s="64"/>
      <c r="PPO59" s="64"/>
      <c r="PPP59" s="64"/>
      <c r="PPQ59" s="64"/>
      <c r="PPR59" s="64"/>
      <c r="PPS59" s="64"/>
      <c r="PPT59" s="64"/>
      <c r="PPU59" s="64"/>
      <c r="PPV59" s="64"/>
      <c r="PPW59" s="64"/>
      <c r="PPX59" s="64"/>
      <c r="PPY59" s="64"/>
      <c r="PPZ59" s="64"/>
      <c r="PQA59" s="64"/>
      <c r="PQB59" s="64"/>
      <c r="PQC59" s="64"/>
      <c r="PQD59" s="64"/>
      <c r="PQE59" s="64"/>
      <c r="PQF59" s="64"/>
      <c r="PQG59" s="64"/>
      <c r="PQH59" s="64"/>
      <c r="PQI59" s="64"/>
      <c r="PQJ59" s="64"/>
      <c r="PQK59" s="64"/>
      <c r="PQL59" s="64"/>
      <c r="PQM59" s="64"/>
      <c r="PQN59" s="64"/>
      <c r="PQO59" s="64"/>
      <c r="PQP59" s="64"/>
      <c r="PQQ59" s="64"/>
      <c r="PQR59" s="64"/>
      <c r="PQS59" s="64"/>
      <c r="PQT59" s="64"/>
      <c r="PQU59" s="64"/>
      <c r="PQV59" s="64"/>
      <c r="PQW59" s="64"/>
      <c r="PQX59" s="64"/>
      <c r="PQY59" s="64"/>
      <c r="PQZ59" s="64"/>
      <c r="PRA59" s="64"/>
      <c r="PRB59" s="64"/>
      <c r="PRC59" s="64"/>
      <c r="PRD59" s="64"/>
      <c r="PRE59" s="64"/>
      <c r="PRF59" s="64"/>
      <c r="PRG59" s="64"/>
      <c r="PRH59" s="64"/>
      <c r="PRI59" s="64"/>
      <c r="PRJ59" s="64"/>
      <c r="PRK59" s="64"/>
      <c r="PRL59" s="64"/>
      <c r="PRM59" s="64"/>
      <c r="PRN59" s="64"/>
      <c r="PRO59" s="64"/>
      <c r="PRP59" s="64"/>
      <c r="PRQ59" s="64"/>
      <c r="PRR59" s="64"/>
      <c r="PRS59" s="64"/>
      <c r="PRT59" s="64"/>
      <c r="PRU59" s="64"/>
      <c r="PRV59" s="64"/>
      <c r="PRW59" s="64"/>
      <c r="PRX59" s="64"/>
      <c r="PRY59" s="64"/>
      <c r="PRZ59" s="64"/>
      <c r="PSA59" s="64"/>
      <c r="PSB59" s="64"/>
      <c r="PSC59" s="64"/>
      <c r="PSD59" s="64"/>
      <c r="PSE59" s="64"/>
      <c r="PSF59" s="64"/>
      <c r="PSG59" s="64"/>
      <c r="PSH59" s="64"/>
      <c r="PSI59" s="64"/>
      <c r="PSJ59" s="64"/>
      <c r="PSK59" s="64"/>
      <c r="PSL59" s="64"/>
      <c r="PSM59" s="64"/>
      <c r="PSN59" s="64"/>
      <c r="PSO59" s="64"/>
      <c r="PSP59" s="64"/>
      <c r="PSQ59" s="64"/>
      <c r="PSR59" s="64"/>
      <c r="PSS59" s="64"/>
      <c r="PST59" s="64"/>
      <c r="PSU59" s="64"/>
      <c r="PSV59" s="64"/>
      <c r="PSW59" s="64"/>
      <c r="PSX59" s="64"/>
      <c r="PSY59" s="64"/>
      <c r="PSZ59" s="64"/>
      <c r="PTA59" s="64"/>
      <c r="PTB59" s="64"/>
      <c r="PTC59" s="64"/>
      <c r="PTD59" s="64"/>
      <c r="PTE59" s="64"/>
      <c r="PTF59" s="64"/>
      <c r="PTG59" s="64"/>
      <c r="PTH59" s="64"/>
      <c r="PTI59" s="64"/>
      <c r="PTJ59" s="64"/>
      <c r="PTK59" s="64"/>
      <c r="PTL59" s="64"/>
      <c r="PTM59" s="64"/>
      <c r="PTN59" s="64"/>
      <c r="PTO59" s="64"/>
      <c r="PTP59" s="64"/>
      <c r="PTQ59" s="64"/>
      <c r="PTR59" s="64"/>
      <c r="PTS59" s="64"/>
      <c r="PTT59" s="64"/>
      <c r="PTU59" s="64"/>
      <c r="PTV59" s="64"/>
      <c r="PTW59" s="64"/>
      <c r="PTX59" s="64"/>
      <c r="PTY59" s="64"/>
      <c r="PTZ59" s="64"/>
      <c r="PUA59" s="64"/>
      <c r="PUB59" s="64"/>
      <c r="PUC59" s="64"/>
      <c r="PUD59" s="64"/>
      <c r="PUE59" s="64"/>
      <c r="PUF59" s="64"/>
      <c r="PUG59" s="64"/>
      <c r="PUH59" s="64"/>
      <c r="PUI59" s="64"/>
      <c r="PUJ59" s="64"/>
      <c r="PUK59" s="64"/>
      <c r="PUL59" s="64"/>
      <c r="PUM59" s="64"/>
      <c r="PUN59" s="64"/>
      <c r="PUO59" s="64"/>
      <c r="PUP59" s="64"/>
      <c r="PUQ59" s="64"/>
      <c r="PUR59" s="64"/>
      <c r="PUS59" s="64"/>
      <c r="PUT59" s="64"/>
      <c r="PUU59" s="64"/>
      <c r="PUV59" s="64"/>
      <c r="PUW59" s="64"/>
      <c r="PUX59" s="64"/>
      <c r="PUY59" s="64"/>
      <c r="PUZ59" s="64"/>
      <c r="PVA59" s="64"/>
      <c r="PVB59" s="64"/>
      <c r="PVC59" s="64"/>
      <c r="PVD59" s="64"/>
      <c r="PVE59" s="64"/>
      <c r="PVF59" s="64"/>
      <c r="PVG59" s="64"/>
      <c r="PVH59" s="64"/>
      <c r="PVI59" s="64"/>
      <c r="PVJ59" s="64"/>
      <c r="PVK59" s="64"/>
      <c r="PVL59" s="64"/>
      <c r="PVM59" s="64"/>
      <c r="PVN59" s="64"/>
      <c r="PVO59" s="64"/>
      <c r="PVP59" s="64"/>
      <c r="PVQ59" s="64"/>
      <c r="PVR59" s="64"/>
      <c r="PVS59" s="64"/>
      <c r="PVT59" s="64"/>
      <c r="PVU59" s="64"/>
      <c r="PVV59" s="64"/>
      <c r="PVW59" s="64"/>
      <c r="PVX59" s="64"/>
      <c r="PVY59" s="64"/>
      <c r="PVZ59" s="64"/>
      <c r="PWA59" s="64"/>
      <c r="PWB59" s="64"/>
      <c r="PWC59" s="64"/>
      <c r="PWD59" s="64"/>
      <c r="PWE59" s="64"/>
      <c r="PWF59" s="64"/>
      <c r="PWG59" s="64"/>
      <c r="PWH59" s="64"/>
      <c r="PWI59" s="64"/>
      <c r="PWJ59" s="64"/>
      <c r="PWK59" s="64"/>
      <c r="PWL59" s="64"/>
      <c r="PWM59" s="64"/>
      <c r="PWN59" s="64"/>
      <c r="PWO59" s="64"/>
      <c r="PWP59" s="64"/>
      <c r="PWQ59" s="64"/>
      <c r="PWR59" s="64"/>
      <c r="PWS59" s="64"/>
      <c r="PWT59" s="64"/>
      <c r="PWU59" s="64"/>
      <c r="PWV59" s="64"/>
      <c r="PWW59" s="64"/>
      <c r="PWX59" s="64"/>
      <c r="PWY59" s="64"/>
      <c r="PWZ59" s="64"/>
      <c r="PXA59" s="64"/>
      <c r="PXB59" s="64"/>
      <c r="PXC59" s="64"/>
      <c r="PXD59" s="64"/>
      <c r="PXE59" s="64"/>
      <c r="PXF59" s="64"/>
      <c r="PXG59" s="64"/>
      <c r="PXH59" s="64"/>
      <c r="PXI59" s="64"/>
      <c r="PXJ59" s="64"/>
      <c r="PXK59" s="64"/>
      <c r="PXL59" s="64"/>
      <c r="PXM59" s="64"/>
      <c r="PXN59" s="64"/>
      <c r="PXO59" s="64"/>
      <c r="PXP59" s="64"/>
      <c r="PXQ59" s="64"/>
      <c r="PXR59" s="64"/>
      <c r="PXS59" s="64"/>
      <c r="PXT59" s="64"/>
      <c r="PXU59" s="64"/>
      <c r="PXV59" s="64"/>
      <c r="PXW59" s="64"/>
      <c r="PXX59" s="64"/>
      <c r="PXY59" s="64"/>
      <c r="PXZ59" s="64"/>
      <c r="PYA59" s="64"/>
      <c r="PYB59" s="64"/>
      <c r="PYC59" s="64"/>
      <c r="PYD59" s="64"/>
      <c r="PYE59" s="64"/>
      <c r="PYF59" s="64"/>
      <c r="PYG59" s="64"/>
      <c r="PYH59" s="64"/>
      <c r="PYI59" s="64"/>
      <c r="PYJ59" s="64"/>
      <c r="PYK59" s="64"/>
      <c r="PYL59" s="64"/>
      <c r="PYM59" s="64"/>
      <c r="PYN59" s="64"/>
      <c r="PYO59" s="64"/>
      <c r="PYP59" s="64"/>
      <c r="PYQ59" s="64"/>
      <c r="PYR59" s="64"/>
      <c r="PYS59" s="64"/>
      <c r="PYT59" s="64"/>
      <c r="PYU59" s="64"/>
      <c r="PYV59" s="64"/>
      <c r="PYW59" s="64"/>
      <c r="PYX59" s="64"/>
      <c r="PYY59" s="64"/>
      <c r="PYZ59" s="64"/>
      <c r="PZA59" s="64"/>
      <c r="PZB59" s="64"/>
      <c r="PZC59" s="64"/>
      <c r="PZD59" s="64"/>
      <c r="PZE59" s="64"/>
      <c r="PZF59" s="64"/>
      <c r="PZG59" s="64"/>
      <c r="PZH59" s="64"/>
      <c r="PZI59" s="64"/>
      <c r="PZJ59" s="64"/>
      <c r="PZK59" s="64"/>
      <c r="PZL59" s="64"/>
      <c r="PZM59" s="64"/>
      <c r="PZN59" s="64"/>
      <c r="PZO59" s="64"/>
      <c r="PZP59" s="64"/>
      <c r="PZQ59" s="64"/>
      <c r="PZR59" s="64"/>
      <c r="PZS59" s="64"/>
      <c r="PZT59" s="64"/>
      <c r="PZU59" s="64"/>
      <c r="PZV59" s="64"/>
      <c r="PZW59" s="64"/>
      <c r="PZX59" s="64"/>
      <c r="PZY59" s="64"/>
      <c r="PZZ59" s="64"/>
      <c r="QAA59" s="64"/>
      <c r="QAB59" s="64"/>
      <c r="QAC59" s="64"/>
      <c r="QAD59" s="64"/>
      <c r="QAE59" s="64"/>
      <c r="QAF59" s="64"/>
      <c r="QAG59" s="64"/>
      <c r="QAH59" s="64"/>
      <c r="QAI59" s="64"/>
      <c r="QAJ59" s="64"/>
      <c r="QAK59" s="64"/>
      <c r="QAL59" s="64"/>
      <c r="QAM59" s="64"/>
      <c r="QAN59" s="64"/>
      <c r="QAO59" s="64"/>
      <c r="QAP59" s="64"/>
      <c r="QAQ59" s="64"/>
      <c r="QAR59" s="64"/>
      <c r="QAS59" s="64"/>
      <c r="QAT59" s="64"/>
      <c r="QAU59" s="64"/>
      <c r="QAV59" s="64"/>
      <c r="QAW59" s="64"/>
      <c r="QAX59" s="64"/>
      <c r="QAY59" s="64"/>
      <c r="QAZ59" s="64"/>
      <c r="QBA59" s="64"/>
      <c r="QBB59" s="64"/>
      <c r="QBC59" s="64"/>
      <c r="QBD59" s="64"/>
      <c r="QBE59" s="64"/>
      <c r="QBF59" s="64"/>
      <c r="QBG59" s="64"/>
      <c r="QBH59" s="64"/>
      <c r="QBI59" s="64"/>
      <c r="QBJ59" s="64"/>
      <c r="QBK59" s="64"/>
      <c r="QBL59" s="64"/>
      <c r="QBM59" s="64"/>
      <c r="QBN59" s="64"/>
      <c r="QBO59" s="64"/>
      <c r="QBP59" s="64"/>
      <c r="QBQ59" s="64"/>
      <c r="QBR59" s="64"/>
      <c r="QBS59" s="64"/>
      <c r="QBT59" s="64"/>
      <c r="QBU59" s="64"/>
      <c r="QBV59" s="64"/>
      <c r="QBW59" s="64"/>
      <c r="QBX59" s="64"/>
      <c r="QBY59" s="64"/>
      <c r="QBZ59" s="64"/>
      <c r="QCA59" s="64"/>
      <c r="QCB59" s="64"/>
      <c r="QCC59" s="64"/>
      <c r="QCD59" s="64"/>
      <c r="QCE59" s="64"/>
      <c r="QCF59" s="64"/>
      <c r="QCG59" s="64"/>
      <c r="QCH59" s="64"/>
      <c r="QCI59" s="64"/>
      <c r="QCJ59" s="64"/>
      <c r="QCK59" s="64"/>
      <c r="QCL59" s="64"/>
      <c r="QCM59" s="64"/>
      <c r="QCN59" s="64"/>
      <c r="QCO59" s="64"/>
      <c r="QCP59" s="64"/>
      <c r="QCQ59" s="64"/>
      <c r="QCR59" s="64"/>
      <c r="QCS59" s="64"/>
      <c r="QCT59" s="64"/>
      <c r="QCU59" s="64"/>
      <c r="QCV59" s="64"/>
      <c r="QCW59" s="64"/>
      <c r="QCX59" s="64"/>
      <c r="QCY59" s="64"/>
      <c r="QCZ59" s="64"/>
      <c r="QDA59" s="64"/>
      <c r="QDB59" s="64"/>
      <c r="QDC59" s="64"/>
      <c r="QDD59" s="64"/>
      <c r="QDE59" s="64"/>
      <c r="QDF59" s="64"/>
      <c r="QDG59" s="64"/>
      <c r="QDH59" s="64"/>
      <c r="QDI59" s="64"/>
      <c r="QDJ59" s="64"/>
      <c r="QDK59" s="64"/>
      <c r="QDL59" s="64"/>
      <c r="QDM59" s="64"/>
      <c r="QDN59" s="64"/>
      <c r="QDO59" s="64"/>
      <c r="QDP59" s="64"/>
      <c r="QDQ59" s="64"/>
      <c r="QDR59" s="64"/>
      <c r="QDS59" s="64"/>
      <c r="QDT59" s="64"/>
      <c r="QDU59" s="64"/>
      <c r="QDV59" s="64"/>
      <c r="QDW59" s="64"/>
      <c r="QDX59" s="64"/>
      <c r="QDY59" s="64"/>
      <c r="QDZ59" s="64"/>
      <c r="QEA59" s="64"/>
      <c r="QEB59" s="64"/>
      <c r="QEC59" s="64"/>
      <c r="QED59" s="64"/>
      <c r="QEE59" s="64"/>
      <c r="QEF59" s="64"/>
      <c r="QEG59" s="64"/>
      <c r="QEH59" s="64"/>
      <c r="QEI59" s="64"/>
      <c r="QEJ59" s="64"/>
      <c r="QEK59" s="64"/>
      <c r="QEL59" s="64"/>
      <c r="QEM59" s="64"/>
      <c r="QEN59" s="64"/>
      <c r="QEO59" s="64"/>
      <c r="QEP59" s="64"/>
      <c r="QEQ59" s="64"/>
      <c r="QER59" s="64"/>
      <c r="QES59" s="64"/>
      <c r="QET59" s="64"/>
      <c r="QEU59" s="64"/>
      <c r="QEV59" s="64"/>
      <c r="QEW59" s="64"/>
      <c r="QEX59" s="64"/>
      <c r="QEY59" s="64"/>
      <c r="QEZ59" s="64"/>
      <c r="QFA59" s="64"/>
      <c r="QFB59" s="64"/>
      <c r="QFC59" s="64"/>
      <c r="QFD59" s="64"/>
      <c r="QFE59" s="64"/>
      <c r="QFF59" s="64"/>
      <c r="QFG59" s="64"/>
      <c r="QFH59" s="64"/>
      <c r="QFI59" s="64"/>
      <c r="QFJ59" s="64"/>
      <c r="QFK59" s="64"/>
      <c r="QFL59" s="64"/>
      <c r="QFM59" s="64"/>
      <c r="QFN59" s="64"/>
      <c r="QFO59" s="64"/>
      <c r="QFP59" s="64"/>
      <c r="QFQ59" s="64"/>
      <c r="QFR59" s="64"/>
      <c r="QFS59" s="64"/>
      <c r="QFT59" s="64"/>
      <c r="QFU59" s="64"/>
      <c r="QFV59" s="64"/>
      <c r="QFW59" s="64"/>
      <c r="QFX59" s="64"/>
      <c r="QFY59" s="64"/>
      <c r="QFZ59" s="64"/>
      <c r="QGA59" s="64"/>
      <c r="QGB59" s="64"/>
      <c r="QGC59" s="64"/>
      <c r="QGD59" s="64"/>
      <c r="QGE59" s="64"/>
      <c r="QGF59" s="64"/>
      <c r="QGG59" s="64"/>
      <c r="QGH59" s="64"/>
      <c r="QGI59" s="64"/>
      <c r="QGJ59" s="64"/>
      <c r="QGK59" s="64"/>
      <c r="QGL59" s="64"/>
      <c r="QGM59" s="64"/>
      <c r="QGN59" s="64"/>
      <c r="QGO59" s="64"/>
      <c r="QGP59" s="64"/>
      <c r="QGQ59" s="64"/>
      <c r="QGR59" s="64"/>
      <c r="QGS59" s="64"/>
      <c r="QGT59" s="64"/>
      <c r="QGU59" s="64"/>
      <c r="QGV59" s="64"/>
      <c r="QGW59" s="64"/>
      <c r="QGX59" s="64"/>
      <c r="QGY59" s="64"/>
      <c r="QGZ59" s="64"/>
      <c r="QHA59" s="64"/>
      <c r="QHB59" s="64"/>
      <c r="QHC59" s="64"/>
      <c r="QHD59" s="64"/>
      <c r="QHE59" s="64"/>
      <c r="QHF59" s="64"/>
      <c r="QHG59" s="64"/>
      <c r="QHH59" s="64"/>
      <c r="QHI59" s="64"/>
      <c r="QHJ59" s="64"/>
      <c r="QHK59" s="64"/>
      <c r="QHL59" s="64"/>
      <c r="QHM59" s="64"/>
      <c r="QHN59" s="64"/>
      <c r="QHO59" s="64"/>
      <c r="QHP59" s="64"/>
      <c r="QHQ59" s="64"/>
      <c r="QHR59" s="64"/>
      <c r="QHS59" s="64"/>
      <c r="QHT59" s="64"/>
      <c r="QHU59" s="64"/>
      <c r="QHV59" s="64"/>
      <c r="QHW59" s="64"/>
      <c r="QHX59" s="64"/>
      <c r="QHY59" s="64"/>
      <c r="QHZ59" s="64"/>
      <c r="QIA59" s="64"/>
      <c r="QIB59" s="64"/>
      <c r="QIC59" s="64"/>
      <c r="QID59" s="64"/>
      <c r="QIE59" s="64"/>
      <c r="QIF59" s="64"/>
      <c r="QIG59" s="64"/>
      <c r="QIH59" s="64"/>
      <c r="QII59" s="64"/>
      <c r="QIJ59" s="64"/>
      <c r="QIK59" s="64"/>
      <c r="QIL59" s="64"/>
      <c r="QIM59" s="64"/>
      <c r="QIN59" s="64"/>
      <c r="QIO59" s="64"/>
      <c r="QIP59" s="64"/>
      <c r="QIQ59" s="64"/>
      <c r="QIR59" s="64"/>
      <c r="QIS59" s="64"/>
      <c r="QIT59" s="64"/>
      <c r="QIU59" s="64"/>
      <c r="QIV59" s="64"/>
      <c r="QIW59" s="64"/>
      <c r="QIX59" s="64"/>
      <c r="QIY59" s="64"/>
      <c r="QIZ59" s="64"/>
      <c r="QJA59" s="64"/>
      <c r="QJB59" s="64"/>
      <c r="QJC59" s="64"/>
      <c r="QJD59" s="64"/>
      <c r="QJE59" s="64"/>
      <c r="QJF59" s="64"/>
      <c r="QJG59" s="64"/>
      <c r="QJH59" s="64"/>
      <c r="QJI59" s="64"/>
      <c r="QJJ59" s="64"/>
      <c r="QJK59" s="64"/>
      <c r="QJL59" s="64"/>
      <c r="QJM59" s="64"/>
      <c r="QJN59" s="64"/>
      <c r="QJO59" s="64"/>
      <c r="QJP59" s="64"/>
      <c r="QJQ59" s="64"/>
      <c r="QJR59" s="64"/>
      <c r="QJS59" s="64"/>
      <c r="QJT59" s="64"/>
      <c r="QJU59" s="64"/>
      <c r="QJV59" s="64"/>
      <c r="QJW59" s="64"/>
      <c r="QJX59" s="64"/>
      <c r="QJY59" s="64"/>
      <c r="QJZ59" s="64"/>
      <c r="QKA59" s="64"/>
      <c r="QKB59" s="64"/>
      <c r="QKC59" s="64"/>
      <c r="QKD59" s="64"/>
      <c r="QKE59" s="64"/>
      <c r="QKF59" s="64"/>
      <c r="QKG59" s="64"/>
      <c r="QKH59" s="64"/>
      <c r="QKI59" s="64"/>
      <c r="QKJ59" s="64"/>
      <c r="QKK59" s="64"/>
      <c r="QKL59" s="64"/>
      <c r="QKM59" s="64"/>
      <c r="QKN59" s="64"/>
      <c r="QKO59" s="64"/>
      <c r="QKP59" s="64"/>
      <c r="QKQ59" s="64"/>
      <c r="QKR59" s="64"/>
      <c r="QKS59" s="64"/>
      <c r="QKT59" s="64"/>
      <c r="QKU59" s="64"/>
      <c r="QKV59" s="64"/>
      <c r="QKW59" s="64"/>
      <c r="QKX59" s="64"/>
      <c r="QKY59" s="64"/>
      <c r="QKZ59" s="64"/>
      <c r="QLA59" s="64"/>
      <c r="QLB59" s="64"/>
      <c r="QLC59" s="64"/>
      <c r="QLD59" s="64"/>
      <c r="QLE59" s="64"/>
      <c r="QLF59" s="64"/>
      <c r="QLG59" s="64"/>
      <c r="QLH59" s="64"/>
      <c r="QLI59" s="64"/>
      <c r="QLJ59" s="64"/>
      <c r="QLK59" s="64"/>
      <c r="QLL59" s="64"/>
      <c r="QLM59" s="64"/>
      <c r="QLN59" s="64"/>
      <c r="QLO59" s="64"/>
      <c r="QLP59" s="64"/>
      <c r="QLQ59" s="64"/>
      <c r="QLR59" s="64"/>
      <c r="QLS59" s="64"/>
      <c r="QLT59" s="64"/>
      <c r="QLU59" s="64"/>
      <c r="QLV59" s="64"/>
      <c r="QLW59" s="64"/>
      <c r="QLX59" s="64"/>
      <c r="QLY59" s="64"/>
      <c r="QLZ59" s="64"/>
      <c r="QMA59" s="64"/>
      <c r="QMB59" s="64"/>
      <c r="QMC59" s="64"/>
      <c r="QMD59" s="64"/>
      <c r="QME59" s="64"/>
      <c r="QMF59" s="64"/>
      <c r="QMG59" s="64"/>
      <c r="QMH59" s="64"/>
      <c r="QMI59" s="64"/>
      <c r="QMJ59" s="64"/>
      <c r="QMK59" s="64"/>
      <c r="QML59" s="64"/>
      <c r="QMM59" s="64"/>
      <c r="QMN59" s="64"/>
      <c r="QMO59" s="64"/>
      <c r="QMP59" s="64"/>
      <c r="QMQ59" s="64"/>
      <c r="QMR59" s="64"/>
      <c r="QMS59" s="64"/>
      <c r="QMT59" s="64"/>
      <c r="QMU59" s="64"/>
      <c r="QMV59" s="64"/>
      <c r="QMW59" s="64"/>
      <c r="QMX59" s="64"/>
      <c r="QMY59" s="64"/>
      <c r="QMZ59" s="64"/>
      <c r="QNA59" s="64"/>
      <c r="QNB59" s="64"/>
      <c r="QNC59" s="64"/>
      <c r="QND59" s="64"/>
      <c r="QNE59" s="64"/>
      <c r="QNF59" s="64"/>
      <c r="QNG59" s="64"/>
      <c r="QNH59" s="64"/>
      <c r="QNI59" s="64"/>
      <c r="QNJ59" s="64"/>
      <c r="QNK59" s="64"/>
      <c r="QNL59" s="64"/>
      <c r="QNM59" s="64"/>
      <c r="QNN59" s="64"/>
      <c r="QNO59" s="64"/>
      <c r="QNP59" s="64"/>
      <c r="QNQ59" s="64"/>
      <c r="QNR59" s="64"/>
      <c r="QNS59" s="64"/>
      <c r="QNT59" s="64"/>
      <c r="QNU59" s="64"/>
      <c r="QNV59" s="64"/>
      <c r="QNW59" s="64"/>
      <c r="QNX59" s="64"/>
      <c r="QNY59" s="64"/>
      <c r="QNZ59" s="64"/>
      <c r="QOA59" s="64"/>
      <c r="QOB59" s="64"/>
      <c r="QOC59" s="64"/>
      <c r="QOD59" s="64"/>
      <c r="QOE59" s="64"/>
      <c r="QOF59" s="64"/>
      <c r="QOG59" s="64"/>
      <c r="QOH59" s="64"/>
      <c r="QOI59" s="64"/>
      <c r="QOJ59" s="64"/>
      <c r="QOK59" s="64"/>
      <c r="QOL59" s="64"/>
      <c r="QOM59" s="64"/>
      <c r="QON59" s="64"/>
      <c r="QOO59" s="64"/>
      <c r="QOP59" s="64"/>
      <c r="QOQ59" s="64"/>
      <c r="QOR59" s="64"/>
      <c r="QOS59" s="64"/>
      <c r="QOT59" s="64"/>
      <c r="QOU59" s="64"/>
      <c r="QOV59" s="64"/>
      <c r="QOW59" s="64"/>
      <c r="QOX59" s="64"/>
      <c r="QOY59" s="64"/>
      <c r="QOZ59" s="64"/>
      <c r="QPA59" s="64"/>
      <c r="QPB59" s="64"/>
      <c r="QPC59" s="64"/>
      <c r="QPD59" s="64"/>
      <c r="QPE59" s="64"/>
      <c r="QPF59" s="64"/>
      <c r="QPG59" s="64"/>
      <c r="QPH59" s="64"/>
      <c r="QPI59" s="64"/>
      <c r="QPJ59" s="64"/>
      <c r="QPK59" s="64"/>
      <c r="QPL59" s="64"/>
      <c r="QPM59" s="64"/>
      <c r="QPN59" s="64"/>
      <c r="QPO59" s="64"/>
      <c r="QPP59" s="64"/>
      <c r="QPQ59" s="64"/>
      <c r="QPR59" s="64"/>
      <c r="QPS59" s="64"/>
      <c r="QPT59" s="64"/>
      <c r="QPU59" s="64"/>
      <c r="QPV59" s="64"/>
      <c r="QPW59" s="64"/>
      <c r="QPX59" s="64"/>
      <c r="QPY59" s="64"/>
      <c r="QPZ59" s="64"/>
      <c r="QQA59" s="64"/>
      <c r="QQB59" s="64"/>
      <c r="QQC59" s="64"/>
      <c r="QQD59" s="64"/>
      <c r="QQE59" s="64"/>
      <c r="QQF59" s="64"/>
      <c r="QQG59" s="64"/>
      <c r="QQH59" s="64"/>
      <c r="QQI59" s="64"/>
      <c r="QQJ59" s="64"/>
      <c r="QQK59" s="64"/>
      <c r="QQL59" s="64"/>
      <c r="QQM59" s="64"/>
      <c r="QQN59" s="64"/>
      <c r="QQO59" s="64"/>
      <c r="QQP59" s="64"/>
      <c r="QQQ59" s="64"/>
      <c r="QQR59" s="64"/>
      <c r="QQS59" s="64"/>
      <c r="QQT59" s="64"/>
      <c r="QQU59" s="64"/>
      <c r="QQV59" s="64"/>
      <c r="QQW59" s="64"/>
      <c r="QQX59" s="64"/>
      <c r="QQY59" s="64"/>
      <c r="QQZ59" s="64"/>
      <c r="QRA59" s="64"/>
      <c r="QRB59" s="64"/>
      <c r="QRC59" s="64"/>
      <c r="QRD59" s="64"/>
      <c r="QRE59" s="64"/>
      <c r="QRF59" s="64"/>
      <c r="QRG59" s="64"/>
      <c r="QRH59" s="64"/>
      <c r="QRI59" s="64"/>
      <c r="QRJ59" s="64"/>
      <c r="QRK59" s="64"/>
      <c r="QRL59" s="64"/>
      <c r="QRM59" s="64"/>
      <c r="QRN59" s="64"/>
      <c r="QRO59" s="64"/>
      <c r="QRP59" s="64"/>
      <c r="QRQ59" s="64"/>
      <c r="QRR59" s="64"/>
      <c r="QRS59" s="64"/>
      <c r="QRT59" s="64"/>
      <c r="QRU59" s="64"/>
      <c r="QRV59" s="64"/>
      <c r="QRW59" s="64"/>
      <c r="QRX59" s="64"/>
      <c r="QRY59" s="64"/>
      <c r="QRZ59" s="64"/>
      <c r="QSA59" s="64"/>
      <c r="QSB59" s="64"/>
      <c r="QSC59" s="64"/>
      <c r="QSD59" s="64"/>
      <c r="QSE59" s="64"/>
      <c r="QSF59" s="64"/>
      <c r="QSG59" s="64"/>
      <c r="QSH59" s="64"/>
      <c r="QSI59" s="64"/>
      <c r="QSJ59" s="64"/>
      <c r="QSK59" s="64"/>
      <c r="QSL59" s="64"/>
      <c r="QSM59" s="64"/>
      <c r="QSN59" s="64"/>
      <c r="QSO59" s="64"/>
      <c r="QSP59" s="64"/>
      <c r="QSQ59" s="64"/>
      <c r="QSR59" s="64"/>
      <c r="QSS59" s="64"/>
      <c r="QST59" s="64"/>
      <c r="QSU59" s="64"/>
      <c r="QSV59" s="64"/>
      <c r="QSW59" s="64"/>
      <c r="QSX59" s="64"/>
      <c r="QSY59" s="64"/>
      <c r="QSZ59" s="64"/>
      <c r="QTA59" s="64"/>
      <c r="QTB59" s="64"/>
      <c r="QTC59" s="64"/>
      <c r="QTD59" s="64"/>
      <c r="QTE59" s="64"/>
      <c r="QTF59" s="64"/>
      <c r="QTG59" s="64"/>
      <c r="QTH59" s="64"/>
      <c r="QTI59" s="64"/>
      <c r="QTJ59" s="64"/>
      <c r="QTK59" s="64"/>
      <c r="QTL59" s="64"/>
      <c r="QTM59" s="64"/>
      <c r="QTN59" s="64"/>
      <c r="QTO59" s="64"/>
      <c r="QTP59" s="64"/>
      <c r="QTQ59" s="64"/>
      <c r="QTR59" s="64"/>
      <c r="QTS59" s="64"/>
      <c r="QTT59" s="64"/>
      <c r="QTU59" s="64"/>
      <c r="QTV59" s="64"/>
      <c r="QTW59" s="64"/>
      <c r="QTX59" s="64"/>
      <c r="QTY59" s="64"/>
      <c r="QTZ59" s="64"/>
      <c r="QUA59" s="64"/>
      <c r="QUB59" s="64"/>
      <c r="QUC59" s="64"/>
      <c r="QUD59" s="64"/>
      <c r="QUE59" s="64"/>
      <c r="QUF59" s="64"/>
      <c r="QUG59" s="64"/>
      <c r="QUH59" s="64"/>
      <c r="QUI59" s="64"/>
      <c r="QUJ59" s="64"/>
      <c r="QUK59" s="64"/>
      <c r="QUL59" s="64"/>
      <c r="QUM59" s="64"/>
      <c r="QUN59" s="64"/>
      <c r="QUO59" s="64"/>
      <c r="QUP59" s="64"/>
      <c r="QUQ59" s="64"/>
      <c r="QUR59" s="64"/>
      <c r="QUS59" s="64"/>
      <c r="QUT59" s="64"/>
      <c r="QUU59" s="64"/>
      <c r="QUV59" s="64"/>
      <c r="QUW59" s="64"/>
      <c r="QUX59" s="64"/>
      <c r="QUY59" s="64"/>
      <c r="QUZ59" s="64"/>
      <c r="QVA59" s="64"/>
      <c r="QVB59" s="64"/>
      <c r="QVC59" s="64"/>
      <c r="QVD59" s="64"/>
      <c r="QVE59" s="64"/>
      <c r="QVF59" s="64"/>
      <c r="QVG59" s="64"/>
      <c r="QVH59" s="64"/>
      <c r="QVI59" s="64"/>
      <c r="QVJ59" s="64"/>
      <c r="QVK59" s="64"/>
      <c r="QVL59" s="64"/>
      <c r="QVM59" s="64"/>
      <c r="QVN59" s="64"/>
      <c r="QVO59" s="64"/>
      <c r="QVP59" s="64"/>
      <c r="QVQ59" s="64"/>
      <c r="QVR59" s="64"/>
      <c r="QVS59" s="64"/>
      <c r="QVT59" s="64"/>
      <c r="QVU59" s="64"/>
      <c r="QVV59" s="64"/>
      <c r="QVW59" s="64"/>
      <c r="QVX59" s="64"/>
      <c r="QVY59" s="64"/>
      <c r="QVZ59" s="64"/>
      <c r="QWA59" s="64"/>
      <c r="QWB59" s="64"/>
      <c r="QWC59" s="64"/>
      <c r="QWD59" s="64"/>
      <c r="QWE59" s="64"/>
      <c r="QWF59" s="64"/>
      <c r="QWG59" s="64"/>
      <c r="QWH59" s="64"/>
      <c r="QWI59" s="64"/>
      <c r="QWJ59" s="64"/>
      <c r="QWK59" s="64"/>
      <c r="QWL59" s="64"/>
      <c r="QWM59" s="64"/>
      <c r="QWN59" s="64"/>
      <c r="QWO59" s="64"/>
      <c r="QWP59" s="64"/>
      <c r="QWQ59" s="64"/>
      <c r="QWR59" s="64"/>
      <c r="QWS59" s="64"/>
      <c r="QWT59" s="64"/>
      <c r="QWU59" s="64"/>
      <c r="QWV59" s="64"/>
      <c r="QWW59" s="64"/>
      <c r="QWX59" s="64"/>
      <c r="QWY59" s="64"/>
      <c r="QWZ59" s="64"/>
      <c r="QXA59" s="64"/>
      <c r="QXB59" s="64"/>
      <c r="QXC59" s="64"/>
      <c r="QXD59" s="64"/>
      <c r="QXE59" s="64"/>
      <c r="QXF59" s="64"/>
      <c r="QXG59" s="64"/>
      <c r="QXH59" s="64"/>
      <c r="QXI59" s="64"/>
      <c r="QXJ59" s="64"/>
      <c r="QXK59" s="64"/>
      <c r="QXL59" s="64"/>
      <c r="QXM59" s="64"/>
      <c r="QXN59" s="64"/>
      <c r="QXO59" s="64"/>
      <c r="QXP59" s="64"/>
      <c r="QXQ59" s="64"/>
      <c r="QXR59" s="64"/>
      <c r="QXS59" s="64"/>
      <c r="QXT59" s="64"/>
      <c r="QXU59" s="64"/>
      <c r="QXV59" s="64"/>
      <c r="QXW59" s="64"/>
      <c r="QXX59" s="64"/>
      <c r="QXY59" s="64"/>
      <c r="QXZ59" s="64"/>
      <c r="QYA59" s="64"/>
      <c r="QYB59" s="64"/>
      <c r="QYC59" s="64"/>
      <c r="QYD59" s="64"/>
      <c r="QYE59" s="64"/>
      <c r="QYF59" s="64"/>
      <c r="QYG59" s="64"/>
      <c r="QYH59" s="64"/>
      <c r="QYI59" s="64"/>
      <c r="QYJ59" s="64"/>
      <c r="QYK59" s="64"/>
      <c r="QYL59" s="64"/>
      <c r="QYM59" s="64"/>
      <c r="QYN59" s="64"/>
      <c r="QYO59" s="64"/>
      <c r="QYP59" s="64"/>
      <c r="QYQ59" s="64"/>
      <c r="QYR59" s="64"/>
      <c r="QYS59" s="64"/>
      <c r="QYT59" s="64"/>
      <c r="QYU59" s="64"/>
      <c r="QYV59" s="64"/>
      <c r="QYW59" s="64"/>
      <c r="QYX59" s="64"/>
      <c r="QYY59" s="64"/>
      <c r="QYZ59" s="64"/>
      <c r="QZA59" s="64"/>
      <c r="QZB59" s="64"/>
      <c r="QZC59" s="64"/>
      <c r="QZD59" s="64"/>
      <c r="QZE59" s="64"/>
      <c r="QZF59" s="64"/>
      <c r="QZG59" s="64"/>
      <c r="QZH59" s="64"/>
      <c r="QZI59" s="64"/>
      <c r="QZJ59" s="64"/>
      <c r="QZK59" s="64"/>
      <c r="QZL59" s="64"/>
      <c r="QZM59" s="64"/>
      <c r="QZN59" s="64"/>
      <c r="QZO59" s="64"/>
      <c r="QZP59" s="64"/>
      <c r="QZQ59" s="64"/>
      <c r="QZR59" s="64"/>
      <c r="QZS59" s="64"/>
      <c r="QZT59" s="64"/>
      <c r="QZU59" s="64"/>
      <c r="QZV59" s="64"/>
      <c r="QZW59" s="64"/>
      <c r="QZX59" s="64"/>
      <c r="QZY59" s="64"/>
      <c r="QZZ59" s="64"/>
      <c r="RAA59" s="64"/>
      <c r="RAB59" s="64"/>
      <c r="RAC59" s="64"/>
      <c r="RAD59" s="64"/>
      <c r="RAE59" s="64"/>
      <c r="RAF59" s="64"/>
      <c r="RAG59" s="64"/>
      <c r="RAH59" s="64"/>
      <c r="RAI59" s="64"/>
      <c r="RAJ59" s="64"/>
      <c r="RAK59" s="64"/>
      <c r="RAL59" s="64"/>
      <c r="RAM59" s="64"/>
      <c r="RAN59" s="64"/>
      <c r="RAO59" s="64"/>
      <c r="RAP59" s="64"/>
      <c r="RAQ59" s="64"/>
      <c r="RAR59" s="64"/>
      <c r="RAS59" s="64"/>
      <c r="RAT59" s="64"/>
      <c r="RAU59" s="64"/>
      <c r="RAV59" s="64"/>
      <c r="RAW59" s="64"/>
      <c r="RAX59" s="64"/>
      <c r="RAY59" s="64"/>
      <c r="RAZ59" s="64"/>
      <c r="RBA59" s="64"/>
      <c r="RBB59" s="64"/>
      <c r="RBC59" s="64"/>
      <c r="RBD59" s="64"/>
      <c r="RBE59" s="64"/>
      <c r="RBF59" s="64"/>
      <c r="RBG59" s="64"/>
      <c r="RBH59" s="64"/>
      <c r="RBI59" s="64"/>
      <c r="RBJ59" s="64"/>
      <c r="RBK59" s="64"/>
      <c r="RBL59" s="64"/>
      <c r="RBM59" s="64"/>
      <c r="RBN59" s="64"/>
      <c r="RBO59" s="64"/>
      <c r="RBP59" s="64"/>
      <c r="RBQ59" s="64"/>
      <c r="RBR59" s="64"/>
      <c r="RBS59" s="64"/>
      <c r="RBT59" s="64"/>
      <c r="RBU59" s="64"/>
      <c r="RBV59" s="64"/>
      <c r="RBW59" s="64"/>
      <c r="RBX59" s="64"/>
      <c r="RBY59" s="64"/>
      <c r="RBZ59" s="64"/>
      <c r="RCA59" s="64"/>
      <c r="RCB59" s="64"/>
      <c r="RCC59" s="64"/>
      <c r="RCD59" s="64"/>
      <c r="RCE59" s="64"/>
      <c r="RCF59" s="64"/>
      <c r="RCG59" s="64"/>
      <c r="RCH59" s="64"/>
      <c r="RCI59" s="64"/>
      <c r="RCJ59" s="64"/>
      <c r="RCK59" s="64"/>
      <c r="RCL59" s="64"/>
      <c r="RCM59" s="64"/>
      <c r="RCN59" s="64"/>
      <c r="RCO59" s="64"/>
      <c r="RCP59" s="64"/>
      <c r="RCQ59" s="64"/>
      <c r="RCR59" s="64"/>
      <c r="RCS59" s="64"/>
      <c r="RCT59" s="64"/>
      <c r="RCU59" s="64"/>
      <c r="RCV59" s="64"/>
      <c r="RCW59" s="64"/>
      <c r="RCX59" s="64"/>
      <c r="RCY59" s="64"/>
      <c r="RCZ59" s="64"/>
      <c r="RDA59" s="64"/>
      <c r="RDB59" s="64"/>
      <c r="RDC59" s="64"/>
      <c r="RDD59" s="64"/>
      <c r="RDE59" s="64"/>
      <c r="RDF59" s="64"/>
      <c r="RDG59" s="64"/>
      <c r="RDH59" s="64"/>
      <c r="RDI59" s="64"/>
      <c r="RDJ59" s="64"/>
      <c r="RDK59" s="64"/>
      <c r="RDL59" s="64"/>
      <c r="RDM59" s="64"/>
      <c r="RDN59" s="64"/>
      <c r="RDO59" s="64"/>
      <c r="RDP59" s="64"/>
      <c r="RDQ59" s="64"/>
      <c r="RDR59" s="64"/>
      <c r="RDS59" s="64"/>
      <c r="RDT59" s="64"/>
      <c r="RDU59" s="64"/>
      <c r="RDV59" s="64"/>
      <c r="RDW59" s="64"/>
      <c r="RDX59" s="64"/>
      <c r="RDY59" s="64"/>
      <c r="RDZ59" s="64"/>
      <c r="REA59" s="64"/>
      <c r="REB59" s="64"/>
      <c r="REC59" s="64"/>
      <c r="RED59" s="64"/>
      <c r="REE59" s="64"/>
      <c r="REF59" s="64"/>
      <c r="REG59" s="64"/>
      <c r="REH59" s="64"/>
      <c r="REI59" s="64"/>
      <c r="REJ59" s="64"/>
      <c r="REK59" s="64"/>
      <c r="REL59" s="64"/>
      <c r="REM59" s="64"/>
      <c r="REN59" s="64"/>
      <c r="REO59" s="64"/>
      <c r="REP59" s="64"/>
      <c r="REQ59" s="64"/>
      <c r="RER59" s="64"/>
      <c r="RES59" s="64"/>
      <c r="RET59" s="64"/>
      <c r="REU59" s="64"/>
      <c r="REV59" s="64"/>
      <c r="REW59" s="64"/>
      <c r="REX59" s="64"/>
      <c r="REY59" s="64"/>
      <c r="REZ59" s="64"/>
      <c r="RFA59" s="64"/>
      <c r="RFB59" s="64"/>
      <c r="RFC59" s="64"/>
      <c r="RFD59" s="64"/>
      <c r="RFE59" s="64"/>
      <c r="RFF59" s="64"/>
      <c r="RFG59" s="64"/>
      <c r="RFH59" s="64"/>
      <c r="RFI59" s="64"/>
      <c r="RFJ59" s="64"/>
      <c r="RFK59" s="64"/>
      <c r="RFL59" s="64"/>
      <c r="RFM59" s="64"/>
      <c r="RFN59" s="64"/>
      <c r="RFO59" s="64"/>
      <c r="RFP59" s="64"/>
      <c r="RFQ59" s="64"/>
      <c r="RFR59" s="64"/>
      <c r="RFS59" s="64"/>
      <c r="RFT59" s="64"/>
      <c r="RFU59" s="64"/>
      <c r="RFV59" s="64"/>
      <c r="RFW59" s="64"/>
      <c r="RFX59" s="64"/>
      <c r="RFY59" s="64"/>
      <c r="RFZ59" s="64"/>
      <c r="RGA59" s="64"/>
      <c r="RGB59" s="64"/>
      <c r="RGC59" s="64"/>
      <c r="RGD59" s="64"/>
      <c r="RGE59" s="64"/>
      <c r="RGF59" s="64"/>
      <c r="RGG59" s="64"/>
      <c r="RGH59" s="64"/>
      <c r="RGI59" s="64"/>
      <c r="RGJ59" s="64"/>
      <c r="RGK59" s="64"/>
      <c r="RGL59" s="64"/>
      <c r="RGM59" s="64"/>
      <c r="RGN59" s="64"/>
      <c r="RGO59" s="64"/>
      <c r="RGP59" s="64"/>
      <c r="RGQ59" s="64"/>
      <c r="RGR59" s="64"/>
      <c r="RGS59" s="64"/>
      <c r="RGT59" s="64"/>
      <c r="RGU59" s="64"/>
      <c r="RGV59" s="64"/>
      <c r="RGW59" s="64"/>
      <c r="RGX59" s="64"/>
      <c r="RGY59" s="64"/>
      <c r="RGZ59" s="64"/>
      <c r="RHA59" s="64"/>
      <c r="RHB59" s="64"/>
      <c r="RHC59" s="64"/>
      <c r="RHD59" s="64"/>
      <c r="RHE59" s="64"/>
      <c r="RHF59" s="64"/>
      <c r="RHG59" s="64"/>
      <c r="RHH59" s="64"/>
      <c r="RHI59" s="64"/>
      <c r="RHJ59" s="64"/>
      <c r="RHK59" s="64"/>
      <c r="RHL59" s="64"/>
      <c r="RHM59" s="64"/>
      <c r="RHN59" s="64"/>
      <c r="RHO59" s="64"/>
      <c r="RHP59" s="64"/>
      <c r="RHQ59" s="64"/>
      <c r="RHR59" s="64"/>
      <c r="RHS59" s="64"/>
      <c r="RHT59" s="64"/>
      <c r="RHU59" s="64"/>
      <c r="RHV59" s="64"/>
      <c r="RHW59" s="64"/>
      <c r="RHX59" s="64"/>
      <c r="RHY59" s="64"/>
      <c r="RHZ59" s="64"/>
      <c r="RIA59" s="64"/>
      <c r="RIB59" s="64"/>
      <c r="RIC59" s="64"/>
      <c r="RID59" s="64"/>
      <c r="RIE59" s="64"/>
      <c r="RIF59" s="64"/>
      <c r="RIG59" s="64"/>
      <c r="RIH59" s="64"/>
      <c r="RII59" s="64"/>
      <c r="RIJ59" s="64"/>
      <c r="RIK59" s="64"/>
      <c r="RIL59" s="64"/>
      <c r="RIM59" s="64"/>
      <c r="RIN59" s="64"/>
      <c r="RIO59" s="64"/>
      <c r="RIP59" s="64"/>
      <c r="RIQ59" s="64"/>
      <c r="RIR59" s="64"/>
      <c r="RIS59" s="64"/>
      <c r="RIT59" s="64"/>
      <c r="RIU59" s="64"/>
      <c r="RIV59" s="64"/>
      <c r="RIW59" s="64"/>
      <c r="RIX59" s="64"/>
      <c r="RIY59" s="64"/>
      <c r="RIZ59" s="64"/>
      <c r="RJA59" s="64"/>
      <c r="RJB59" s="64"/>
      <c r="RJC59" s="64"/>
      <c r="RJD59" s="64"/>
      <c r="RJE59" s="64"/>
      <c r="RJF59" s="64"/>
      <c r="RJG59" s="64"/>
      <c r="RJH59" s="64"/>
      <c r="RJI59" s="64"/>
      <c r="RJJ59" s="64"/>
      <c r="RJK59" s="64"/>
      <c r="RJL59" s="64"/>
      <c r="RJM59" s="64"/>
      <c r="RJN59" s="64"/>
      <c r="RJO59" s="64"/>
      <c r="RJP59" s="64"/>
      <c r="RJQ59" s="64"/>
      <c r="RJR59" s="64"/>
      <c r="RJS59" s="64"/>
      <c r="RJT59" s="64"/>
      <c r="RJU59" s="64"/>
      <c r="RJV59" s="64"/>
      <c r="RJW59" s="64"/>
      <c r="RJX59" s="64"/>
      <c r="RJY59" s="64"/>
      <c r="RJZ59" s="64"/>
      <c r="RKA59" s="64"/>
      <c r="RKB59" s="64"/>
      <c r="RKC59" s="64"/>
      <c r="RKD59" s="64"/>
      <c r="RKE59" s="64"/>
      <c r="RKF59" s="64"/>
      <c r="RKG59" s="64"/>
      <c r="RKH59" s="64"/>
      <c r="RKI59" s="64"/>
      <c r="RKJ59" s="64"/>
      <c r="RKK59" s="64"/>
      <c r="RKL59" s="64"/>
      <c r="RKM59" s="64"/>
      <c r="RKN59" s="64"/>
      <c r="RKO59" s="64"/>
      <c r="RKP59" s="64"/>
      <c r="RKQ59" s="64"/>
      <c r="RKR59" s="64"/>
      <c r="RKS59" s="64"/>
      <c r="RKT59" s="64"/>
      <c r="RKU59" s="64"/>
      <c r="RKV59" s="64"/>
      <c r="RKW59" s="64"/>
      <c r="RKX59" s="64"/>
      <c r="RKY59" s="64"/>
      <c r="RKZ59" s="64"/>
      <c r="RLA59" s="64"/>
      <c r="RLB59" s="64"/>
      <c r="RLC59" s="64"/>
      <c r="RLD59" s="64"/>
      <c r="RLE59" s="64"/>
      <c r="RLF59" s="64"/>
      <c r="RLG59" s="64"/>
      <c r="RLH59" s="64"/>
      <c r="RLI59" s="64"/>
      <c r="RLJ59" s="64"/>
      <c r="RLK59" s="64"/>
      <c r="RLL59" s="64"/>
      <c r="RLM59" s="64"/>
      <c r="RLN59" s="64"/>
      <c r="RLO59" s="64"/>
      <c r="RLP59" s="64"/>
      <c r="RLQ59" s="64"/>
      <c r="RLR59" s="64"/>
      <c r="RLS59" s="64"/>
      <c r="RLT59" s="64"/>
      <c r="RLU59" s="64"/>
      <c r="RLV59" s="64"/>
      <c r="RLW59" s="64"/>
      <c r="RLX59" s="64"/>
      <c r="RLY59" s="64"/>
      <c r="RLZ59" s="64"/>
      <c r="RMA59" s="64"/>
      <c r="RMB59" s="64"/>
      <c r="RMC59" s="64"/>
      <c r="RMD59" s="64"/>
      <c r="RME59" s="64"/>
      <c r="RMF59" s="64"/>
      <c r="RMG59" s="64"/>
      <c r="RMH59" s="64"/>
      <c r="RMI59" s="64"/>
      <c r="RMJ59" s="64"/>
      <c r="RMK59" s="64"/>
      <c r="RML59" s="64"/>
      <c r="RMM59" s="64"/>
      <c r="RMN59" s="64"/>
      <c r="RMO59" s="64"/>
      <c r="RMP59" s="64"/>
      <c r="RMQ59" s="64"/>
      <c r="RMR59" s="64"/>
      <c r="RMS59" s="64"/>
      <c r="RMT59" s="64"/>
      <c r="RMU59" s="64"/>
      <c r="RMV59" s="64"/>
      <c r="RMW59" s="64"/>
      <c r="RMX59" s="64"/>
      <c r="RMY59" s="64"/>
      <c r="RMZ59" s="64"/>
      <c r="RNA59" s="64"/>
      <c r="RNB59" s="64"/>
      <c r="RNC59" s="64"/>
      <c r="RND59" s="64"/>
      <c r="RNE59" s="64"/>
      <c r="RNF59" s="64"/>
      <c r="RNG59" s="64"/>
      <c r="RNH59" s="64"/>
      <c r="RNI59" s="64"/>
      <c r="RNJ59" s="64"/>
      <c r="RNK59" s="64"/>
      <c r="RNL59" s="64"/>
      <c r="RNM59" s="64"/>
      <c r="RNN59" s="64"/>
      <c r="RNO59" s="64"/>
      <c r="RNP59" s="64"/>
      <c r="RNQ59" s="64"/>
      <c r="RNR59" s="64"/>
      <c r="RNS59" s="64"/>
      <c r="RNT59" s="64"/>
      <c r="RNU59" s="64"/>
      <c r="RNV59" s="64"/>
      <c r="RNW59" s="64"/>
      <c r="RNX59" s="64"/>
      <c r="RNY59" s="64"/>
      <c r="RNZ59" s="64"/>
      <c r="ROA59" s="64"/>
      <c r="ROB59" s="64"/>
      <c r="ROC59" s="64"/>
      <c r="ROD59" s="64"/>
      <c r="ROE59" s="64"/>
      <c r="ROF59" s="64"/>
      <c r="ROG59" s="64"/>
      <c r="ROH59" s="64"/>
      <c r="ROI59" s="64"/>
      <c r="ROJ59" s="64"/>
      <c r="ROK59" s="64"/>
      <c r="ROL59" s="64"/>
      <c r="ROM59" s="64"/>
      <c r="RON59" s="64"/>
      <c r="ROO59" s="64"/>
      <c r="ROP59" s="64"/>
      <c r="ROQ59" s="64"/>
      <c r="ROR59" s="64"/>
      <c r="ROS59" s="64"/>
      <c r="ROT59" s="64"/>
      <c r="ROU59" s="64"/>
      <c r="ROV59" s="64"/>
      <c r="ROW59" s="64"/>
      <c r="ROX59" s="64"/>
      <c r="ROY59" s="64"/>
      <c r="ROZ59" s="64"/>
      <c r="RPA59" s="64"/>
      <c r="RPB59" s="64"/>
      <c r="RPC59" s="64"/>
      <c r="RPD59" s="64"/>
      <c r="RPE59" s="64"/>
      <c r="RPF59" s="64"/>
      <c r="RPG59" s="64"/>
      <c r="RPH59" s="64"/>
      <c r="RPI59" s="64"/>
      <c r="RPJ59" s="64"/>
      <c r="RPK59" s="64"/>
      <c r="RPL59" s="64"/>
      <c r="RPM59" s="64"/>
      <c r="RPN59" s="64"/>
      <c r="RPO59" s="64"/>
      <c r="RPP59" s="64"/>
      <c r="RPQ59" s="64"/>
      <c r="RPR59" s="64"/>
      <c r="RPS59" s="64"/>
      <c r="RPT59" s="64"/>
      <c r="RPU59" s="64"/>
      <c r="RPV59" s="64"/>
      <c r="RPW59" s="64"/>
      <c r="RPX59" s="64"/>
      <c r="RPY59" s="64"/>
      <c r="RPZ59" s="64"/>
      <c r="RQA59" s="64"/>
      <c r="RQB59" s="64"/>
      <c r="RQC59" s="64"/>
      <c r="RQD59" s="64"/>
      <c r="RQE59" s="64"/>
      <c r="RQF59" s="64"/>
      <c r="RQG59" s="64"/>
      <c r="RQH59" s="64"/>
      <c r="RQI59" s="64"/>
      <c r="RQJ59" s="64"/>
      <c r="RQK59" s="64"/>
      <c r="RQL59" s="64"/>
      <c r="RQM59" s="64"/>
      <c r="RQN59" s="64"/>
      <c r="RQO59" s="64"/>
      <c r="RQP59" s="64"/>
      <c r="RQQ59" s="64"/>
      <c r="RQR59" s="64"/>
      <c r="RQS59" s="64"/>
      <c r="RQT59" s="64"/>
      <c r="RQU59" s="64"/>
      <c r="RQV59" s="64"/>
      <c r="RQW59" s="64"/>
      <c r="RQX59" s="64"/>
      <c r="RQY59" s="64"/>
      <c r="RQZ59" s="64"/>
      <c r="RRA59" s="64"/>
      <c r="RRB59" s="64"/>
      <c r="RRC59" s="64"/>
      <c r="RRD59" s="64"/>
      <c r="RRE59" s="64"/>
      <c r="RRF59" s="64"/>
      <c r="RRG59" s="64"/>
      <c r="RRH59" s="64"/>
      <c r="RRI59" s="64"/>
      <c r="RRJ59" s="64"/>
      <c r="RRK59" s="64"/>
      <c r="RRL59" s="64"/>
      <c r="RRM59" s="64"/>
      <c r="RRN59" s="64"/>
      <c r="RRO59" s="64"/>
      <c r="RRP59" s="64"/>
      <c r="RRQ59" s="64"/>
      <c r="RRR59" s="64"/>
      <c r="RRS59" s="64"/>
      <c r="RRT59" s="64"/>
      <c r="RRU59" s="64"/>
      <c r="RRV59" s="64"/>
      <c r="RRW59" s="64"/>
      <c r="RRX59" s="64"/>
      <c r="RRY59" s="64"/>
      <c r="RRZ59" s="64"/>
      <c r="RSA59" s="64"/>
      <c r="RSB59" s="64"/>
      <c r="RSC59" s="64"/>
      <c r="RSD59" s="64"/>
      <c r="RSE59" s="64"/>
      <c r="RSF59" s="64"/>
      <c r="RSG59" s="64"/>
      <c r="RSH59" s="64"/>
      <c r="RSI59" s="64"/>
      <c r="RSJ59" s="64"/>
      <c r="RSK59" s="64"/>
      <c r="RSL59" s="64"/>
      <c r="RSM59" s="64"/>
      <c r="RSN59" s="64"/>
      <c r="RSO59" s="64"/>
      <c r="RSP59" s="64"/>
      <c r="RSQ59" s="64"/>
      <c r="RSR59" s="64"/>
      <c r="RSS59" s="64"/>
      <c r="RST59" s="64"/>
      <c r="RSU59" s="64"/>
      <c r="RSV59" s="64"/>
      <c r="RSW59" s="64"/>
      <c r="RSX59" s="64"/>
      <c r="RSY59" s="64"/>
      <c r="RSZ59" s="64"/>
      <c r="RTA59" s="64"/>
      <c r="RTB59" s="64"/>
      <c r="RTC59" s="64"/>
      <c r="RTD59" s="64"/>
      <c r="RTE59" s="64"/>
      <c r="RTF59" s="64"/>
      <c r="RTG59" s="64"/>
      <c r="RTH59" s="64"/>
      <c r="RTI59" s="64"/>
      <c r="RTJ59" s="64"/>
      <c r="RTK59" s="64"/>
      <c r="RTL59" s="64"/>
      <c r="RTM59" s="64"/>
      <c r="RTN59" s="64"/>
      <c r="RTO59" s="64"/>
      <c r="RTP59" s="64"/>
      <c r="RTQ59" s="64"/>
      <c r="RTR59" s="64"/>
      <c r="RTS59" s="64"/>
      <c r="RTT59" s="64"/>
      <c r="RTU59" s="64"/>
      <c r="RTV59" s="64"/>
      <c r="RTW59" s="64"/>
      <c r="RTX59" s="64"/>
      <c r="RTY59" s="64"/>
      <c r="RTZ59" s="64"/>
      <c r="RUA59" s="64"/>
      <c r="RUB59" s="64"/>
      <c r="RUC59" s="64"/>
      <c r="RUD59" s="64"/>
      <c r="RUE59" s="64"/>
      <c r="RUF59" s="64"/>
      <c r="RUG59" s="64"/>
      <c r="RUH59" s="64"/>
      <c r="RUI59" s="64"/>
      <c r="RUJ59" s="64"/>
      <c r="RUK59" s="64"/>
      <c r="RUL59" s="64"/>
      <c r="RUM59" s="64"/>
      <c r="RUN59" s="64"/>
      <c r="RUO59" s="64"/>
      <c r="RUP59" s="64"/>
      <c r="RUQ59" s="64"/>
      <c r="RUR59" s="64"/>
      <c r="RUS59" s="64"/>
      <c r="RUT59" s="64"/>
      <c r="RUU59" s="64"/>
      <c r="RUV59" s="64"/>
      <c r="RUW59" s="64"/>
      <c r="RUX59" s="64"/>
      <c r="RUY59" s="64"/>
      <c r="RUZ59" s="64"/>
      <c r="RVA59" s="64"/>
      <c r="RVB59" s="64"/>
      <c r="RVC59" s="64"/>
      <c r="RVD59" s="64"/>
      <c r="RVE59" s="64"/>
      <c r="RVF59" s="64"/>
      <c r="RVG59" s="64"/>
      <c r="RVH59" s="64"/>
      <c r="RVI59" s="64"/>
      <c r="RVJ59" s="64"/>
      <c r="RVK59" s="64"/>
      <c r="RVL59" s="64"/>
      <c r="RVM59" s="64"/>
      <c r="RVN59" s="64"/>
      <c r="RVO59" s="64"/>
      <c r="RVP59" s="64"/>
      <c r="RVQ59" s="64"/>
      <c r="RVR59" s="64"/>
      <c r="RVS59" s="64"/>
      <c r="RVT59" s="64"/>
      <c r="RVU59" s="64"/>
      <c r="RVV59" s="64"/>
      <c r="RVW59" s="64"/>
      <c r="RVX59" s="64"/>
      <c r="RVY59" s="64"/>
      <c r="RVZ59" s="64"/>
      <c r="RWA59" s="64"/>
      <c r="RWB59" s="64"/>
      <c r="RWC59" s="64"/>
      <c r="RWD59" s="64"/>
      <c r="RWE59" s="64"/>
      <c r="RWF59" s="64"/>
      <c r="RWG59" s="64"/>
      <c r="RWH59" s="64"/>
      <c r="RWI59" s="64"/>
      <c r="RWJ59" s="64"/>
      <c r="RWK59" s="64"/>
      <c r="RWL59" s="64"/>
      <c r="RWM59" s="64"/>
      <c r="RWN59" s="64"/>
      <c r="RWO59" s="64"/>
      <c r="RWP59" s="64"/>
      <c r="RWQ59" s="64"/>
      <c r="RWR59" s="64"/>
      <c r="RWS59" s="64"/>
      <c r="RWT59" s="64"/>
      <c r="RWU59" s="64"/>
      <c r="RWV59" s="64"/>
      <c r="RWW59" s="64"/>
      <c r="RWX59" s="64"/>
      <c r="RWY59" s="64"/>
      <c r="RWZ59" s="64"/>
      <c r="RXA59" s="64"/>
      <c r="RXB59" s="64"/>
      <c r="RXC59" s="64"/>
      <c r="RXD59" s="64"/>
      <c r="RXE59" s="64"/>
      <c r="RXF59" s="64"/>
      <c r="RXG59" s="64"/>
      <c r="RXH59" s="64"/>
      <c r="RXI59" s="64"/>
      <c r="RXJ59" s="64"/>
      <c r="RXK59" s="64"/>
      <c r="RXL59" s="64"/>
      <c r="RXM59" s="64"/>
      <c r="RXN59" s="64"/>
      <c r="RXO59" s="64"/>
      <c r="RXP59" s="64"/>
      <c r="RXQ59" s="64"/>
      <c r="RXR59" s="64"/>
      <c r="RXS59" s="64"/>
      <c r="RXT59" s="64"/>
      <c r="RXU59" s="64"/>
      <c r="RXV59" s="64"/>
      <c r="RXW59" s="64"/>
      <c r="RXX59" s="64"/>
      <c r="RXY59" s="64"/>
      <c r="RXZ59" s="64"/>
      <c r="RYA59" s="64"/>
      <c r="RYB59" s="64"/>
      <c r="RYC59" s="64"/>
      <c r="RYD59" s="64"/>
      <c r="RYE59" s="64"/>
      <c r="RYF59" s="64"/>
      <c r="RYG59" s="64"/>
      <c r="RYH59" s="64"/>
      <c r="RYI59" s="64"/>
      <c r="RYJ59" s="64"/>
      <c r="RYK59" s="64"/>
      <c r="RYL59" s="64"/>
      <c r="RYM59" s="64"/>
      <c r="RYN59" s="64"/>
      <c r="RYO59" s="64"/>
      <c r="RYP59" s="64"/>
      <c r="RYQ59" s="64"/>
      <c r="RYR59" s="64"/>
      <c r="RYS59" s="64"/>
      <c r="RYT59" s="64"/>
      <c r="RYU59" s="64"/>
      <c r="RYV59" s="64"/>
      <c r="RYW59" s="64"/>
      <c r="RYX59" s="64"/>
      <c r="RYY59" s="64"/>
      <c r="RYZ59" s="64"/>
      <c r="RZA59" s="64"/>
      <c r="RZB59" s="64"/>
      <c r="RZC59" s="64"/>
      <c r="RZD59" s="64"/>
      <c r="RZE59" s="64"/>
      <c r="RZF59" s="64"/>
      <c r="RZG59" s="64"/>
      <c r="RZH59" s="64"/>
      <c r="RZI59" s="64"/>
      <c r="RZJ59" s="64"/>
      <c r="RZK59" s="64"/>
      <c r="RZL59" s="64"/>
      <c r="RZM59" s="64"/>
      <c r="RZN59" s="64"/>
      <c r="RZO59" s="64"/>
      <c r="RZP59" s="64"/>
      <c r="RZQ59" s="64"/>
      <c r="RZR59" s="64"/>
      <c r="RZS59" s="64"/>
      <c r="RZT59" s="64"/>
      <c r="RZU59" s="64"/>
      <c r="RZV59" s="64"/>
      <c r="RZW59" s="64"/>
      <c r="RZX59" s="64"/>
      <c r="RZY59" s="64"/>
      <c r="RZZ59" s="64"/>
      <c r="SAA59" s="64"/>
      <c r="SAB59" s="64"/>
      <c r="SAC59" s="64"/>
      <c r="SAD59" s="64"/>
      <c r="SAE59" s="64"/>
      <c r="SAF59" s="64"/>
      <c r="SAG59" s="64"/>
      <c r="SAH59" s="64"/>
      <c r="SAI59" s="64"/>
      <c r="SAJ59" s="64"/>
      <c r="SAK59" s="64"/>
      <c r="SAL59" s="64"/>
      <c r="SAM59" s="64"/>
      <c r="SAN59" s="64"/>
      <c r="SAO59" s="64"/>
      <c r="SAP59" s="64"/>
      <c r="SAQ59" s="64"/>
      <c r="SAR59" s="64"/>
      <c r="SAS59" s="64"/>
      <c r="SAT59" s="64"/>
      <c r="SAU59" s="64"/>
      <c r="SAV59" s="64"/>
      <c r="SAW59" s="64"/>
      <c r="SAX59" s="64"/>
      <c r="SAY59" s="64"/>
      <c r="SAZ59" s="64"/>
      <c r="SBA59" s="64"/>
      <c r="SBB59" s="64"/>
      <c r="SBC59" s="64"/>
      <c r="SBD59" s="64"/>
      <c r="SBE59" s="64"/>
      <c r="SBF59" s="64"/>
      <c r="SBG59" s="64"/>
      <c r="SBH59" s="64"/>
      <c r="SBI59" s="64"/>
      <c r="SBJ59" s="64"/>
      <c r="SBK59" s="64"/>
      <c r="SBL59" s="64"/>
      <c r="SBM59" s="64"/>
      <c r="SBN59" s="64"/>
      <c r="SBO59" s="64"/>
      <c r="SBP59" s="64"/>
      <c r="SBQ59" s="64"/>
      <c r="SBR59" s="64"/>
      <c r="SBS59" s="64"/>
      <c r="SBT59" s="64"/>
      <c r="SBU59" s="64"/>
      <c r="SBV59" s="64"/>
      <c r="SBW59" s="64"/>
      <c r="SBX59" s="64"/>
      <c r="SBY59" s="64"/>
      <c r="SBZ59" s="64"/>
      <c r="SCA59" s="64"/>
      <c r="SCB59" s="64"/>
      <c r="SCC59" s="64"/>
      <c r="SCD59" s="64"/>
      <c r="SCE59" s="64"/>
      <c r="SCF59" s="64"/>
      <c r="SCG59" s="64"/>
      <c r="SCH59" s="64"/>
      <c r="SCI59" s="64"/>
      <c r="SCJ59" s="64"/>
      <c r="SCK59" s="64"/>
      <c r="SCL59" s="64"/>
      <c r="SCM59" s="64"/>
      <c r="SCN59" s="64"/>
      <c r="SCO59" s="64"/>
      <c r="SCP59" s="64"/>
      <c r="SCQ59" s="64"/>
      <c r="SCR59" s="64"/>
      <c r="SCS59" s="64"/>
      <c r="SCT59" s="64"/>
      <c r="SCU59" s="64"/>
      <c r="SCV59" s="64"/>
      <c r="SCW59" s="64"/>
      <c r="SCX59" s="64"/>
      <c r="SCY59" s="64"/>
      <c r="SCZ59" s="64"/>
      <c r="SDA59" s="64"/>
      <c r="SDB59" s="64"/>
      <c r="SDC59" s="64"/>
      <c r="SDD59" s="64"/>
      <c r="SDE59" s="64"/>
      <c r="SDF59" s="64"/>
      <c r="SDG59" s="64"/>
      <c r="SDH59" s="64"/>
      <c r="SDI59" s="64"/>
      <c r="SDJ59" s="64"/>
      <c r="SDK59" s="64"/>
      <c r="SDL59" s="64"/>
      <c r="SDM59" s="64"/>
      <c r="SDN59" s="64"/>
      <c r="SDO59" s="64"/>
      <c r="SDP59" s="64"/>
      <c r="SDQ59" s="64"/>
      <c r="SDR59" s="64"/>
      <c r="SDS59" s="64"/>
      <c r="SDT59" s="64"/>
      <c r="SDU59" s="64"/>
      <c r="SDV59" s="64"/>
      <c r="SDW59" s="64"/>
      <c r="SDX59" s="64"/>
      <c r="SDY59" s="64"/>
      <c r="SDZ59" s="64"/>
      <c r="SEA59" s="64"/>
      <c r="SEB59" s="64"/>
      <c r="SEC59" s="64"/>
      <c r="SED59" s="64"/>
      <c r="SEE59" s="64"/>
      <c r="SEF59" s="64"/>
      <c r="SEG59" s="64"/>
      <c r="SEH59" s="64"/>
      <c r="SEI59" s="64"/>
      <c r="SEJ59" s="64"/>
      <c r="SEK59" s="64"/>
      <c r="SEL59" s="64"/>
      <c r="SEM59" s="64"/>
      <c r="SEN59" s="64"/>
      <c r="SEO59" s="64"/>
      <c r="SEP59" s="64"/>
      <c r="SEQ59" s="64"/>
      <c r="SER59" s="64"/>
      <c r="SES59" s="64"/>
      <c r="SET59" s="64"/>
      <c r="SEU59" s="64"/>
      <c r="SEV59" s="64"/>
      <c r="SEW59" s="64"/>
      <c r="SEX59" s="64"/>
      <c r="SEY59" s="64"/>
      <c r="SEZ59" s="64"/>
      <c r="SFA59" s="64"/>
      <c r="SFB59" s="64"/>
      <c r="SFC59" s="64"/>
      <c r="SFD59" s="64"/>
      <c r="SFE59" s="64"/>
      <c r="SFF59" s="64"/>
      <c r="SFG59" s="64"/>
      <c r="SFH59" s="64"/>
      <c r="SFI59" s="64"/>
      <c r="SFJ59" s="64"/>
      <c r="SFK59" s="64"/>
      <c r="SFL59" s="64"/>
      <c r="SFM59" s="64"/>
      <c r="SFN59" s="64"/>
      <c r="SFO59" s="64"/>
      <c r="SFP59" s="64"/>
      <c r="SFQ59" s="64"/>
      <c r="SFR59" s="64"/>
      <c r="SFS59" s="64"/>
      <c r="SFT59" s="64"/>
      <c r="SFU59" s="64"/>
      <c r="SFV59" s="64"/>
      <c r="SFW59" s="64"/>
      <c r="SFX59" s="64"/>
      <c r="SFY59" s="64"/>
      <c r="SFZ59" s="64"/>
      <c r="SGA59" s="64"/>
      <c r="SGB59" s="64"/>
      <c r="SGC59" s="64"/>
      <c r="SGD59" s="64"/>
      <c r="SGE59" s="64"/>
      <c r="SGF59" s="64"/>
      <c r="SGG59" s="64"/>
      <c r="SGH59" s="64"/>
      <c r="SGI59" s="64"/>
      <c r="SGJ59" s="64"/>
      <c r="SGK59" s="64"/>
      <c r="SGL59" s="64"/>
      <c r="SGM59" s="64"/>
      <c r="SGN59" s="64"/>
      <c r="SGO59" s="64"/>
      <c r="SGP59" s="64"/>
      <c r="SGQ59" s="64"/>
      <c r="SGR59" s="64"/>
      <c r="SGS59" s="64"/>
      <c r="SGT59" s="64"/>
      <c r="SGU59" s="64"/>
      <c r="SGV59" s="64"/>
      <c r="SGW59" s="64"/>
      <c r="SGX59" s="64"/>
      <c r="SGY59" s="64"/>
      <c r="SGZ59" s="64"/>
      <c r="SHA59" s="64"/>
      <c r="SHB59" s="64"/>
      <c r="SHC59" s="64"/>
      <c r="SHD59" s="64"/>
      <c r="SHE59" s="64"/>
      <c r="SHF59" s="64"/>
      <c r="SHG59" s="64"/>
      <c r="SHH59" s="64"/>
      <c r="SHI59" s="64"/>
      <c r="SHJ59" s="64"/>
      <c r="SHK59" s="64"/>
      <c r="SHL59" s="64"/>
      <c r="SHM59" s="64"/>
      <c r="SHN59" s="64"/>
      <c r="SHO59" s="64"/>
      <c r="SHP59" s="64"/>
      <c r="SHQ59" s="64"/>
      <c r="SHR59" s="64"/>
      <c r="SHS59" s="64"/>
      <c r="SHT59" s="64"/>
      <c r="SHU59" s="64"/>
      <c r="SHV59" s="64"/>
      <c r="SHW59" s="64"/>
      <c r="SHX59" s="64"/>
      <c r="SHY59" s="64"/>
      <c r="SHZ59" s="64"/>
      <c r="SIA59" s="64"/>
      <c r="SIB59" s="64"/>
      <c r="SIC59" s="64"/>
      <c r="SID59" s="64"/>
      <c r="SIE59" s="64"/>
      <c r="SIF59" s="64"/>
      <c r="SIG59" s="64"/>
      <c r="SIH59" s="64"/>
      <c r="SII59" s="64"/>
      <c r="SIJ59" s="64"/>
      <c r="SIK59" s="64"/>
      <c r="SIL59" s="64"/>
      <c r="SIM59" s="64"/>
      <c r="SIN59" s="64"/>
      <c r="SIO59" s="64"/>
      <c r="SIP59" s="64"/>
      <c r="SIQ59" s="64"/>
      <c r="SIR59" s="64"/>
      <c r="SIS59" s="64"/>
      <c r="SIT59" s="64"/>
      <c r="SIU59" s="64"/>
      <c r="SIV59" s="64"/>
      <c r="SIW59" s="64"/>
      <c r="SIX59" s="64"/>
      <c r="SIY59" s="64"/>
      <c r="SIZ59" s="64"/>
      <c r="SJA59" s="64"/>
      <c r="SJB59" s="64"/>
      <c r="SJC59" s="64"/>
      <c r="SJD59" s="64"/>
      <c r="SJE59" s="64"/>
      <c r="SJF59" s="64"/>
      <c r="SJG59" s="64"/>
      <c r="SJH59" s="64"/>
      <c r="SJI59" s="64"/>
      <c r="SJJ59" s="64"/>
      <c r="SJK59" s="64"/>
      <c r="SJL59" s="64"/>
      <c r="SJM59" s="64"/>
      <c r="SJN59" s="64"/>
      <c r="SJO59" s="64"/>
      <c r="SJP59" s="64"/>
      <c r="SJQ59" s="64"/>
      <c r="SJR59" s="64"/>
      <c r="SJS59" s="64"/>
      <c r="SJT59" s="64"/>
      <c r="SJU59" s="64"/>
      <c r="SJV59" s="64"/>
      <c r="SJW59" s="64"/>
      <c r="SJX59" s="64"/>
      <c r="SJY59" s="64"/>
      <c r="SJZ59" s="64"/>
      <c r="SKA59" s="64"/>
      <c r="SKB59" s="64"/>
      <c r="SKC59" s="64"/>
      <c r="SKD59" s="64"/>
      <c r="SKE59" s="64"/>
      <c r="SKF59" s="64"/>
      <c r="SKG59" s="64"/>
      <c r="SKH59" s="64"/>
      <c r="SKI59" s="64"/>
      <c r="SKJ59" s="64"/>
      <c r="SKK59" s="64"/>
      <c r="SKL59" s="64"/>
      <c r="SKM59" s="64"/>
      <c r="SKN59" s="64"/>
      <c r="SKO59" s="64"/>
      <c r="SKP59" s="64"/>
      <c r="SKQ59" s="64"/>
      <c r="SKR59" s="64"/>
      <c r="SKS59" s="64"/>
      <c r="SKT59" s="64"/>
      <c r="SKU59" s="64"/>
      <c r="SKV59" s="64"/>
      <c r="SKW59" s="64"/>
      <c r="SKX59" s="64"/>
      <c r="SKY59" s="64"/>
      <c r="SKZ59" s="64"/>
      <c r="SLA59" s="64"/>
      <c r="SLB59" s="64"/>
      <c r="SLC59" s="64"/>
      <c r="SLD59" s="64"/>
      <c r="SLE59" s="64"/>
      <c r="SLF59" s="64"/>
      <c r="SLG59" s="64"/>
      <c r="SLH59" s="64"/>
      <c r="SLI59" s="64"/>
      <c r="SLJ59" s="64"/>
      <c r="SLK59" s="64"/>
      <c r="SLL59" s="64"/>
      <c r="SLM59" s="64"/>
      <c r="SLN59" s="64"/>
      <c r="SLO59" s="64"/>
      <c r="SLP59" s="64"/>
      <c r="SLQ59" s="64"/>
      <c r="SLR59" s="64"/>
      <c r="SLS59" s="64"/>
      <c r="SLT59" s="64"/>
      <c r="SLU59" s="64"/>
      <c r="SLV59" s="64"/>
      <c r="SLW59" s="64"/>
      <c r="SLX59" s="64"/>
      <c r="SLY59" s="64"/>
      <c r="SLZ59" s="64"/>
      <c r="SMA59" s="64"/>
      <c r="SMB59" s="64"/>
      <c r="SMC59" s="64"/>
      <c r="SMD59" s="64"/>
      <c r="SME59" s="64"/>
      <c r="SMF59" s="64"/>
      <c r="SMG59" s="64"/>
      <c r="SMH59" s="64"/>
      <c r="SMI59" s="64"/>
      <c r="SMJ59" s="64"/>
      <c r="SMK59" s="64"/>
      <c r="SML59" s="64"/>
      <c r="SMM59" s="64"/>
      <c r="SMN59" s="64"/>
      <c r="SMO59" s="64"/>
      <c r="SMP59" s="64"/>
      <c r="SMQ59" s="64"/>
      <c r="SMR59" s="64"/>
      <c r="SMS59" s="64"/>
      <c r="SMT59" s="64"/>
      <c r="SMU59" s="64"/>
      <c r="SMV59" s="64"/>
      <c r="SMW59" s="64"/>
      <c r="SMX59" s="64"/>
      <c r="SMY59" s="64"/>
      <c r="SMZ59" s="64"/>
      <c r="SNA59" s="64"/>
      <c r="SNB59" s="64"/>
      <c r="SNC59" s="64"/>
      <c r="SND59" s="64"/>
      <c r="SNE59" s="64"/>
      <c r="SNF59" s="64"/>
      <c r="SNG59" s="64"/>
      <c r="SNH59" s="64"/>
      <c r="SNI59" s="64"/>
      <c r="SNJ59" s="64"/>
      <c r="SNK59" s="64"/>
      <c r="SNL59" s="64"/>
      <c r="SNM59" s="64"/>
      <c r="SNN59" s="64"/>
      <c r="SNO59" s="64"/>
      <c r="SNP59" s="64"/>
      <c r="SNQ59" s="64"/>
      <c r="SNR59" s="64"/>
      <c r="SNS59" s="64"/>
      <c r="SNT59" s="64"/>
      <c r="SNU59" s="64"/>
      <c r="SNV59" s="64"/>
      <c r="SNW59" s="64"/>
      <c r="SNX59" s="64"/>
      <c r="SNY59" s="64"/>
      <c r="SNZ59" s="64"/>
      <c r="SOA59" s="64"/>
      <c r="SOB59" s="64"/>
      <c r="SOC59" s="64"/>
      <c r="SOD59" s="64"/>
      <c r="SOE59" s="64"/>
      <c r="SOF59" s="64"/>
      <c r="SOG59" s="64"/>
      <c r="SOH59" s="64"/>
      <c r="SOI59" s="64"/>
      <c r="SOJ59" s="64"/>
      <c r="SOK59" s="64"/>
      <c r="SOL59" s="64"/>
      <c r="SOM59" s="64"/>
      <c r="SON59" s="64"/>
      <c r="SOO59" s="64"/>
      <c r="SOP59" s="64"/>
      <c r="SOQ59" s="64"/>
      <c r="SOR59" s="64"/>
      <c r="SOS59" s="64"/>
      <c r="SOT59" s="64"/>
      <c r="SOU59" s="64"/>
      <c r="SOV59" s="64"/>
      <c r="SOW59" s="64"/>
      <c r="SOX59" s="64"/>
      <c r="SOY59" s="64"/>
      <c r="SOZ59" s="64"/>
      <c r="SPA59" s="64"/>
      <c r="SPB59" s="64"/>
      <c r="SPC59" s="64"/>
      <c r="SPD59" s="64"/>
      <c r="SPE59" s="64"/>
      <c r="SPF59" s="64"/>
      <c r="SPG59" s="64"/>
      <c r="SPH59" s="64"/>
      <c r="SPI59" s="64"/>
      <c r="SPJ59" s="64"/>
      <c r="SPK59" s="64"/>
      <c r="SPL59" s="64"/>
      <c r="SPM59" s="64"/>
      <c r="SPN59" s="64"/>
      <c r="SPO59" s="64"/>
      <c r="SPP59" s="64"/>
      <c r="SPQ59" s="64"/>
      <c r="SPR59" s="64"/>
      <c r="SPS59" s="64"/>
      <c r="SPT59" s="64"/>
      <c r="SPU59" s="64"/>
      <c r="SPV59" s="64"/>
      <c r="SPW59" s="64"/>
      <c r="SPX59" s="64"/>
      <c r="SPY59" s="64"/>
      <c r="SPZ59" s="64"/>
      <c r="SQA59" s="64"/>
      <c r="SQB59" s="64"/>
      <c r="SQC59" s="64"/>
      <c r="SQD59" s="64"/>
      <c r="SQE59" s="64"/>
      <c r="SQF59" s="64"/>
      <c r="SQG59" s="64"/>
      <c r="SQH59" s="64"/>
      <c r="SQI59" s="64"/>
      <c r="SQJ59" s="64"/>
      <c r="SQK59" s="64"/>
      <c r="SQL59" s="64"/>
      <c r="SQM59" s="64"/>
      <c r="SQN59" s="64"/>
      <c r="SQO59" s="64"/>
      <c r="SQP59" s="64"/>
      <c r="SQQ59" s="64"/>
      <c r="SQR59" s="64"/>
      <c r="SQS59" s="64"/>
      <c r="SQT59" s="64"/>
      <c r="SQU59" s="64"/>
      <c r="SQV59" s="64"/>
      <c r="SQW59" s="64"/>
      <c r="SQX59" s="64"/>
      <c r="SQY59" s="64"/>
      <c r="SQZ59" s="64"/>
      <c r="SRA59" s="64"/>
      <c r="SRB59" s="64"/>
      <c r="SRC59" s="64"/>
      <c r="SRD59" s="64"/>
      <c r="SRE59" s="64"/>
      <c r="SRF59" s="64"/>
      <c r="SRG59" s="64"/>
      <c r="SRH59" s="64"/>
      <c r="SRI59" s="64"/>
      <c r="SRJ59" s="64"/>
      <c r="SRK59" s="64"/>
      <c r="SRL59" s="64"/>
      <c r="SRM59" s="64"/>
      <c r="SRN59" s="64"/>
      <c r="SRO59" s="64"/>
      <c r="SRP59" s="64"/>
      <c r="SRQ59" s="64"/>
      <c r="SRR59" s="64"/>
      <c r="SRS59" s="64"/>
      <c r="SRT59" s="64"/>
      <c r="SRU59" s="64"/>
      <c r="SRV59" s="64"/>
      <c r="SRW59" s="64"/>
      <c r="SRX59" s="64"/>
      <c r="SRY59" s="64"/>
      <c r="SRZ59" s="64"/>
      <c r="SSA59" s="64"/>
      <c r="SSB59" s="64"/>
      <c r="SSC59" s="64"/>
      <c r="SSD59" s="64"/>
      <c r="SSE59" s="64"/>
      <c r="SSF59" s="64"/>
      <c r="SSG59" s="64"/>
      <c r="SSH59" s="64"/>
      <c r="SSI59" s="64"/>
      <c r="SSJ59" s="64"/>
      <c r="SSK59" s="64"/>
      <c r="SSL59" s="64"/>
      <c r="SSM59" s="64"/>
      <c r="SSN59" s="64"/>
      <c r="SSO59" s="64"/>
      <c r="SSP59" s="64"/>
      <c r="SSQ59" s="64"/>
      <c r="SSR59" s="64"/>
      <c r="SSS59" s="64"/>
      <c r="SST59" s="64"/>
      <c r="SSU59" s="64"/>
      <c r="SSV59" s="64"/>
      <c r="SSW59" s="64"/>
      <c r="SSX59" s="64"/>
      <c r="SSY59" s="64"/>
      <c r="SSZ59" s="64"/>
      <c r="STA59" s="64"/>
      <c r="STB59" s="64"/>
      <c r="STC59" s="64"/>
      <c r="STD59" s="64"/>
      <c r="STE59" s="64"/>
      <c r="STF59" s="64"/>
      <c r="STG59" s="64"/>
      <c r="STH59" s="64"/>
      <c r="STI59" s="64"/>
      <c r="STJ59" s="64"/>
      <c r="STK59" s="64"/>
      <c r="STL59" s="64"/>
      <c r="STM59" s="64"/>
      <c r="STN59" s="64"/>
      <c r="STO59" s="64"/>
      <c r="STP59" s="64"/>
      <c r="STQ59" s="64"/>
      <c r="STR59" s="64"/>
      <c r="STS59" s="64"/>
      <c r="STT59" s="64"/>
      <c r="STU59" s="64"/>
      <c r="STV59" s="64"/>
      <c r="STW59" s="64"/>
      <c r="STX59" s="64"/>
      <c r="STY59" s="64"/>
      <c r="STZ59" s="64"/>
      <c r="SUA59" s="64"/>
      <c r="SUB59" s="64"/>
      <c r="SUC59" s="64"/>
      <c r="SUD59" s="64"/>
      <c r="SUE59" s="64"/>
      <c r="SUF59" s="64"/>
      <c r="SUG59" s="64"/>
      <c r="SUH59" s="64"/>
      <c r="SUI59" s="64"/>
      <c r="SUJ59" s="64"/>
      <c r="SUK59" s="64"/>
      <c r="SUL59" s="64"/>
      <c r="SUM59" s="64"/>
      <c r="SUN59" s="64"/>
      <c r="SUO59" s="64"/>
      <c r="SUP59" s="64"/>
      <c r="SUQ59" s="64"/>
      <c r="SUR59" s="64"/>
      <c r="SUS59" s="64"/>
      <c r="SUT59" s="64"/>
      <c r="SUU59" s="64"/>
      <c r="SUV59" s="64"/>
      <c r="SUW59" s="64"/>
      <c r="SUX59" s="64"/>
      <c r="SUY59" s="64"/>
      <c r="SUZ59" s="64"/>
      <c r="SVA59" s="64"/>
      <c r="SVB59" s="64"/>
      <c r="SVC59" s="64"/>
      <c r="SVD59" s="64"/>
      <c r="SVE59" s="64"/>
      <c r="SVF59" s="64"/>
      <c r="SVG59" s="64"/>
      <c r="SVH59" s="64"/>
      <c r="SVI59" s="64"/>
      <c r="SVJ59" s="64"/>
      <c r="SVK59" s="64"/>
      <c r="SVL59" s="64"/>
      <c r="SVM59" s="64"/>
      <c r="SVN59" s="64"/>
      <c r="SVO59" s="64"/>
      <c r="SVP59" s="64"/>
      <c r="SVQ59" s="64"/>
      <c r="SVR59" s="64"/>
      <c r="SVS59" s="64"/>
      <c r="SVT59" s="64"/>
      <c r="SVU59" s="64"/>
      <c r="SVV59" s="64"/>
      <c r="SVW59" s="64"/>
      <c r="SVX59" s="64"/>
      <c r="SVY59" s="64"/>
      <c r="SVZ59" s="64"/>
      <c r="SWA59" s="64"/>
      <c r="SWB59" s="64"/>
      <c r="SWC59" s="64"/>
      <c r="SWD59" s="64"/>
      <c r="SWE59" s="64"/>
      <c r="SWF59" s="64"/>
      <c r="SWG59" s="64"/>
      <c r="SWH59" s="64"/>
      <c r="SWI59" s="64"/>
      <c r="SWJ59" s="64"/>
      <c r="SWK59" s="64"/>
      <c r="SWL59" s="64"/>
      <c r="SWM59" s="64"/>
      <c r="SWN59" s="64"/>
      <c r="SWO59" s="64"/>
      <c r="SWP59" s="64"/>
      <c r="SWQ59" s="64"/>
      <c r="SWR59" s="64"/>
      <c r="SWS59" s="64"/>
      <c r="SWT59" s="64"/>
      <c r="SWU59" s="64"/>
      <c r="SWV59" s="64"/>
      <c r="SWW59" s="64"/>
      <c r="SWX59" s="64"/>
      <c r="SWY59" s="64"/>
      <c r="SWZ59" s="64"/>
      <c r="SXA59" s="64"/>
      <c r="SXB59" s="64"/>
      <c r="SXC59" s="64"/>
      <c r="SXD59" s="64"/>
      <c r="SXE59" s="64"/>
      <c r="SXF59" s="64"/>
      <c r="SXG59" s="64"/>
      <c r="SXH59" s="64"/>
      <c r="SXI59" s="64"/>
      <c r="SXJ59" s="64"/>
      <c r="SXK59" s="64"/>
      <c r="SXL59" s="64"/>
      <c r="SXM59" s="64"/>
      <c r="SXN59" s="64"/>
      <c r="SXO59" s="64"/>
      <c r="SXP59" s="64"/>
      <c r="SXQ59" s="64"/>
      <c r="SXR59" s="64"/>
      <c r="SXS59" s="64"/>
      <c r="SXT59" s="64"/>
      <c r="SXU59" s="64"/>
      <c r="SXV59" s="64"/>
      <c r="SXW59" s="64"/>
      <c r="SXX59" s="64"/>
      <c r="SXY59" s="64"/>
      <c r="SXZ59" s="64"/>
      <c r="SYA59" s="64"/>
      <c r="SYB59" s="64"/>
      <c r="SYC59" s="64"/>
      <c r="SYD59" s="64"/>
      <c r="SYE59" s="64"/>
      <c r="SYF59" s="64"/>
      <c r="SYG59" s="64"/>
      <c r="SYH59" s="64"/>
      <c r="SYI59" s="64"/>
      <c r="SYJ59" s="64"/>
      <c r="SYK59" s="64"/>
      <c r="SYL59" s="64"/>
      <c r="SYM59" s="64"/>
      <c r="SYN59" s="64"/>
      <c r="SYO59" s="64"/>
      <c r="SYP59" s="64"/>
      <c r="SYQ59" s="64"/>
      <c r="SYR59" s="64"/>
      <c r="SYS59" s="64"/>
      <c r="SYT59" s="64"/>
      <c r="SYU59" s="64"/>
      <c r="SYV59" s="64"/>
      <c r="SYW59" s="64"/>
      <c r="SYX59" s="64"/>
      <c r="SYY59" s="64"/>
      <c r="SYZ59" s="64"/>
      <c r="SZA59" s="64"/>
      <c r="SZB59" s="64"/>
      <c r="SZC59" s="64"/>
      <c r="SZD59" s="64"/>
      <c r="SZE59" s="64"/>
      <c r="SZF59" s="64"/>
      <c r="SZG59" s="64"/>
      <c r="SZH59" s="64"/>
      <c r="SZI59" s="64"/>
      <c r="SZJ59" s="64"/>
      <c r="SZK59" s="64"/>
      <c r="SZL59" s="64"/>
      <c r="SZM59" s="64"/>
      <c r="SZN59" s="64"/>
      <c r="SZO59" s="64"/>
      <c r="SZP59" s="64"/>
      <c r="SZQ59" s="64"/>
      <c r="SZR59" s="64"/>
      <c r="SZS59" s="64"/>
      <c r="SZT59" s="64"/>
      <c r="SZU59" s="64"/>
      <c r="SZV59" s="64"/>
      <c r="SZW59" s="64"/>
      <c r="SZX59" s="64"/>
      <c r="SZY59" s="64"/>
      <c r="SZZ59" s="64"/>
      <c r="TAA59" s="64"/>
      <c r="TAB59" s="64"/>
      <c r="TAC59" s="64"/>
      <c r="TAD59" s="64"/>
      <c r="TAE59" s="64"/>
      <c r="TAF59" s="64"/>
      <c r="TAG59" s="64"/>
      <c r="TAH59" s="64"/>
      <c r="TAI59" s="64"/>
      <c r="TAJ59" s="64"/>
      <c r="TAK59" s="64"/>
      <c r="TAL59" s="64"/>
      <c r="TAM59" s="64"/>
      <c r="TAN59" s="64"/>
      <c r="TAO59" s="64"/>
      <c r="TAP59" s="64"/>
      <c r="TAQ59" s="64"/>
      <c r="TAR59" s="64"/>
      <c r="TAS59" s="64"/>
      <c r="TAT59" s="64"/>
      <c r="TAU59" s="64"/>
      <c r="TAV59" s="64"/>
      <c r="TAW59" s="64"/>
      <c r="TAX59" s="64"/>
      <c r="TAY59" s="64"/>
      <c r="TAZ59" s="64"/>
      <c r="TBA59" s="64"/>
      <c r="TBB59" s="64"/>
      <c r="TBC59" s="64"/>
      <c r="TBD59" s="64"/>
      <c r="TBE59" s="64"/>
      <c r="TBF59" s="64"/>
      <c r="TBG59" s="64"/>
      <c r="TBH59" s="64"/>
      <c r="TBI59" s="64"/>
      <c r="TBJ59" s="64"/>
      <c r="TBK59" s="64"/>
      <c r="TBL59" s="64"/>
      <c r="TBM59" s="64"/>
      <c r="TBN59" s="64"/>
      <c r="TBO59" s="64"/>
      <c r="TBP59" s="64"/>
      <c r="TBQ59" s="64"/>
      <c r="TBR59" s="64"/>
      <c r="TBS59" s="64"/>
      <c r="TBT59" s="64"/>
      <c r="TBU59" s="64"/>
      <c r="TBV59" s="64"/>
      <c r="TBW59" s="64"/>
      <c r="TBX59" s="64"/>
      <c r="TBY59" s="64"/>
      <c r="TBZ59" s="64"/>
      <c r="TCA59" s="64"/>
      <c r="TCB59" s="64"/>
      <c r="TCC59" s="64"/>
      <c r="TCD59" s="64"/>
      <c r="TCE59" s="64"/>
      <c r="TCF59" s="64"/>
      <c r="TCG59" s="64"/>
      <c r="TCH59" s="64"/>
      <c r="TCI59" s="64"/>
      <c r="TCJ59" s="64"/>
      <c r="TCK59" s="64"/>
      <c r="TCL59" s="64"/>
      <c r="TCM59" s="64"/>
      <c r="TCN59" s="64"/>
      <c r="TCO59" s="64"/>
      <c r="TCP59" s="64"/>
      <c r="TCQ59" s="64"/>
      <c r="TCR59" s="64"/>
      <c r="TCS59" s="64"/>
      <c r="TCT59" s="64"/>
      <c r="TCU59" s="64"/>
      <c r="TCV59" s="64"/>
      <c r="TCW59" s="64"/>
      <c r="TCX59" s="64"/>
      <c r="TCY59" s="64"/>
      <c r="TCZ59" s="64"/>
      <c r="TDA59" s="64"/>
      <c r="TDB59" s="64"/>
      <c r="TDC59" s="64"/>
      <c r="TDD59" s="64"/>
      <c r="TDE59" s="64"/>
      <c r="TDF59" s="64"/>
      <c r="TDG59" s="64"/>
      <c r="TDH59" s="64"/>
      <c r="TDI59" s="64"/>
      <c r="TDJ59" s="64"/>
      <c r="TDK59" s="64"/>
      <c r="TDL59" s="64"/>
      <c r="TDM59" s="64"/>
      <c r="TDN59" s="64"/>
      <c r="TDO59" s="64"/>
      <c r="TDP59" s="64"/>
      <c r="TDQ59" s="64"/>
      <c r="TDR59" s="64"/>
      <c r="TDS59" s="64"/>
      <c r="TDT59" s="64"/>
      <c r="TDU59" s="64"/>
      <c r="TDV59" s="64"/>
      <c r="TDW59" s="64"/>
      <c r="TDX59" s="64"/>
      <c r="TDY59" s="64"/>
      <c r="TDZ59" s="64"/>
      <c r="TEA59" s="64"/>
      <c r="TEB59" s="64"/>
      <c r="TEC59" s="64"/>
      <c r="TED59" s="64"/>
      <c r="TEE59" s="64"/>
      <c r="TEF59" s="64"/>
      <c r="TEG59" s="64"/>
      <c r="TEH59" s="64"/>
      <c r="TEI59" s="64"/>
      <c r="TEJ59" s="64"/>
      <c r="TEK59" s="64"/>
      <c r="TEL59" s="64"/>
      <c r="TEM59" s="64"/>
      <c r="TEN59" s="64"/>
      <c r="TEO59" s="64"/>
      <c r="TEP59" s="64"/>
      <c r="TEQ59" s="64"/>
      <c r="TER59" s="64"/>
      <c r="TES59" s="64"/>
      <c r="TET59" s="64"/>
      <c r="TEU59" s="64"/>
      <c r="TEV59" s="64"/>
      <c r="TEW59" s="64"/>
      <c r="TEX59" s="64"/>
      <c r="TEY59" s="64"/>
      <c r="TEZ59" s="64"/>
      <c r="TFA59" s="64"/>
      <c r="TFB59" s="64"/>
      <c r="TFC59" s="64"/>
      <c r="TFD59" s="64"/>
      <c r="TFE59" s="64"/>
      <c r="TFF59" s="64"/>
      <c r="TFG59" s="64"/>
      <c r="TFH59" s="64"/>
      <c r="TFI59" s="64"/>
      <c r="TFJ59" s="64"/>
      <c r="TFK59" s="64"/>
      <c r="TFL59" s="64"/>
      <c r="TFM59" s="64"/>
      <c r="TFN59" s="64"/>
      <c r="TFO59" s="64"/>
      <c r="TFP59" s="64"/>
      <c r="TFQ59" s="64"/>
      <c r="TFR59" s="64"/>
      <c r="TFS59" s="64"/>
      <c r="TFT59" s="64"/>
      <c r="TFU59" s="64"/>
      <c r="TFV59" s="64"/>
      <c r="TFW59" s="64"/>
      <c r="TFX59" s="64"/>
      <c r="TFY59" s="64"/>
      <c r="TFZ59" s="64"/>
      <c r="TGA59" s="64"/>
      <c r="TGB59" s="64"/>
      <c r="TGC59" s="64"/>
      <c r="TGD59" s="64"/>
      <c r="TGE59" s="64"/>
      <c r="TGF59" s="64"/>
      <c r="TGG59" s="64"/>
      <c r="TGH59" s="64"/>
      <c r="TGI59" s="64"/>
      <c r="TGJ59" s="64"/>
      <c r="TGK59" s="64"/>
      <c r="TGL59" s="64"/>
      <c r="TGM59" s="64"/>
      <c r="TGN59" s="64"/>
      <c r="TGO59" s="64"/>
      <c r="TGP59" s="64"/>
      <c r="TGQ59" s="64"/>
      <c r="TGR59" s="64"/>
      <c r="TGS59" s="64"/>
      <c r="TGT59" s="64"/>
      <c r="TGU59" s="64"/>
      <c r="TGV59" s="64"/>
      <c r="TGW59" s="64"/>
      <c r="TGX59" s="64"/>
      <c r="TGY59" s="64"/>
      <c r="TGZ59" s="64"/>
      <c r="THA59" s="64"/>
      <c r="THB59" s="64"/>
      <c r="THC59" s="64"/>
      <c r="THD59" s="64"/>
      <c r="THE59" s="64"/>
      <c r="THF59" s="64"/>
      <c r="THG59" s="64"/>
      <c r="THH59" s="64"/>
      <c r="THI59" s="64"/>
      <c r="THJ59" s="64"/>
      <c r="THK59" s="64"/>
      <c r="THL59" s="64"/>
      <c r="THM59" s="64"/>
      <c r="THN59" s="64"/>
      <c r="THO59" s="64"/>
      <c r="THP59" s="64"/>
      <c r="THQ59" s="64"/>
      <c r="THR59" s="64"/>
      <c r="THS59" s="64"/>
      <c r="THT59" s="64"/>
      <c r="THU59" s="64"/>
      <c r="THV59" s="64"/>
      <c r="THW59" s="64"/>
      <c r="THX59" s="64"/>
      <c r="THY59" s="64"/>
      <c r="THZ59" s="64"/>
      <c r="TIA59" s="64"/>
      <c r="TIB59" s="64"/>
      <c r="TIC59" s="64"/>
      <c r="TID59" s="64"/>
      <c r="TIE59" s="64"/>
      <c r="TIF59" s="64"/>
      <c r="TIG59" s="64"/>
      <c r="TIH59" s="64"/>
      <c r="TII59" s="64"/>
      <c r="TIJ59" s="64"/>
      <c r="TIK59" s="64"/>
      <c r="TIL59" s="64"/>
      <c r="TIM59" s="64"/>
      <c r="TIN59" s="64"/>
      <c r="TIO59" s="64"/>
      <c r="TIP59" s="64"/>
      <c r="TIQ59" s="64"/>
      <c r="TIR59" s="64"/>
      <c r="TIS59" s="64"/>
      <c r="TIT59" s="64"/>
      <c r="TIU59" s="64"/>
      <c r="TIV59" s="64"/>
      <c r="TIW59" s="64"/>
      <c r="TIX59" s="64"/>
      <c r="TIY59" s="64"/>
      <c r="TIZ59" s="64"/>
      <c r="TJA59" s="64"/>
      <c r="TJB59" s="64"/>
      <c r="TJC59" s="64"/>
      <c r="TJD59" s="64"/>
      <c r="TJE59" s="64"/>
      <c r="TJF59" s="64"/>
      <c r="TJG59" s="64"/>
      <c r="TJH59" s="64"/>
      <c r="TJI59" s="64"/>
      <c r="TJJ59" s="64"/>
      <c r="TJK59" s="64"/>
      <c r="TJL59" s="64"/>
      <c r="TJM59" s="64"/>
      <c r="TJN59" s="64"/>
      <c r="TJO59" s="64"/>
      <c r="TJP59" s="64"/>
      <c r="TJQ59" s="64"/>
      <c r="TJR59" s="64"/>
      <c r="TJS59" s="64"/>
      <c r="TJT59" s="64"/>
      <c r="TJU59" s="64"/>
      <c r="TJV59" s="64"/>
      <c r="TJW59" s="64"/>
      <c r="TJX59" s="64"/>
      <c r="TJY59" s="64"/>
      <c r="TJZ59" s="64"/>
      <c r="TKA59" s="64"/>
      <c r="TKB59" s="64"/>
      <c r="TKC59" s="64"/>
      <c r="TKD59" s="64"/>
      <c r="TKE59" s="64"/>
      <c r="TKF59" s="64"/>
      <c r="TKG59" s="64"/>
      <c r="TKH59" s="64"/>
      <c r="TKI59" s="64"/>
      <c r="TKJ59" s="64"/>
      <c r="TKK59" s="64"/>
      <c r="TKL59" s="64"/>
      <c r="TKM59" s="64"/>
      <c r="TKN59" s="64"/>
      <c r="TKO59" s="64"/>
      <c r="TKP59" s="64"/>
      <c r="TKQ59" s="64"/>
      <c r="TKR59" s="64"/>
      <c r="TKS59" s="64"/>
      <c r="TKT59" s="64"/>
      <c r="TKU59" s="64"/>
      <c r="TKV59" s="64"/>
      <c r="TKW59" s="64"/>
      <c r="TKX59" s="64"/>
      <c r="TKY59" s="64"/>
      <c r="TKZ59" s="64"/>
      <c r="TLA59" s="64"/>
      <c r="TLB59" s="64"/>
      <c r="TLC59" s="64"/>
      <c r="TLD59" s="64"/>
      <c r="TLE59" s="64"/>
      <c r="TLF59" s="64"/>
      <c r="TLG59" s="64"/>
      <c r="TLH59" s="64"/>
      <c r="TLI59" s="64"/>
      <c r="TLJ59" s="64"/>
      <c r="TLK59" s="64"/>
      <c r="TLL59" s="64"/>
      <c r="TLM59" s="64"/>
      <c r="TLN59" s="64"/>
      <c r="TLO59" s="64"/>
      <c r="TLP59" s="64"/>
      <c r="TLQ59" s="64"/>
      <c r="TLR59" s="64"/>
      <c r="TLS59" s="64"/>
      <c r="TLT59" s="64"/>
      <c r="TLU59" s="64"/>
      <c r="TLV59" s="64"/>
      <c r="TLW59" s="64"/>
      <c r="TLX59" s="64"/>
      <c r="TLY59" s="64"/>
      <c r="TLZ59" s="64"/>
      <c r="TMA59" s="64"/>
      <c r="TMB59" s="64"/>
      <c r="TMC59" s="64"/>
      <c r="TMD59" s="64"/>
      <c r="TME59" s="64"/>
      <c r="TMF59" s="64"/>
      <c r="TMG59" s="64"/>
      <c r="TMH59" s="64"/>
      <c r="TMI59" s="64"/>
      <c r="TMJ59" s="64"/>
      <c r="TMK59" s="64"/>
      <c r="TML59" s="64"/>
      <c r="TMM59" s="64"/>
      <c r="TMN59" s="64"/>
      <c r="TMO59" s="64"/>
      <c r="TMP59" s="64"/>
      <c r="TMQ59" s="64"/>
      <c r="TMR59" s="64"/>
      <c r="TMS59" s="64"/>
      <c r="TMT59" s="64"/>
      <c r="TMU59" s="64"/>
      <c r="TMV59" s="64"/>
      <c r="TMW59" s="64"/>
      <c r="TMX59" s="64"/>
      <c r="TMY59" s="64"/>
      <c r="TMZ59" s="64"/>
      <c r="TNA59" s="64"/>
      <c r="TNB59" s="64"/>
      <c r="TNC59" s="64"/>
      <c r="TND59" s="64"/>
      <c r="TNE59" s="64"/>
      <c r="TNF59" s="64"/>
      <c r="TNG59" s="64"/>
      <c r="TNH59" s="64"/>
      <c r="TNI59" s="64"/>
      <c r="TNJ59" s="64"/>
      <c r="TNK59" s="64"/>
      <c r="TNL59" s="64"/>
      <c r="TNM59" s="64"/>
      <c r="TNN59" s="64"/>
      <c r="TNO59" s="64"/>
      <c r="TNP59" s="64"/>
      <c r="TNQ59" s="64"/>
      <c r="TNR59" s="64"/>
      <c r="TNS59" s="64"/>
      <c r="TNT59" s="64"/>
      <c r="TNU59" s="64"/>
      <c r="TNV59" s="64"/>
      <c r="TNW59" s="64"/>
      <c r="TNX59" s="64"/>
      <c r="TNY59" s="64"/>
      <c r="TNZ59" s="64"/>
      <c r="TOA59" s="64"/>
      <c r="TOB59" s="64"/>
      <c r="TOC59" s="64"/>
      <c r="TOD59" s="64"/>
      <c r="TOE59" s="64"/>
      <c r="TOF59" s="64"/>
      <c r="TOG59" s="64"/>
      <c r="TOH59" s="64"/>
      <c r="TOI59" s="64"/>
      <c r="TOJ59" s="64"/>
      <c r="TOK59" s="64"/>
      <c r="TOL59" s="64"/>
      <c r="TOM59" s="64"/>
      <c r="TON59" s="64"/>
      <c r="TOO59" s="64"/>
      <c r="TOP59" s="64"/>
      <c r="TOQ59" s="64"/>
      <c r="TOR59" s="64"/>
      <c r="TOS59" s="64"/>
      <c r="TOT59" s="64"/>
      <c r="TOU59" s="64"/>
      <c r="TOV59" s="64"/>
      <c r="TOW59" s="64"/>
      <c r="TOX59" s="64"/>
      <c r="TOY59" s="64"/>
      <c r="TOZ59" s="64"/>
      <c r="TPA59" s="64"/>
      <c r="TPB59" s="64"/>
      <c r="TPC59" s="64"/>
      <c r="TPD59" s="64"/>
      <c r="TPE59" s="64"/>
      <c r="TPF59" s="64"/>
      <c r="TPG59" s="64"/>
      <c r="TPH59" s="64"/>
      <c r="TPI59" s="64"/>
      <c r="TPJ59" s="64"/>
      <c r="TPK59" s="64"/>
      <c r="TPL59" s="64"/>
      <c r="TPM59" s="64"/>
      <c r="TPN59" s="64"/>
      <c r="TPO59" s="64"/>
      <c r="TPP59" s="64"/>
      <c r="TPQ59" s="64"/>
      <c r="TPR59" s="64"/>
      <c r="TPS59" s="64"/>
      <c r="TPT59" s="64"/>
      <c r="TPU59" s="64"/>
      <c r="TPV59" s="64"/>
      <c r="TPW59" s="64"/>
      <c r="TPX59" s="64"/>
      <c r="TPY59" s="64"/>
      <c r="TPZ59" s="64"/>
      <c r="TQA59" s="64"/>
      <c r="TQB59" s="64"/>
      <c r="TQC59" s="64"/>
      <c r="TQD59" s="64"/>
      <c r="TQE59" s="64"/>
      <c r="TQF59" s="64"/>
      <c r="TQG59" s="64"/>
      <c r="TQH59" s="64"/>
      <c r="TQI59" s="64"/>
      <c r="TQJ59" s="64"/>
      <c r="TQK59" s="64"/>
      <c r="TQL59" s="64"/>
      <c r="TQM59" s="64"/>
      <c r="TQN59" s="64"/>
      <c r="TQO59" s="64"/>
      <c r="TQP59" s="64"/>
      <c r="TQQ59" s="64"/>
      <c r="TQR59" s="64"/>
      <c r="TQS59" s="64"/>
      <c r="TQT59" s="64"/>
      <c r="TQU59" s="64"/>
      <c r="TQV59" s="64"/>
      <c r="TQW59" s="64"/>
      <c r="TQX59" s="64"/>
      <c r="TQY59" s="64"/>
      <c r="TQZ59" s="64"/>
      <c r="TRA59" s="64"/>
      <c r="TRB59" s="64"/>
      <c r="TRC59" s="64"/>
      <c r="TRD59" s="64"/>
      <c r="TRE59" s="64"/>
      <c r="TRF59" s="64"/>
      <c r="TRG59" s="64"/>
      <c r="TRH59" s="64"/>
      <c r="TRI59" s="64"/>
      <c r="TRJ59" s="64"/>
      <c r="TRK59" s="64"/>
      <c r="TRL59" s="64"/>
      <c r="TRM59" s="64"/>
      <c r="TRN59" s="64"/>
      <c r="TRO59" s="64"/>
      <c r="TRP59" s="64"/>
      <c r="TRQ59" s="64"/>
      <c r="TRR59" s="64"/>
      <c r="TRS59" s="64"/>
      <c r="TRT59" s="64"/>
      <c r="TRU59" s="64"/>
      <c r="TRV59" s="64"/>
      <c r="TRW59" s="64"/>
      <c r="TRX59" s="64"/>
      <c r="TRY59" s="64"/>
      <c r="TRZ59" s="64"/>
      <c r="TSA59" s="64"/>
      <c r="TSB59" s="64"/>
      <c r="TSC59" s="64"/>
      <c r="TSD59" s="64"/>
      <c r="TSE59" s="64"/>
      <c r="TSF59" s="64"/>
      <c r="TSG59" s="64"/>
      <c r="TSH59" s="64"/>
      <c r="TSI59" s="64"/>
      <c r="TSJ59" s="64"/>
      <c r="TSK59" s="64"/>
      <c r="TSL59" s="64"/>
      <c r="TSM59" s="64"/>
      <c r="TSN59" s="64"/>
      <c r="TSO59" s="64"/>
      <c r="TSP59" s="64"/>
      <c r="TSQ59" s="64"/>
      <c r="TSR59" s="64"/>
      <c r="TSS59" s="64"/>
      <c r="TST59" s="64"/>
      <c r="TSU59" s="64"/>
      <c r="TSV59" s="64"/>
      <c r="TSW59" s="64"/>
      <c r="TSX59" s="64"/>
      <c r="TSY59" s="64"/>
      <c r="TSZ59" s="64"/>
      <c r="TTA59" s="64"/>
      <c r="TTB59" s="64"/>
      <c r="TTC59" s="64"/>
      <c r="TTD59" s="64"/>
      <c r="TTE59" s="64"/>
      <c r="TTF59" s="64"/>
      <c r="TTG59" s="64"/>
      <c r="TTH59" s="64"/>
      <c r="TTI59" s="64"/>
      <c r="TTJ59" s="64"/>
      <c r="TTK59" s="64"/>
      <c r="TTL59" s="64"/>
      <c r="TTM59" s="64"/>
      <c r="TTN59" s="64"/>
      <c r="TTO59" s="64"/>
      <c r="TTP59" s="64"/>
      <c r="TTQ59" s="64"/>
      <c r="TTR59" s="64"/>
      <c r="TTS59" s="64"/>
      <c r="TTT59" s="64"/>
      <c r="TTU59" s="64"/>
      <c r="TTV59" s="64"/>
      <c r="TTW59" s="64"/>
      <c r="TTX59" s="64"/>
      <c r="TTY59" s="64"/>
      <c r="TTZ59" s="64"/>
      <c r="TUA59" s="64"/>
      <c r="TUB59" s="64"/>
      <c r="TUC59" s="64"/>
      <c r="TUD59" s="64"/>
      <c r="TUE59" s="64"/>
      <c r="TUF59" s="64"/>
      <c r="TUG59" s="64"/>
      <c r="TUH59" s="64"/>
      <c r="TUI59" s="64"/>
      <c r="TUJ59" s="64"/>
      <c r="TUK59" s="64"/>
      <c r="TUL59" s="64"/>
      <c r="TUM59" s="64"/>
      <c r="TUN59" s="64"/>
      <c r="TUO59" s="64"/>
      <c r="TUP59" s="64"/>
      <c r="TUQ59" s="64"/>
      <c r="TUR59" s="64"/>
      <c r="TUS59" s="64"/>
      <c r="TUT59" s="64"/>
      <c r="TUU59" s="64"/>
      <c r="TUV59" s="64"/>
      <c r="TUW59" s="64"/>
      <c r="TUX59" s="64"/>
      <c r="TUY59" s="64"/>
      <c r="TUZ59" s="64"/>
      <c r="TVA59" s="64"/>
      <c r="TVB59" s="64"/>
      <c r="TVC59" s="64"/>
      <c r="TVD59" s="64"/>
      <c r="TVE59" s="64"/>
      <c r="TVF59" s="64"/>
      <c r="TVG59" s="64"/>
      <c r="TVH59" s="64"/>
      <c r="TVI59" s="64"/>
      <c r="TVJ59" s="64"/>
      <c r="TVK59" s="64"/>
      <c r="TVL59" s="64"/>
      <c r="TVM59" s="64"/>
      <c r="TVN59" s="64"/>
      <c r="TVO59" s="64"/>
      <c r="TVP59" s="64"/>
      <c r="TVQ59" s="64"/>
      <c r="TVR59" s="64"/>
      <c r="TVS59" s="64"/>
      <c r="TVT59" s="64"/>
      <c r="TVU59" s="64"/>
      <c r="TVV59" s="64"/>
      <c r="TVW59" s="64"/>
      <c r="TVX59" s="64"/>
      <c r="TVY59" s="64"/>
      <c r="TVZ59" s="64"/>
      <c r="TWA59" s="64"/>
      <c r="TWB59" s="64"/>
      <c r="TWC59" s="64"/>
      <c r="TWD59" s="64"/>
      <c r="TWE59" s="64"/>
      <c r="TWF59" s="64"/>
      <c r="TWG59" s="64"/>
      <c r="TWH59" s="64"/>
      <c r="TWI59" s="64"/>
      <c r="TWJ59" s="64"/>
      <c r="TWK59" s="64"/>
      <c r="TWL59" s="64"/>
      <c r="TWM59" s="64"/>
      <c r="TWN59" s="64"/>
      <c r="TWO59" s="64"/>
      <c r="TWP59" s="64"/>
      <c r="TWQ59" s="64"/>
      <c r="TWR59" s="64"/>
      <c r="TWS59" s="64"/>
      <c r="TWT59" s="64"/>
      <c r="TWU59" s="64"/>
      <c r="TWV59" s="64"/>
      <c r="TWW59" s="64"/>
      <c r="TWX59" s="64"/>
      <c r="TWY59" s="64"/>
      <c r="TWZ59" s="64"/>
      <c r="TXA59" s="64"/>
      <c r="TXB59" s="64"/>
      <c r="TXC59" s="64"/>
      <c r="TXD59" s="64"/>
      <c r="TXE59" s="64"/>
      <c r="TXF59" s="64"/>
      <c r="TXG59" s="64"/>
      <c r="TXH59" s="64"/>
      <c r="TXI59" s="64"/>
      <c r="TXJ59" s="64"/>
      <c r="TXK59" s="64"/>
      <c r="TXL59" s="64"/>
      <c r="TXM59" s="64"/>
      <c r="TXN59" s="64"/>
      <c r="TXO59" s="64"/>
      <c r="TXP59" s="64"/>
      <c r="TXQ59" s="64"/>
      <c r="TXR59" s="64"/>
      <c r="TXS59" s="64"/>
      <c r="TXT59" s="64"/>
      <c r="TXU59" s="64"/>
      <c r="TXV59" s="64"/>
      <c r="TXW59" s="64"/>
      <c r="TXX59" s="64"/>
      <c r="TXY59" s="64"/>
      <c r="TXZ59" s="64"/>
      <c r="TYA59" s="64"/>
      <c r="TYB59" s="64"/>
      <c r="TYC59" s="64"/>
      <c r="TYD59" s="64"/>
      <c r="TYE59" s="64"/>
      <c r="TYF59" s="64"/>
      <c r="TYG59" s="64"/>
      <c r="TYH59" s="64"/>
      <c r="TYI59" s="64"/>
      <c r="TYJ59" s="64"/>
      <c r="TYK59" s="64"/>
      <c r="TYL59" s="64"/>
      <c r="TYM59" s="64"/>
      <c r="TYN59" s="64"/>
      <c r="TYO59" s="64"/>
      <c r="TYP59" s="64"/>
      <c r="TYQ59" s="64"/>
      <c r="TYR59" s="64"/>
      <c r="TYS59" s="64"/>
      <c r="TYT59" s="64"/>
      <c r="TYU59" s="64"/>
      <c r="TYV59" s="64"/>
      <c r="TYW59" s="64"/>
      <c r="TYX59" s="64"/>
      <c r="TYY59" s="64"/>
      <c r="TYZ59" s="64"/>
      <c r="TZA59" s="64"/>
      <c r="TZB59" s="64"/>
      <c r="TZC59" s="64"/>
      <c r="TZD59" s="64"/>
      <c r="TZE59" s="64"/>
      <c r="TZF59" s="64"/>
      <c r="TZG59" s="64"/>
      <c r="TZH59" s="64"/>
      <c r="TZI59" s="64"/>
      <c r="TZJ59" s="64"/>
      <c r="TZK59" s="64"/>
      <c r="TZL59" s="64"/>
      <c r="TZM59" s="64"/>
      <c r="TZN59" s="64"/>
      <c r="TZO59" s="64"/>
      <c r="TZP59" s="64"/>
      <c r="TZQ59" s="64"/>
      <c r="TZR59" s="64"/>
      <c r="TZS59" s="64"/>
      <c r="TZT59" s="64"/>
      <c r="TZU59" s="64"/>
      <c r="TZV59" s="64"/>
      <c r="TZW59" s="64"/>
      <c r="TZX59" s="64"/>
      <c r="TZY59" s="64"/>
      <c r="TZZ59" s="64"/>
      <c r="UAA59" s="64"/>
      <c r="UAB59" s="64"/>
      <c r="UAC59" s="64"/>
      <c r="UAD59" s="64"/>
      <c r="UAE59" s="64"/>
      <c r="UAF59" s="64"/>
      <c r="UAG59" s="64"/>
      <c r="UAH59" s="64"/>
      <c r="UAI59" s="64"/>
      <c r="UAJ59" s="64"/>
      <c r="UAK59" s="64"/>
      <c r="UAL59" s="64"/>
      <c r="UAM59" s="64"/>
      <c r="UAN59" s="64"/>
      <c r="UAO59" s="64"/>
      <c r="UAP59" s="64"/>
      <c r="UAQ59" s="64"/>
      <c r="UAR59" s="64"/>
      <c r="UAS59" s="64"/>
      <c r="UAT59" s="64"/>
      <c r="UAU59" s="64"/>
      <c r="UAV59" s="64"/>
      <c r="UAW59" s="64"/>
      <c r="UAX59" s="64"/>
      <c r="UAY59" s="64"/>
      <c r="UAZ59" s="64"/>
      <c r="UBA59" s="64"/>
      <c r="UBB59" s="64"/>
      <c r="UBC59" s="64"/>
      <c r="UBD59" s="64"/>
      <c r="UBE59" s="64"/>
      <c r="UBF59" s="64"/>
      <c r="UBG59" s="64"/>
      <c r="UBH59" s="64"/>
      <c r="UBI59" s="64"/>
      <c r="UBJ59" s="64"/>
      <c r="UBK59" s="64"/>
      <c r="UBL59" s="64"/>
      <c r="UBM59" s="64"/>
      <c r="UBN59" s="64"/>
      <c r="UBO59" s="64"/>
      <c r="UBP59" s="64"/>
      <c r="UBQ59" s="64"/>
      <c r="UBR59" s="64"/>
      <c r="UBS59" s="64"/>
      <c r="UBT59" s="64"/>
      <c r="UBU59" s="64"/>
      <c r="UBV59" s="64"/>
      <c r="UBW59" s="64"/>
      <c r="UBX59" s="64"/>
      <c r="UBY59" s="64"/>
      <c r="UBZ59" s="64"/>
      <c r="UCA59" s="64"/>
      <c r="UCB59" s="64"/>
      <c r="UCC59" s="64"/>
      <c r="UCD59" s="64"/>
      <c r="UCE59" s="64"/>
      <c r="UCF59" s="64"/>
      <c r="UCG59" s="64"/>
      <c r="UCH59" s="64"/>
      <c r="UCI59" s="64"/>
      <c r="UCJ59" s="64"/>
      <c r="UCK59" s="64"/>
      <c r="UCL59" s="64"/>
      <c r="UCM59" s="64"/>
      <c r="UCN59" s="64"/>
      <c r="UCO59" s="64"/>
      <c r="UCP59" s="64"/>
      <c r="UCQ59" s="64"/>
      <c r="UCR59" s="64"/>
      <c r="UCS59" s="64"/>
      <c r="UCT59" s="64"/>
      <c r="UCU59" s="64"/>
      <c r="UCV59" s="64"/>
      <c r="UCW59" s="64"/>
      <c r="UCX59" s="64"/>
      <c r="UCY59" s="64"/>
      <c r="UCZ59" s="64"/>
      <c r="UDA59" s="64"/>
      <c r="UDB59" s="64"/>
      <c r="UDC59" s="64"/>
      <c r="UDD59" s="64"/>
      <c r="UDE59" s="64"/>
      <c r="UDF59" s="64"/>
      <c r="UDG59" s="64"/>
      <c r="UDH59" s="64"/>
      <c r="UDI59" s="64"/>
      <c r="UDJ59" s="64"/>
      <c r="UDK59" s="64"/>
      <c r="UDL59" s="64"/>
      <c r="UDM59" s="64"/>
      <c r="UDN59" s="64"/>
      <c r="UDO59" s="64"/>
      <c r="UDP59" s="64"/>
      <c r="UDQ59" s="64"/>
      <c r="UDR59" s="64"/>
      <c r="UDS59" s="64"/>
      <c r="UDT59" s="64"/>
      <c r="UDU59" s="64"/>
      <c r="UDV59" s="64"/>
      <c r="UDW59" s="64"/>
      <c r="UDX59" s="64"/>
      <c r="UDY59" s="64"/>
      <c r="UDZ59" s="64"/>
      <c r="UEA59" s="64"/>
      <c r="UEB59" s="64"/>
      <c r="UEC59" s="64"/>
      <c r="UED59" s="64"/>
      <c r="UEE59" s="64"/>
      <c r="UEF59" s="64"/>
      <c r="UEG59" s="64"/>
      <c r="UEH59" s="64"/>
      <c r="UEI59" s="64"/>
      <c r="UEJ59" s="64"/>
      <c r="UEK59" s="64"/>
      <c r="UEL59" s="64"/>
      <c r="UEM59" s="64"/>
      <c r="UEN59" s="64"/>
      <c r="UEO59" s="64"/>
      <c r="UEP59" s="64"/>
      <c r="UEQ59" s="64"/>
      <c r="UER59" s="64"/>
      <c r="UES59" s="64"/>
      <c r="UET59" s="64"/>
      <c r="UEU59" s="64"/>
      <c r="UEV59" s="64"/>
      <c r="UEW59" s="64"/>
      <c r="UEX59" s="64"/>
      <c r="UEY59" s="64"/>
      <c r="UEZ59" s="64"/>
      <c r="UFA59" s="64"/>
      <c r="UFB59" s="64"/>
      <c r="UFC59" s="64"/>
      <c r="UFD59" s="64"/>
      <c r="UFE59" s="64"/>
      <c r="UFF59" s="64"/>
      <c r="UFG59" s="64"/>
      <c r="UFH59" s="64"/>
      <c r="UFI59" s="64"/>
      <c r="UFJ59" s="64"/>
      <c r="UFK59" s="64"/>
      <c r="UFL59" s="64"/>
      <c r="UFM59" s="64"/>
      <c r="UFN59" s="64"/>
      <c r="UFO59" s="64"/>
      <c r="UFP59" s="64"/>
      <c r="UFQ59" s="64"/>
      <c r="UFR59" s="64"/>
      <c r="UFS59" s="64"/>
      <c r="UFT59" s="64"/>
      <c r="UFU59" s="64"/>
      <c r="UFV59" s="64"/>
      <c r="UFW59" s="64"/>
      <c r="UFX59" s="64"/>
      <c r="UFY59" s="64"/>
      <c r="UFZ59" s="64"/>
      <c r="UGA59" s="64"/>
      <c r="UGB59" s="64"/>
      <c r="UGC59" s="64"/>
      <c r="UGD59" s="64"/>
      <c r="UGE59" s="64"/>
      <c r="UGF59" s="64"/>
      <c r="UGG59" s="64"/>
      <c r="UGH59" s="64"/>
      <c r="UGI59" s="64"/>
      <c r="UGJ59" s="64"/>
      <c r="UGK59" s="64"/>
      <c r="UGL59" s="64"/>
      <c r="UGM59" s="64"/>
      <c r="UGN59" s="64"/>
      <c r="UGO59" s="64"/>
      <c r="UGP59" s="64"/>
      <c r="UGQ59" s="64"/>
      <c r="UGR59" s="64"/>
      <c r="UGS59" s="64"/>
      <c r="UGT59" s="64"/>
      <c r="UGU59" s="64"/>
      <c r="UGV59" s="64"/>
      <c r="UGW59" s="64"/>
      <c r="UGX59" s="64"/>
      <c r="UGY59" s="64"/>
      <c r="UGZ59" s="64"/>
      <c r="UHA59" s="64"/>
      <c r="UHB59" s="64"/>
      <c r="UHC59" s="64"/>
      <c r="UHD59" s="64"/>
      <c r="UHE59" s="64"/>
      <c r="UHF59" s="64"/>
      <c r="UHG59" s="64"/>
      <c r="UHH59" s="64"/>
      <c r="UHI59" s="64"/>
      <c r="UHJ59" s="64"/>
      <c r="UHK59" s="64"/>
      <c r="UHL59" s="64"/>
      <c r="UHM59" s="64"/>
      <c r="UHN59" s="64"/>
      <c r="UHO59" s="64"/>
      <c r="UHP59" s="64"/>
      <c r="UHQ59" s="64"/>
      <c r="UHR59" s="64"/>
      <c r="UHS59" s="64"/>
      <c r="UHT59" s="64"/>
      <c r="UHU59" s="64"/>
      <c r="UHV59" s="64"/>
      <c r="UHW59" s="64"/>
      <c r="UHX59" s="64"/>
      <c r="UHY59" s="64"/>
      <c r="UHZ59" s="64"/>
      <c r="UIA59" s="64"/>
      <c r="UIB59" s="64"/>
      <c r="UIC59" s="64"/>
      <c r="UID59" s="64"/>
      <c r="UIE59" s="64"/>
      <c r="UIF59" s="64"/>
      <c r="UIG59" s="64"/>
      <c r="UIH59" s="64"/>
      <c r="UII59" s="64"/>
      <c r="UIJ59" s="64"/>
      <c r="UIK59" s="64"/>
      <c r="UIL59" s="64"/>
      <c r="UIM59" s="64"/>
      <c r="UIN59" s="64"/>
      <c r="UIO59" s="64"/>
      <c r="UIP59" s="64"/>
      <c r="UIQ59" s="64"/>
      <c r="UIR59" s="64"/>
      <c r="UIS59" s="64"/>
      <c r="UIT59" s="64"/>
      <c r="UIU59" s="64"/>
      <c r="UIV59" s="64"/>
      <c r="UIW59" s="64"/>
      <c r="UIX59" s="64"/>
      <c r="UIY59" s="64"/>
      <c r="UIZ59" s="64"/>
      <c r="UJA59" s="64"/>
      <c r="UJB59" s="64"/>
      <c r="UJC59" s="64"/>
      <c r="UJD59" s="64"/>
      <c r="UJE59" s="64"/>
      <c r="UJF59" s="64"/>
      <c r="UJG59" s="64"/>
      <c r="UJH59" s="64"/>
      <c r="UJI59" s="64"/>
      <c r="UJJ59" s="64"/>
      <c r="UJK59" s="64"/>
      <c r="UJL59" s="64"/>
      <c r="UJM59" s="64"/>
      <c r="UJN59" s="64"/>
      <c r="UJO59" s="64"/>
      <c r="UJP59" s="64"/>
      <c r="UJQ59" s="64"/>
      <c r="UJR59" s="64"/>
      <c r="UJS59" s="64"/>
      <c r="UJT59" s="64"/>
      <c r="UJU59" s="64"/>
      <c r="UJV59" s="64"/>
      <c r="UJW59" s="64"/>
      <c r="UJX59" s="64"/>
      <c r="UJY59" s="64"/>
      <c r="UJZ59" s="64"/>
      <c r="UKA59" s="64"/>
      <c r="UKB59" s="64"/>
      <c r="UKC59" s="64"/>
      <c r="UKD59" s="64"/>
      <c r="UKE59" s="64"/>
      <c r="UKF59" s="64"/>
      <c r="UKG59" s="64"/>
      <c r="UKH59" s="64"/>
      <c r="UKI59" s="64"/>
      <c r="UKJ59" s="64"/>
      <c r="UKK59" s="64"/>
      <c r="UKL59" s="64"/>
      <c r="UKM59" s="64"/>
      <c r="UKN59" s="64"/>
      <c r="UKO59" s="64"/>
      <c r="UKP59" s="64"/>
      <c r="UKQ59" s="64"/>
      <c r="UKR59" s="64"/>
      <c r="UKS59" s="64"/>
      <c r="UKT59" s="64"/>
      <c r="UKU59" s="64"/>
      <c r="UKV59" s="64"/>
      <c r="UKW59" s="64"/>
      <c r="UKX59" s="64"/>
      <c r="UKY59" s="64"/>
      <c r="UKZ59" s="64"/>
      <c r="ULA59" s="64"/>
      <c r="ULB59" s="64"/>
      <c r="ULC59" s="64"/>
      <c r="ULD59" s="64"/>
      <c r="ULE59" s="64"/>
      <c r="ULF59" s="64"/>
      <c r="ULG59" s="64"/>
      <c r="ULH59" s="64"/>
      <c r="ULI59" s="64"/>
      <c r="ULJ59" s="64"/>
      <c r="ULK59" s="64"/>
      <c r="ULL59" s="64"/>
      <c r="ULM59" s="64"/>
      <c r="ULN59" s="64"/>
      <c r="ULO59" s="64"/>
      <c r="ULP59" s="64"/>
      <c r="ULQ59" s="64"/>
      <c r="ULR59" s="64"/>
      <c r="ULS59" s="64"/>
      <c r="ULT59" s="64"/>
      <c r="ULU59" s="64"/>
      <c r="ULV59" s="64"/>
      <c r="ULW59" s="64"/>
      <c r="ULX59" s="64"/>
      <c r="ULY59" s="64"/>
      <c r="ULZ59" s="64"/>
      <c r="UMA59" s="64"/>
      <c r="UMB59" s="64"/>
      <c r="UMC59" s="64"/>
      <c r="UMD59" s="64"/>
      <c r="UME59" s="64"/>
      <c r="UMF59" s="64"/>
      <c r="UMG59" s="64"/>
      <c r="UMH59" s="64"/>
      <c r="UMI59" s="64"/>
      <c r="UMJ59" s="64"/>
      <c r="UMK59" s="64"/>
      <c r="UML59" s="64"/>
      <c r="UMM59" s="64"/>
      <c r="UMN59" s="64"/>
      <c r="UMO59" s="64"/>
      <c r="UMP59" s="64"/>
      <c r="UMQ59" s="64"/>
      <c r="UMR59" s="64"/>
      <c r="UMS59" s="64"/>
      <c r="UMT59" s="64"/>
      <c r="UMU59" s="64"/>
      <c r="UMV59" s="64"/>
      <c r="UMW59" s="64"/>
      <c r="UMX59" s="64"/>
      <c r="UMY59" s="64"/>
      <c r="UMZ59" s="64"/>
      <c r="UNA59" s="64"/>
      <c r="UNB59" s="64"/>
      <c r="UNC59" s="64"/>
      <c r="UND59" s="64"/>
      <c r="UNE59" s="64"/>
      <c r="UNF59" s="64"/>
      <c r="UNG59" s="64"/>
      <c r="UNH59" s="64"/>
      <c r="UNI59" s="64"/>
      <c r="UNJ59" s="64"/>
      <c r="UNK59" s="64"/>
      <c r="UNL59" s="64"/>
      <c r="UNM59" s="64"/>
      <c r="UNN59" s="64"/>
      <c r="UNO59" s="64"/>
      <c r="UNP59" s="64"/>
      <c r="UNQ59" s="64"/>
      <c r="UNR59" s="64"/>
      <c r="UNS59" s="64"/>
      <c r="UNT59" s="64"/>
      <c r="UNU59" s="64"/>
      <c r="UNV59" s="64"/>
      <c r="UNW59" s="64"/>
      <c r="UNX59" s="64"/>
      <c r="UNY59" s="64"/>
      <c r="UNZ59" s="64"/>
      <c r="UOA59" s="64"/>
      <c r="UOB59" s="64"/>
      <c r="UOC59" s="64"/>
      <c r="UOD59" s="64"/>
      <c r="UOE59" s="64"/>
      <c r="UOF59" s="64"/>
      <c r="UOG59" s="64"/>
      <c r="UOH59" s="64"/>
      <c r="UOI59" s="64"/>
      <c r="UOJ59" s="64"/>
      <c r="UOK59" s="64"/>
      <c r="UOL59" s="64"/>
      <c r="UOM59" s="64"/>
      <c r="UON59" s="64"/>
      <c r="UOO59" s="64"/>
      <c r="UOP59" s="64"/>
      <c r="UOQ59" s="64"/>
      <c r="UOR59" s="64"/>
      <c r="UOS59" s="64"/>
      <c r="UOT59" s="64"/>
      <c r="UOU59" s="64"/>
      <c r="UOV59" s="64"/>
      <c r="UOW59" s="64"/>
      <c r="UOX59" s="64"/>
      <c r="UOY59" s="64"/>
      <c r="UOZ59" s="64"/>
      <c r="UPA59" s="64"/>
      <c r="UPB59" s="64"/>
      <c r="UPC59" s="64"/>
      <c r="UPD59" s="64"/>
      <c r="UPE59" s="64"/>
      <c r="UPF59" s="64"/>
      <c r="UPG59" s="64"/>
      <c r="UPH59" s="64"/>
      <c r="UPI59" s="64"/>
      <c r="UPJ59" s="64"/>
      <c r="UPK59" s="64"/>
      <c r="UPL59" s="64"/>
      <c r="UPM59" s="64"/>
      <c r="UPN59" s="64"/>
      <c r="UPO59" s="64"/>
      <c r="UPP59" s="64"/>
      <c r="UPQ59" s="64"/>
      <c r="UPR59" s="64"/>
      <c r="UPS59" s="64"/>
      <c r="UPT59" s="64"/>
      <c r="UPU59" s="64"/>
      <c r="UPV59" s="64"/>
      <c r="UPW59" s="64"/>
      <c r="UPX59" s="64"/>
      <c r="UPY59" s="64"/>
      <c r="UPZ59" s="64"/>
      <c r="UQA59" s="64"/>
      <c r="UQB59" s="64"/>
      <c r="UQC59" s="64"/>
      <c r="UQD59" s="64"/>
      <c r="UQE59" s="64"/>
      <c r="UQF59" s="64"/>
      <c r="UQG59" s="64"/>
      <c r="UQH59" s="64"/>
      <c r="UQI59" s="64"/>
      <c r="UQJ59" s="64"/>
      <c r="UQK59" s="64"/>
      <c r="UQL59" s="64"/>
      <c r="UQM59" s="64"/>
      <c r="UQN59" s="64"/>
      <c r="UQO59" s="64"/>
      <c r="UQP59" s="64"/>
      <c r="UQQ59" s="64"/>
      <c r="UQR59" s="64"/>
      <c r="UQS59" s="64"/>
      <c r="UQT59" s="64"/>
      <c r="UQU59" s="64"/>
      <c r="UQV59" s="64"/>
      <c r="UQW59" s="64"/>
      <c r="UQX59" s="64"/>
      <c r="UQY59" s="64"/>
      <c r="UQZ59" s="64"/>
      <c r="URA59" s="64"/>
      <c r="URB59" s="64"/>
      <c r="URC59" s="64"/>
      <c r="URD59" s="64"/>
      <c r="URE59" s="64"/>
      <c r="URF59" s="64"/>
      <c r="URG59" s="64"/>
      <c r="URH59" s="64"/>
      <c r="URI59" s="64"/>
      <c r="URJ59" s="64"/>
      <c r="URK59" s="64"/>
      <c r="URL59" s="64"/>
      <c r="URM59" s="64"/>
      <c r="URN59" s="64"/>
      <c r="URO59" s="64"/>
      <c r="URP59" s="64"/>
      <c r="URQ59" s="64"/>
      <c r="URR59" s="64"/>
      <c r="URS59" s="64"/>
      <c r="URT59" s="64"/>
      <c r="URU59" s="64"/>
      <c r="URV59" s="64"/>
      <c r="URW59" s="64"/>
      <c r="URX59" s="64"/>
      <c r="URY59" s="64"/>
      <c r="URZ59" s="64"/>
      <c r="USA59" s="64"/>
      <c r="USB59" s="64"/>
      <c r="USC59" s="64"/>
      <c r="USD59" s="64"/>
      <c r="USE59" s="64"/>
      <c r="USF59" s="64"/>
      <c r="USG59" s="64"/>
      <c r="USH59" s="64"/>
      <c r="USI59" s="64"/>
      <c r="USJ59" s="64"/>
      <c r="USK59" s="64"/>
      <c r="USL59" s="64"/>
      <c r="USM59" s="64"/>
      <c r="USN59" s="64"/>
      <c r="USO59" s="64"/>
      <c r="USP59" s="64"/>
      <c r="USQ59" s="64"/>
      <c r="USR59" s="64"/>
      <c r="USS59" s="64"/>
      <c r="UST59" s="64"/>
      <c r="USU59" s="64"/>
      <c r="USV59" s="64"/>
      <c r="USW59" s="64"/>
      <c r="USX59" s="64"/>
      <c r="USY59" s="64"/>
      <c r="USZ59" s="64"/>
      <c r="UTA59" s="64"/>
      <c r="UTB59" s="64"/>
      <c r="UTC59" s="64"/>
      <c r="UTD59" s="64"/>
      <c r="UTE59" s="64"/>
      <c r="UTF59" s="64"/>
      <c r="UTG59" s="64"/>
      <c r="UTH59" s="64"/>
      <c r="UTI59" s="64"/>
      <c r="UTJ59" s="64"/>
      <c r="UTK59" s="64"/>
      <c r="UTL59" s="64"/>
      <c r="UTM59" s="64"/>
      <c r="UTN59" s="64"/>
      <c r="UTO59" s="64"/>
      <c r="UTP59" s="64"/>
      <c r="UTQ59" s="64"/>
      <c r="UTR59" s="64"/>
      <c r="UTS59" s="64"/>
      <c r="UTT59" s="64"/>
      <c r="UTU59" s="64"/>
      <c r="UTV59" s="64"/>
      <c r="UTW59" s="64"/>
      <c r="UTX59" s="64"/>
      <c r="UTY59" s="64"/>
      <c r="UTZ59" s="64"/>
      <c r="UUA59" s="64"/>
      <c r="UUB59" s="64"/>
      <c r="UUC59" s="64"/>
      <c r="UUD59" s="64"/>
      <c r="UUE59" s="64"/>
      <c r="UUF59" s="64"/>
      <c r="UUG59" s="64"/>
      <c r="UUH59" s="64"/>
      <c r="UUI59" s="64"/>
      <c r="UUJ59" s="64"/>
      <c r="UUK59" s="64"/>
      <c r="UUL59" s="64"/>
      <c r="UUM59" s="64"/>
      <c r="UUN59" s="64"/>
      <c r="UUO59" s="64"/>
      <c r="UUP59" s="64"/>
      <c r="UUQ59" s="64"/>
      <c r="UUR59" s="64"/>
      <c r="UUS59" s="64"/>
      <c r="UUT59" s="64"/>
      <c r="UUU59" s="64"/>
      <c r="UUV59" s="64"/>
      <c r="UUW59" s="64"/>
      <c r="UUX59" s="64"/>
      <c r="UUY59" s="64"/>
      <c r="UUZ59" s="64"/>
      <c r="UVA59" s="64"/>
      <c r="UVB59" s="64"/>
      <c r="UVC59" s="64"/>
      <c r="UVD59" s="64"/>
      <c r="UVE59" s="64"/>
      <c r="UVF59" s="64"/>
      <c r="UVG59" s="64"/>
      <c r="UVH59" s="64"/>
      <c r="UVI59" s="64"/>
      <c r="UVJ59" s="64"/>
      <c r="UVK59" s="64"/>
      <c r="UVL59" s="64"/>
      <c r="UVM59" s="64"/>
      <c r="UVN59" s="64"/>
      <c r="UVO59" s="64"/>
      <c r="UVP59" s="64"/>
      <c r="UVQ59" s="64"/>
      <c r="UVR59" s="64"/>
      <c r="UVS59" s="64"/>
      <c r="UVT59" s="64"/>
      <c r="UVU59" s="64"/>
      <c r="UVV59" s="64"/>
      <c r="UVW59" s="64"/>
      <c r="UVX59" s="64"/>
      <c r="UVY59" s="64"/>
      <c r="UVZ59" s="64"/>
      <c r="UWA59" s="64"/>
      <c r="UWB59" s="64"/>
      <c r="UWC59" s="64"/>
      <c r="UWD59" s="64"/>
      <c r="UWE59" s="64"/>
      <c r="UWF59" s="64"/>
      <c r="UWG59" s="64"/>
      <c r="UWH59" s="64"/>
      <c r="UWI59" s="64"/>
      <c r="UWJ59" s="64"/>
      <c r="UWK59" s="64"/>
      <c r="UWL59" s="64"/>
      <c r="UWM59" s="64"/>
      <c r="UWN59" s="64"/>
      <c r="UWO59" s="64"/>
      <c r="UWP59" s="64"/>
      <c r="UWQ59" s="64"/>
      <c r="UWR59" s="64"/>
      <c r="UWS59" s="64"/>
      <c r="UWT59" s="64"/>
      <c r="UWU59" s="64"/>
      <c r="UWV59" s="64"/>
      <c r="UWW59" s="64"/>
      <c r="UWX59" s="64"/>
      <c r="UWY59" s="64"/>
      <c r="UWZ59" s="64"/>
      <c r="UXA59" s="64"/>
      <c r="UXB59" s="64"/>
      <c r="UXC59" s="64"/>
      <c r="UXD59" s="64"/>
      <c r="UXE59" s="64"/>
      <c r="UXF59" s="64"/>
      <c r="UXG59" s="64"/>
      <c r="UXH59" s="64"/>
      <c r="UXI59" s="64"/>
      <c r="UXJ59" s="64"/>
      <c r="UXK59" s="64"/>
      <c r="UXL59" s="64"/>
      <c r="UXM59" s="64"/>
      <c r="UXN59" s="64"/>
      <c r="UXO59" s="64"/>
      <c r="UXP59" s="64"/>
      <c r="UXQ59" s="64"/>
      <c r="UXR59" s="64"/>
      <c r="UXS59" s="64"/>
      <c r="UXT59" s="64"/>
      <c r="UXU59" s="64"/>
      <c r="UXV59" s="64"/>
      <c r="UXW59" s="64"/>
      <c r="UXX59" s="64"/>
      <c r="UXY59" s="64"/>
      <c r="UXZ59" s="64"/>
      <c r="UYA59" s="64"/>
      <c r="UYB59" s="64"/>
      <c r="UYC59" s="64"/>
      <c r="UYD59" s="64"/>
      <c r="UYE59" s="64"/>
      <c r="UYF59" s="64"/>
      <c r="UYG59" s="64"/>
      <c r="UYH59" s="64"/>
      <c r="UYI59" s="64"/>
      <c r="UYJ59" s="64"/>
      <c r="UYK59" s="64"/>
      <c r="UYL59" s="64"/>
      <c r="UYM59" s="64"/>
      <c r="UYN59" s="64"/>
      <c r="UYO59" s="64"/>
      <c r="UYP59" s="64"/>
      <c r="UYQ59" s="64"/>
      <c r="UYR59" s="64"/>
      <c r="UYS59" s="64"/>
      <c r="UYT59" s="64"/>
      <c r="UYU59" s="64"/>
      <c r="UYV59" s="64"/>
      <c r="UYW59" s="64"/>
      <c r="UYX59" s="64"/>
      <c r="UYY59" s="64"/>
      <c r="UYZ59" s="64"/>
      <c r="UZA59" s="64"/>
      <c r="UZB59" s="64"/>
      <c r="UZC59" s="64"/>
      <c r="UZD59" s="64"/>
      <c r="UZE59" s="64"/>
      <c r="UZF59" s="64"/>
      <c r="UZG59" s="64"/>
      <c r="UZH59" s="64"/>
      <c r="UZI59" s="64"/>
      <c r="UZJ59" s="64"/>
      <c r="UZK59" s="64"/>
      <c r="UZL59" s="64"/>
      <c r="UZM59" s="64"/>
      <c r="UZN59" s="64"/>
      <c r="UZO59" s="64"/>
      <c r="UZP59" s="64"/>
      <c r="UZQ59" s="64"/>
      <c r="UZR59" s="64"/>
      <c r="UZS59" s="64"/>
      <c r="UZT59" s="64"/>
      <c r="UZU59" s="64"/>
      <c r="UZV59" s="64"/>
      <c r="UZW59" s="64"/>
      <c r="UZX59" s="64"/>
      <c r="UZY59" s="64"/>
      <c r="UZZ59" s="64"/>
      <c r="VAA59" s="64"/>
      <c r="VAB59" s="64"/>
      <c r="VAC59" s="64"/>
      <c r="VAD59" s="64"/>
      <c r="VAE59" s="64"/>
      <c r="VAF59" s="64"/>
      <c r="VAG59" s="64"/>
      <c r="VAH59" s="64"/>
      <c r="VAI59" s="64"/>
      <c r="VAJ59" s="64"/>
      <c r="VAK59" s="64"/>
      <c r="VAL59" s="64"/>
      <c r="VAM59" s="64"/>
      <c r="VAN59" s="64"/>
      <c r="VAO59" s="64"/>
      <c r="VAP59" s="64"/>
      <c r="VAQ59" s="64"/>
      <c r="VAR59" s="64"/>
      <c r="VAS59" s="64"/>
      <c r="VAT59" s="64"/>
      <c r="VAU59" s="64"/>
      <c r="VAV59" s="64"/>
      <c r="VAW59" s="64"/>
      <c r="VAX59" s="64"/>
      <c r="VAY59" s="64"/>
      <c r="VAZ59" s="64"/>
      <c r="VBA59" s="64"/>
      <c r="VBB59" s="64"/>
      <c r="VBC59" s="64"/>
      <c r="VBD59" s="64"/>
      <c r="VBE59" s="64"/>
      <c r="VBF59" s="64"/>
      <c r="VBG59" s="64"/>
      <c r="VBH59" s="64"/>
      <c r="VBI59" s="64"/>
      <c r="VBJ59" s="64"/>
      <c r="VBK59" s="64"/>
      <c r="VBL59" s="64"/>
      <c r="VBM59" s="64"/>
      <c r="VBN59" s="64"/>
      <c r="VBO59" s="64"/>
      <c r="VBP59" s="64"/>
      <c r="VBQ59" s="64"/>
      <c r="VBR59" s="64"/>
      <c r="VBS59" s="64"/>
      <c r="VBT59" s="64"/>
      <c r="VBU59" s="64"/>
      <c r="VBV59" s="64"/>
      <c r="VBW59" s="64"/>
      <c r="VBX59" s="64"/>
      <c r="VBY59" s="64"/>
      <c r="VBZ59" s="64"/>
      <c r="VCA59" s="64"/>
      <c r="VCB59" s="64"/>
      <c r="VCC59" s="64"/>
      <c r="VCD59" s="64"/>
      <c r="VCE59" s="64"/>
      <c r="VCF59" s="64"/>
      <c r="VCG59" s="64"/>
      <c r="VCH59" s="64"/>
      <c r="VCI59" s="64"/>
      <c r="VCJ59" s="64"/>
      <c r="VCK59" s="64"/>
      <c r="VCL59" s="64"/>
      <c r="VCM59" s="64"/>
      <c r="VCN59" s="64"/>
      <c r="VCO59" s="64"/>
      <c r="VCP59" s="64"/>
      <c r="VCQ59" s="64"/>
      <c r="VCR59" s="64"/>
      <c r="VCS59" s="64"/>
      <c r="VCT59" s="64"/>
      <c r="VCU59" s="64"/>
      <c r="VCV59" s="64"/>
      <c r="VCW59" s="64"/>
      <c r="VCX59" s="64"/>
      <c r="VCY59" s="64"/>
      <c r="VCZ59" s="64"/>
      <c r="VDA59" s="64"/>
      <c r="VDB59" s="64"/>
      <c r="VDC59" s="64"/>
      <c r="VDD59" s="64"/>
      <c r="VDE59" s="64"/>
      <c r="VDF59" s="64"/>
      <c r="VDG59" s="64"/>
      <c r="VDH59" s="64"/>
      <c r="VDI59" s="64"/>
      <c r="VDJ59" s="64"/>
      <c r="VDK59" s="64"/>
      <c r="VDL59" s="64"/>
      <c r="VDM59" s="64"/>
      <c r="VDN59" s="64"/>
      <c r="VDO59" s="64"/>
      <c r="VDP59" s="64"/>
      <c r="VDQ59" s="64"/>
      <c r="VDR59" s="64"/>
      <c r="VDS59" s="64"/>
      <c r="VDT59" s="64"/>
      <c r="VDU59" s="64"/>
      <c r="VDV59" s="64"/>
      <c r="VDW59" s="64"/>
      <c r="VDX59" s="64"/>
      <c r="VDY59" s="64"/>
      <c r="VDZ59" s="64"/>
      <c r="VEA59" s="64"/>
      <c r="VEB59" s="64"/>
      <c r="VEC59" s="64"/>
      <c r="VED59" s="64"/>
      <c r="VEE59" s="64"/>
      <c r="VEF59" s="64"/>
      <c r="VEG59" s="64"/>
      <c r="VEH59" s="64"/>
      <c r="VEI59" s="64"/>
      <c r="VEJ59" s="64"/>
      <c r="VEK59" s="64"/>
      <c r="VEL59" s="64"/>
      <c r="VEM59" s="64"/>
      <c r="VEN59" s="64"/>
      <c r="VEO59" s="64"/>
      <c r="VEP59" s="64"/>
      <c r="VEQ59" s="64"/>
      <c r="VER59" s="64"/>
      <c r="VES59" s="64"/>
      <c r="VET59" s="64"/>
      <c r="VEU59" s="64"/>
      <c r="VEV59" s="64"/>
      <c r="VEW59" s="64"/>
      <c r="VEX59" s="64"/>
      <c r="VEY59" s="64"/>
      <c r="VEZ59" s="64"/>
      <c r="VFA59" s="64"/>
      <c r="VFB59" s="64"/>
      <c r="VFC59" s="64"/>
      <c r="VFD59" s="64"/>
      <c r="VFE59" s="64"/>
      <c r="VFF59" s="64"/>
      <c r="VFG59" s="64"/>
      <c r="VFH59" s="64"/>
      <c r="VFI59" s="64"/>
      <c r="VFJ59" s="64"/>
      <c r="VFK59" s="64"/>
      <c r="VFL59" s="64"/>
      <c r="VFM59" s="64"/>
      <c r="VFN59" s="64"/>
      <c r="VFO59" s="64"/>
      <c r="VFP59" s="64"/>
      <c r="VFQ59" s="64"/>
      <c r="VFR59" s="64"/>
      <c r="VFS59" s="64"/>
      <c r="VFT59" s="64"/>
      <c r="VFU59" s="64"/>
      <c r="VFV59" s="64"/>
      <c r="VFW59" s="64"/>
      <c r="VFX59" s="64"/>
      <c r="VFY59" s="64"/>
      <c r="VFZ59" s="64"/>
      <c r="VGA59" s="64"/>
      <c r="VGB59" s="64"/>
      <c r="VGC59" s="64"/>
      <c r="VGD59" s="64"/>
      <c r="VGE59" s="64"/>
      <c r="VGF59" s="64"/>
      <c r="VGG59" s="64"/>
      <c r="VGH59" s="64"/>
      <c r="VGI59" s="64"/>
      <c r="VGJ59" s="64"/>
      <c r="VGK59" s="64"/>
      <c r="VGL59" s="64"/>
      <c r="VGM59" s="64"/>
      <c r="VGN59" s="64"/>
      <c r="VGO59" s="64"/>
      <c r="VGP59" s="64"/>
      <c r="VGQ59" s="64"/>
      <c r="VGR59" s="64"/>
      <c r="VGS59" s="64"/>
      <c r="VGT59" s="64"/>
      <c r="VGU59" s="64"/>
      <c r="VGV59" s="64"/>
      <c r="VGW59" s="64"/>
      <c r="VGX59" s="64"/>
      <c r="VGY59" s="64"/>
      <c r="VGZ59" s="64"/>
      <c r="VHA59" s="64"/>
      <c r="VHB59" s="64"/>
      <c r="VHC59" s="64"/>
      <c r="VHD59" s="64"/>
      <c r="VHE59" s="64"/>
      <c r="VHF59" s="64"/>
      <c r="VHG59" s="64"/>
      <c r="VHH59" s="64"/>
      <c r="VHI59" s="64"/>
      <c r="VHJ59" s="64"/>
      <c r="VHK59" s="64"/>
      <c r="VHL59" s="64"/>
      <c r="VHM59" s="64"/>
      <c r="VHN59" s="64"/>
      <c r="VHO59" s="64"/>
      <c r="VHP59" s="64"/>
      <c r="VHQ59" s="64"/>
      <c r="VHR59" s="64"/>
      <c r="VHS59" s="64"/>
      <c r="VHT59" s="64"/>
      <c r="VHU59" s="64"/>
      <c r="VHV59" s="64"/>
      <c r="VHW59" s="64"/>
      <c r="VHX59" s="64"/>
      <c r="VHY59" s="64"/>
      <c r="VHZ59" s="64"/>
      <c r="VIA59" s="64"/>
      <c r="VIB59" s="64"/>
      <c r="VIC59" s="64"/>
      <c r="VID59" s="64"/>
      <c r="VIE59" s="64"/>
      <c r="VIF59" s="64"/>
      <c r="VIG59" s="64"/>
      <c r="VIH59" s="64"/>
      <c r="VII59" s="64"/>
      <c r="VIJ59" s="64"/>
      <c r="VIK59" s="64"/>
      <c r="VIL59" s="64"/>
      <c r="VIM59" s="64"/>
      <c r="VIN59" s="64"/>
      <c r="VIO59" s="64"/>
      <c r="VIP59" s="64"/>
      <c r="VIQ59" s="64"/>
      <c r="VIR59" s="64"/>
      <c r="VIS59" s="64"/>
      <c r="VIT59" s="64"/>
      <c r="VIU59" s="64"/>
      <c r="VIV59" s="64"/>
      <c r="VIW59" s="64"/>
      <c r="VIX59" s="64"/>
      <c r="VIY59" s="64"/>
      <c r="VIZ59" s="64"/>
      <c r="VJA59" s="64"/>
      <c r="VJB59" s="64"/>
      <c r="VJC59" s="64"/>
      <c r="VJD59" s="64"/>
      <c r="VJE59" s="64"/>
      <c r="VJF59" s="64"/>
      <c r="VJG59" s="64"/>
      <c r="VJH59" s="64"/>
      <c r="VJI59" s="64"/>
      <c r="VJJ59" s="64"/>
      <c r="VJK59" s="64"/>
      <c r="VJL59" s="64"/>
      <c r="VJM59" s="64"/>
      <c r="VJN59" s="64"/>
      <c r="VJO59" s="64"/>
      <c r="VJP59" s="64"/>
      <c r="VJQ59" s="64"/>
      <c r="VJR59" s="64"/>
      <c r="VJS59" s="64"/>
      <c r="VJT59" s="64"/>
      <c r="VJU59" s="64"/>
      <c r="VJV59" s="64"/>
      <c r="VJW59" s="64"/>
      <c r="VJX59" s="64"/>
      <c r="VJY59" s="64"/>
      <c r="VJZ59" s="64"/>
      <c r="VKA59" s="64"/>
      <c r="VKB59" s="64"/>
      <c r="VKC59" s="64"/>
      <c r="VKD59" s="64"/>
      <c r="VKE59" s="64"/>
      <c r="VKF59" s="64"/>
      <c r="VKG59" s="64"/>
      <c r="VKH59" s="64"/>
      <c r="VKI59" s="64"/>
      <c r="VKJ59" s="64"/>
      <c r="VKK59" s="64"/>
      <c r="VKL59" s="64"/>
      <c r="VKM59" s="64"/>
      <c r="VKN59" s="64"/>
      <c r="VKO59" s="64"/>
      <c r="VKP59" s="64"/>
      <c r="VKQ59" s="64"/>
      <c r="VKR59" s="64"/>
      <c r="VKS59" s="64"/>
      <c r="VKT59" s="64"/>
      <c r="VKU59" s="64"/>
      <c r="VKV59" s="64"/>
      <c r="VKW59" s="64"/>
      <c r="VKX59" s="64"/>
      <c r="VKY59" s="64"/>
      <c r="VKZ59" s="64"/>
      <c r="VLA59" s="64"/>
      <c r="VLB59" s="64"/>
      <c r="VLC59" s="64"/>
      <c r="VLD59" s="64"/>
      <c r="VLE59" s="64"/>
      <c r="VLF59" s="64"/>
      <c r="VLG59" s="64"/>
      <c r="VLH59" s="64"/>
      <c r="VLI59" s="64"/>
      <c r="VLJ59" s="64"/>
      <c r="VLK59" s="64"/>
      <c r="VLL59" s="64"/>
      <c r="VLM59" s="64"/>
      <c r="VLN59" s="64"/>
      <c r="VLO59" s="64"/>
      <c r="VLP59" s="64"/>
      <c r="VLQ59" s="64"/>
      <c r="VLR59" s="64"/>
      <c r="VLS59" s="64"/>
      <c r="VLT59" s="64"/>
      <c r="VLU59" s="64"/>
      <c r="VLV59" s="64"/>
      <c r="VLW59" s="64"/>
      <c r="VLX59" s="64"/>
      <c r="VLY59" s="64"/>
      <c r="VLZ59" s="64"/>
      <c r="VMA59" s="64"/>
      <c r="VMB59" s="64"/>
      <c r="VMC59" s="64"/>
      <c r="VMD59" s="64"/>
      <c r="VME59" s="64"/>
      <c r="VMF59" s="64"/>
      <c r="VMG59" s="64"/>
      <c r="VMH59" s="64"/>
      <c r="VMI59" s="64"/>
      <c r="VMJ59" s="64"/>
      <c r="VMK59" s="64"/>
      <c r="VML59" s="64"/>
      <c r="VMM59" s="64"/>
      <c r="VMN59" s="64"/>
      <c r="VMO59" s="64"/>
      <c r="VMP59" s="64"/>
      <c r="VMQ59" s="64"/>
      <c r="VMR59" s="64"/>
      <c r="VMS59" s="64"/>
      <c r="VMT59" s="64"/>
      <c r="VMU59" s="64"/>
      <c r="VMV59" s="64"/>
      <c r="VMW59" s="64"/>
      <c r="VMX59" s="64"/>
      <c r="VMY59" s="64"/>
      <c r="VMZ59" s="64"/>
      <c r="VNA59" s="64"/>
      <c r="VNB59" s="64"/>
      <c r="VNC59" s="64"/>
      <c r="VND59" s="64"/>
      <c r="VNE59" s="64"/>
      <c r="VNF59" s="64"/>
      <c r="VNG59" s="64"/>
      <c r="VNH59" s="64"/>
      <c r="VNI59" s="64"/>
      <c r="VNJ59" s="64"/>
      <c r="VNK59" s="64"/>
      <c r="VNL59" s="64"/>
      <c r="VNM59" s="64"/>
      <c r="VNN59" s="64"/>
      <c r="VNO59" s="64"/>
      <c r="VNP59" s="64"/>
      <c r="VNQ59" s="64"/>
      <c r="VNR59" s="64"/>
      <c r="VNS59" s="64"/>
      <c r="VNT59" s="64"/>
      <c r="VNU59" s="64"/>
      <c r="VNV59" s="64"/>
      <c r="VNW59" s="64"/>
      <c r="VNX59" s="64"/>
      <c r="VNY59" s="64"/>
      <c r="VNZ59" s="64"/>
      <c r="VOA59" s="64"/>
      <c r="VOB59" s="64"/>
      <c r="VOC59" s="64"/>
      <c r="VOD59" s="64"/>
      <c r="VOE59" s="64"/>
      <c r="VOF59" s="64"/>
      <c r="VOG59" s="64"/>
      <c r="VOH59" s="64"/>
      <c r="VOI59" s="64"/>
      <c r="VOJ59" s="64"/>
      <c r="VOK59" s="64"/>
      <c r="VOL59" s="64"/>
      <c r="VOM59" s="64"/>
      <c r="VON59" s="64"/>
      <c r="VOO59" s="64"/>
      <c r="VOP59" s="64"/>
      <c r="VOQ59" s="64"/>
      <c r="VOR59" s="64"/>
      <c r="VOS59" s="64"/>
      <c r="VOT59" s="64"/>
      <c r="VOU59" s="64"/>
      <c r="VOV59" s="64"/>
      <c r="VOW59" s="64"/>
      <c r="VOX59" s="64"/>
      <c r="VOY59" s="64"/>
      <c r="VOZ59" s="64"/>
      <c r="VPA59" s="64"/>
      <c r="VPB59" s="64"/>
      <c r="VPC59" s="64"/>
      <c r="VPD59" s="64"/>
      <c r="VPE59" s="64"/>
      <c r="VPF59" s="64"/>
      <c r="VPG59" s="64"/>
      <c r="VPH59" s="64"/>
      <c r="VPI59" s="64"/>
      <c r="VPJ59" s="64"/>
      <c r="VPK59" s="64"/>
      <c r="VPL59" s="64"/>
      <c r="VPM59" s="64"/>
      <c r="VPN59" s="64"/>
      <c r="VPO59" s="64"/>
      <c r="VPP59" s="64"/>
      <c r="VPQ59" s="64"/>
      <c r="VPR59" s="64"/>
      <c r="VPS59" s="64"/>
      <c r="VPT59" s="64"/>
      <c r="VPU59" s="64"/>
      <c r="VPV59" s="64"/>
      <c r="VPW59" s="64"/>
      <c r="VPX59" s="64"/>
      <c r="VPY59" s="64"/>
      <c r="VPZ59" s="64"/>
      <c r="VQA59" s="64"/>
      <c r="VQB59" s="64"/>
      <c r="VQC59" s="64"/>
      <c r="VQD59" s="64"/>
      <c r="VQE59" s="64"/>
      <c r="VQF59" s="64"/>
      <c r="VQG59" s="64"/>
      <c r="VQH59" s="64"/>
      <c r="VQI59" s="64"/>
      <c r="VQJ59" s="64"/>
      <c r="VQK59" s="64"/>
      <c r="VQL59" s="64"/>
      <c r="VQM59" s="64"/>
      <c r="VQN59" s="64"/>
      <c r="VQO59" s="64"/>
      <c r="VQP59" s="64"/>
      <c r="VQQ59" s="64"/>
      <c r="VQR59" s="64"/>
      <c r="VQS59" s="64"/>
      <c r="VQT59" s="64"/>
      <c r="VQU59" s="64"/>
      <c r="VQV59" s="64"/>
      <c r="VQW59" s="64"/>
      <c r="VQX59" s="64"/>
      <c r="VQY59" s="64"/>
      <c r="VQZ59" s="64"/>
      <c r="VRA59" s="64"/>
      <c r="VRB59" s="64"/>
      <c r="VRC59" s="64"/>
      <c r="VRD59" s="64"/>
      <c r="VRE59" s="64"/>
      <c r="VRF59" s="64"/>
      <c r="VRG59" s="64"/>
      <c r="VRH59" s="64"/>
      <c r="VRI59" s="64"/>
      <c r="VRJ59" s="64"/>
      <c r="VRK59" s="64"/>
      <c r="VRL59" s="64"/>
      <c r="VRM59" s="64"/>
      <c r="VRN59" s="64"/>
      <c r="VRO59" s="64"/>
      <c r="VRP59" s="64"/>
      <c r="VRQ59" s="64"/>
      <c r="VRR59" s="64"/>
      <c r="VRS59" s="64"/>
      <c r="VRT59" s="64"/>
      <c r="VRU59" s="64"/>
      <c r="VRV59" s="64"/>
      <c r="VRW59" s="64"/>
      <c r="VRX59" s="64"/>
      <c r="VRY59" s="64"/>
      <c r="VRZ59" s="64"/>
      <c r="VSA59" s="64"/>
      <c r="VSB59" s="64"/>
      <c r="VSC59" s="64"/>
      <c r="VSD59" s="64"/>
      <c r="VSE59" s="64"/>
      <c r="VSF59" s="64"/>
      <c r="VSG59" s="64"/>
      <c r="VSH59" s="64"/>
      <c r="VSI59" s="64"/>
      <c r="VSJ59" s="64"/>
      <c r="VSK59" s="64"/>
      <c r="VSL59" s="64"/>
      <c r="VSM59" s="64"/>
      <c r="VSN59" s="64"/>
      <c r="VSO59" s="64"/>
      <c r="VSP59" s="64"/>
      <c r="VSQ59" s="64"/>
      <c r="VSR59" s="64"/>
      <c r="VSS59" s="64"/>
      <c r="VST59" s="64"/>
      <c r="VSU59" s="64"/>
      <c r="VSV59" s="64"/>
      <c r="VSW59" s="64"/>
      <c r="VSX59" s="64"/>
      <c r="VSY59" s="64"/>
      <c r="VSZ59" s="64"/>
      <c r="VTA59" s="64"/>
      <c r="VTB59" s="64"/>
      <c r="VTC59" s="64"/>
      <c r="VTD59" s="64"/>
      <c r="VTE59" s="64"/>
      <c r="VTF59" s="64"/>
      <c r="VTG59" s="64"/>
      <c r="VTH59" s="64"/>
      <c r="VTI59" s="64"/>
      <c r="VTJ59" s="64"/>
      <c r="VTK59" s="64"/>
      <c r="VTL59" s="64"/>
      <c r="VTM59" s="64"/>
      <c r="VTN59" s="64"/>
      <c r="VTO59" s="64"/>
      <c r="VTP59" s="64"/>
      <c r="VTQ59" s="64"/>
      <c r="VTR59" s="64"/>
      <c r="VTS59" s="64"/>
      <c r="VTT59" s="64"/>
      <c r="VTU59" s="64"/>
      <c r="VTV59" s="64"/>
      <c r="VTW59" s="64"/>
      <c r="VTX59" s="64"/>
      <c r="VTY59" s="64"/>
      <c r="VTZ59" s="64"/>
      <c r="VUA59" s="64"/>
      <c r="VUB59" s="64"/>
      <c r="VUC59" s="64"/>
      <c r="VUD59" s="64"/>
      <c r="VUE59" s="64"/>
      <c r="VUF59" s="64"/>
      <c r="VUG59" s="64"/>
      <c r="VUH59" s="64"/>
      <c r="VUI59" s="64"/>
      <c r="VUJ59" s="64"/>
      <c r="VUK59" s="64"/>
      <c r="VUL59" s="64"/>
      <c r="VUM59" s="64"/>
      <c r="VUN59" s="64"/>
      <c r="VUO59" s="64"/>
      <c r="VUP59" s="64"/>
      <c r="VUQ59" s="64"/>
      <c r="VUR59" s="64"/>
      <c r="VUS59" s="64"/>
      <c r="VUT59" s="64"/>
      <c r="VUU59" s="64"/>
      <c r="VUV59" s="64"/>
      <c r="VUW59" s="64"/>
      <c r="VUX59" s="64"/>
      <c r="VUY59" s="64"/>
      <c r="VUZ59" s="64"/>
      <c r="VVA59" s="64"/>
      <c r="VVB59" s="64"/>
      <c r="VVC59" s="64"/>
      <c r="VVD59" s="64"/>
      <c r="VVE59" s="64"/>
      <c r="VVF59" s="64"/>
      <c r="VVG59" s="64"/>
      <c r="VVH59" s="64"/>
      <c r="VVI59" s="64"/>
      <c r="VVJ59" s="64"/>
      <c r="VVK59" s="64"/>
      <c r="VVL59" s="64"/>
      <c r="VVM59" s="64"/>
      <c r="VVN59" s="64"/>
      <c r="VVO59" s="64"/>
      <c r="VVP59" s="64"/>
      <c r="VVQ59" s="64"/>
      <c r="VVR59" s="64"/>
      <c r="VVS59" s="64"/>
      <c r="VVT59" s="64"/>
      <c r="VVU59" s="64"/>
      <c r="VVV59" s="64"/>
      <c r="VVW59" s="64"/>
      <c r="VVX59" s="64"/>
      <c r="VVY59" s="64"/>
      <c r="VVZ59" s="64"/>
      <c r="VWA59" s="64"/>
      <c r="VWB59" s="64"/>
      <c r="VWC59" s="64"/>
      <c r="VWD59" s="64"/>
      <c r="VWE59" s="64"/>
      <c r="VWF59" s="64"/>
      <c r="VWG59" s="64"/>
      <c r="VWH59" s="64"/>
      <c r="VWI59" s="64"/>
      <c r="VWJ59" s="64"/>
      <c r="VWK59" s="64"/>
      <c r="VWL59" s="64"/>
      <c r="VWM59" s="64"/>
      <c r="VWN59" s="64"/>
      <c r="VWO59" s="64"/>
      <c r="VWP59" s="64"/>
      <c r="VWQ59" s="64"/>
      <c r="VWR59" s="64"/>
      <c r="VWS59" s="64"/>
      <c r="VWT59" s="64"/>
      <c r="VWU59" s="64"/>
      <c r="VWV59" s="64"/>
      <c r="VWW59" s="64"/>
      <c r="VWX59" s="64"/>
      <c r="VWY59" s="64"/>
      <c r="VWZ59" s="64"/>
      <c r="VXA59" s="64"/>
      <c r="VXB59" s="64"/>
      <c r="VXC59" s="64"/>
      <c r="VXD59" s="64"/>
      <c r="VXE59" s="64"/>
      <c r="VXF59" s="64"/>
      <c r="VXG59" s="64"/>
      <c r="VXH59" s="64"/>
      <c r="VXI59" s="64"/>
      <c r="VXJ59" s="64"/>
      <c r="VXK59" s="64"/>
      <c r="VXL59" s="64"/>
      <c r="VXM59" s="64"/>
      <c r="VXN59" s="64"/>
      <c r="VXO59" s="64"/>
      <c r="VXP59" s="64"/>
      <c r="VXQ59" s="64"/>
      <c r="VXR59" s="64"/>
      <c r="VXS59" s="64"/>
      <c r="VXT59" s="64"/>
      <c r="VXU59" s="64"/>
      <c r="VXV59" s="64"/>
      <c r="VXW59" s="64"/>
      <c r="VXX59" s="64"/>
      <c r="VXY59" s="64"/>
      <c r="VXZ59" s="64"/>
      <c r="VYA59" s="64"/>
      <c r="VYB59" s="64"/>
      <c r="VYC59" s="64"/>
      <c r="VYD59" s="64"/>
      <c r="VYE59" s="64"/>
      <c r="VYF59" s="64"/>
      <c r="VYG59" s="64"/>
      <c r="VYH59" s="64"/>
      <c r="VYI59" s="64"/>
      <c r="VYJ59" s="64"/>
      <c r="VYK59" s="64"/>
      <c r="VYL59" s="64"/>
      <c r="VYM59" s="64"/>
      <c r="VYN59" s="64"/>
      <c r="VYO59" s="64"/>
      <c r="VYP59" s="64"/>
      <c r="VYQ59" s="64"/>
      <c r="VYR59" s="64"/>
      <c r="VYS59" s="64"/>
      <c r="VYT59" s="64"/>
      <c r="VYU59" s="64"/>
      <c r="VYV59" s="64"/>
      <c r="VYW59" s="64"/>
      <c r="VYX59" s="64"/>
      <c r="VYY59" s="64"/>
      <c r="VYZ59" s="64"/>
      <c r="VZA59" s="64"/>
      <c r="VZB59" s="64"/>
      <c r="VZC59" s="64"/>
      <c r="VZD59" s="64"/>
      <c r="VZE59" s="64"/>
      <c r="VZF59" s="64"/>
      <c r="VZG59" s="64"/>
      <c r="VZH59" s="64"/>
      <c r="VZI59" s="64"/>
      <c r="VZJ59" s="64"/>
      <c r="VZK59" s="64"/>
      <c r="VZL59" s="64"/>
      <c r="VZM59" s="64"/>
      <c r="VZN59" s="64"/>
      <c r="VZO59" s="64"/>
      <c r="VZP59" s="64"/>
      <c r="VZQ59" s="64"/>
      <c r="VZR59" s="64"/>
      <c r="VZS59" s="64"/>
      <c r="VZT59" s="64"/>
      <c r="VZU59" s="64"/>
      <c r="VZV59" s="64"/>
      <c r="VZW59" s="64"/>
      <c r="VZX59" s="64"/>
      <c r="VZY59" s="64"/>
      <c r="VZZ59" s="64"/>
      <c r="WAA59" s="64"/>
      <c r="WAB59" s="64"/>
      <c r="WAC59" s="64"/>
      <c r="WAD59" s="64"/>
      <c r="WAE59" s="64"/>
      <c r="WAF59" s="64"/>
      <c r="WAG59" s="64"/>
      <c r="WAH59" s="64"/>
      <c r="WAI59" s="64"/>
      <c r="WAJ59" s="64"/>
      <c r="WAK59" s="64"/>
      <c r="WAL59" s="64"/>
      <c r="WAM59" s="64"/>
      <c r="WAN59" s="64"/>
      <c r="WAO59" s="64"/>
      <c r="WAP59" s="64"/>
      <c r="WAQ59" s="64"/>
      <c r="WAR59" s="64"/>
      <c r="WAS59" s="64"/>
      <c r="WAT59" s="64"/>
      <c r="WAU59" s="64"/>
      <c r="WAV59" s="64"/>
      <c r="WAW59" s="64"/>
      <c r="WAX59" s="64"/>
      <c r="WAY59" s="64"/>
      <c r="WAZ59" s="64"/>
      <c r="WBA59" s="64"/>
      <c r="WBB59" s="64"/>
      <c r="WBC59" s="64"/>
      <c r="WBD59" s="64"/>
      <c r="WBE59" s="64"/>
      <c r="WBF59" s="64"/>
      <c r="WBG59" s="64"/>
      <c r="WBH59" s="64"/>
      <c r="WBI59" s="64"/>
      <c r="WBJ59" s="64"/>
      <c r="WBK59" s="64"/>
      <c r="WBL59" s="64"/>
      <c r="WBM59" s="64"/>
      <c r="WBN59" s="64"/>
      <c r="WBO59" s="64"/>
      <c r="WBP59" s="64"/>
      <c r="WBQ59" s="64"/>
      <c r="WBR59" s="64"/>
      <c r="WBS59" s="64"/>
      <c r="WBT59" s="64"/>
      <c r="WBU59" s="64"/>
      <c r="WBV59" s="64"/>
      <c r="WBW59" s="64"/>
      <c r="WBX59" s="64"/>
      <c r="WBY59" s="64"/>
      <c r="WBZ59" s="64"/>
      <c r="WCA59" s="64"/>
      <c r="WCB59" s="64"/>
      <c r="WCC59" s="64"/>
      <c r="WCD59" s="64"/>
      <c r="WCE59" s="64"/>
      <c r="WCF59" s="64"/>
      <c r="WCG59" s="64"/>
      <c r="WCH59" s="64"/>
      <c r="WCI59" s="64"/>
      <c r="WCJ59" s="64"/>
      <c r="WCK59" s="64"/>
      <c r="WCL59" s="64"/>
      <c r="WCM59" s="64"/>
      <c r="WCN59" s="64"/>
      <c r="WCO59" s="64"/>
      <c r="WCP59" s="64"/>
      <c r="WCQ59" s="64"/>
      <c r="WCR59" s="64"/>
      <c r="WCS59" s="64"/>
      <c r="WCT59" s="64"/>
      <c r="WCU59" s="64"/>
      <c r="WCV59" s="64"/>
      <c r="WCW59" s="64"/>
      <c r="WCX59" s="64"/>
      <c r="WCY59" s="64"/>
      <c r="WCZ59" s="64"/>
      <c r="WDA59" s="64"/>
      <c r="WDB59" s="64"/>
      <c r="WDC59" s="64"/>
      <c r="WDD59" s="64"/>
      <c r="WDE59" s="64"/>
      <c r="WDF59" s="64"/>
      <c r="WDG59" s="64"/>
      <c r="WDH59" s="64"/>
      <c r="WDI59" s="64"/>
      <c r="WDJ59" s="64"/>
      <c r="WDK59" s="64"/>
      <c r="WDL59" s="64"/>
      <c r="WDM59" s="64"/>
      <c r="WDN59" s="64"/>
      <c r="WDO59" s="64"/>
      <c r="WDP59" s="64"/>
      <c r="WDQ59" s="64"/>
      <c r="WDR59" s="64"/>
      <c r="WDS59" s="64"/>
      <c r="WDT59" s="64"/>
      <c r="WDU59" s="64"/>
      <c r="WDV59" s="64"/>
      <c r="WDW59" s="64"/>
      <c r="WDX59" s="64"/>
      <c r="WDY59" s="64"/>
      <c r="WDZ59" s="64"/>
      <c r="WEA59" s="64"/>
      <c r="WEB59" s="64"/>
      <c r="WEC59" s="64"/>
      <c r="WED59" s="64"/>
      <c r="WEE59" s="64"/>
      <c r="WEF59" s="64"/>
      <c r="WEG59" s="64"/>
      <c r="WEH59" s="64"/>
      <c r="WEI59" s="64"/>
      <c r="WEJ59" s="64"/>
      <c r="WEK59" s="64"/>
      <c r="WEL59" s="64"/>
      <c r="WEM59" s="64"/>
      <c r="WEN59" s="64"/>
      <c r="WEO59" s="64"/>
      <c r="WEP59" s="64"/>
      <c r="WEQ59" s="64"/>
      <c r="WER59" s="64"/>
      <c r="WES59" s="64"/>
      <c r="WET59" s="64"/>
      <c r="WEU59" s="64"/>
      <c r="WEV59" s="64"/>
      <c r="WEW59" s="64"/>
      <c r="WEX59" s="64"/>
      <c r="WEY59" s="64"/>
      <c r="WEZ59" s="64"/>
      <c r="WFA59" s="64"/>
      <c r="WFB59" s="64"/>
      <c r="WFC59" s="64"/>
      <c r="WFD59" s="64"/>
      <c r="WFE59" s="64"/>
      <c r="WFF59" s="64"/>
      <c r="WFG59" s="64"/>
      <c r="WFH59" s="64"/>
      <c r="WFI59" s="64"/>
      <c r="WFJ59" s="64"/>
      <c r="WFK59" s="64"/>
      <c r="WFL59" s="64"/>
      <c r="WFM59" s="64"/>
      <c r="WFN59" s="64"/>
      <c r="WFO59" s="64"/>
      <c r="WFP59" s="64"/>
      <c r="WFQ59" s="64"/>
      <c r="WFR59" s="64"/>
      <c r="WFS59" s="64"/>
      <c r="WFT59" s="64"/>
      <c r="WFU59" s="64"/>
      <c r="WFV59" s="64"/>
      <c r="WFW59" s="64"/>
      <c r="WFX59" s="64"/>
      <c r="WFY59" s="64"/>
      <c r="WFZ59" s="64"/>
      <c r="WGA59" s="64"/>
      <c r="WGB59" s="64"/>
      <c r="WGC59" s="64"/>
      <c r="WGD59" s="64"/>
      <c r="WGE59" s="64"/>
      <c r="WGF59" s="64"/>
      <c r="WGG59" s="64"/>
      <c r="WGH59" s="64"/>
      <c r="WGI59" s="64"/>
      <c r="WGJ59" s="64"/>
      <c r="WGK59" s="64"/>
      <c r="WGL59" s="64"/>
      <c r="WGM59" s="64"/>
      <c r="WGN59" s="64"/>
      <c r="WGO59" s="64"/>
      <c r="WGP59" s="64"/>
      <c r="WGQ59" s="64"/>
      <c r="WGR59" s="64"/>
      <c r="WGS59" s="64"/>
      <c r="WGT59" s="64"/>
      <c r="WGU59" s="64"/>
      <c r="WGV59" s="64"/>
      <c r="WGW59" s="64"/>
      <c r="WGX59" s="64"/>
      <c r="WGY59" s="64"/>
      <c r="WGZ59" s="64"/>
      <c r="WHA59" s="64"/>
      <c r="WHB59" s="64"/>
      <c r="WHC59" s="64"/>
      <c r="WHD59" s="64"/>
      <c r="WHE59" s="64"/>
      <c r="WHF59" s="64"/>
      <c r="WHG59" s="64"/>
      <c r="WHH59" s="64"/>
      <c r="WHI59" s="64"/>
      <c r="WHJ59" s="64"/>
      <c r="WHK59" s="64"/>
      <c r="WHL59" s="64"/>
      <c r="WHM59" s="64"/>
      <c r="WHN59" s="64"/>
      <c r="WHO59" s="64"/>
      <c r="WHP59" s="64"/>
      <c r="WHQ59" s="64"/>
      <c r="WHR59" s="64"/>
      <c r="WHS59" s="64"/>
      <c r="WHT59" s="64"/>
      <c r="WHU59" s="64"/>
      <c r="WHV59" s="64"/>
      <c r="WHW59" s="64"/>
      <c r="WHX59" s="64"/>
      <c r="WHY59" s="64"/>
      <c r="WHZ59" s="64"/>
      <c r="WIA59" s="64"/>
      <c r="WIB59" s="64"/>
      <c r="WIC59" s="64"/>
      <c r="WID59" s="64"/>
      <c r="WIE59" s="64"/>
      <c r="WIF59" s="64"/>
      <c r="WIG59" s="64"/>
      <c r="WIH59" s="64"/>
      <c r="WII59" s="64"/>
      <c r="WIJ59" s="64"/>
      <c r="WIK59" s="64"/>
      <c r="WIL59" s="64"/>
      <c r="WIM59" s="64"/>
      <c r="WIN59" s="64"/>
      <c r="WIO59" s="64"/>
      <c r="WIP59" s="64"/>
      <c r="WIQ59" s="64"/>
      <c r="WIR59" s="64"/>
      <c r="WIS59" s="64"/>
      <c r="WIT59" s="64"/>
      <c r="WIU59" s="64"/>
      <c r="WIV59" s="64"/>
      <c r="WIW59" s="64"/>
      <c r="WIX59" s="64"/>
      <c r="WIY59" s="64"/>
      <c r="WIZ59" s="64"/>
      <c r="WJA59" s="64"/>
      <c r="WJB59" s="64"/>
      <c r="WJC59" s="64"/>
      <c r="WJD59" s="64"/>
      <c r="WJE59" s="64"/>
      <c r="WJF59" s="64"/>
      <c r="WJG59" s="64"/>
      <c r="WJH59" s="64"/>
      <c r="WJI59" s="64"/>
      <c r="WJJ59" s="64"/>
      <c r="WJK59" s="64"/>
      <c r="WJL59" s="64"/>
      <c r="WJM59" s="64"/>
      <c r="WJN59" s="64"/>
      <c r="WJO59" s="64"/>
      <c r="WJP59" s="64"/>
      <c r="WJQ59" s="64"/>
      <c r="WJR59" s="64"/>
      <c r="WJS59" s="64"/>
      <c r="WJT59" s="64"/>
      <c r="WJU59" s="64"/>
      <c r="WJV59" s="64"/>
      <c r="WJW59" s="64"/>
      <c r="WJX59" s="64"/>
      <c r="WJY59" s="64"/>
      <c r="WJZ59" s="64"/>
      <c r="WKA59" s="64"/>
      <c r="WKB59" s="64"/>
      <c r="WKC59" s="64"/>
      <c r="WKD59" s="64"/>
      <c r="WKE59" s="64"/>
      <c r="WKF59" s="64"/>
      <c r="WKG59" s="64"/>
      <c r="WKH59" s="64"/>
      <c r="WKI59" s="64"/>
      <c r="WKJ59" s="64"/>
      <c r="WKK59" s="64"/>
      <c r="WKL59" s="64"/>
      <c r="WKM59" s="64"/>
      <c r="WKN59" s="64"/>
      <c r="WKO59" s="64"/>
      <c r="WKP59" s="64"/>
      <c r="WKQ59" s="64"/>
      <c r="WKR59" s="64"/>
      <c r="WKS59" s="64"/>
      <c r="WKT59" s="64"/>
      <c r="WKU59" s="64"/>
      <c r="WKV59" s="64"/>
      <c r="WKW59" s="64"/>
      <c r="WKX59" s="64"/>
      <c r="WKY59" s="64"/>
      <c r="WKZ59" s="64"/>
      <c r="WLA59" s="64"/>
      <c r="WLB59" s="64"/>
      <c r="WLC59" s="64"/>
      <c r="WLD59" s="64"/>
      <c r="WLE59" s="64"/>
      <c r="WLF59" s="64"/>
      <c r="WLG59" s="64"/>
      <c r="WLH59" s="64"/>
      <c r="WLI59" s="64"/>
      <c r="WLJ59" s="64"/>
      <c r="WLK59" s="64"/>
      <c r="WLL59" s="64"/>
      <c r="WLM59" s="64"/>
      <c r="WLN59" s="64"/>
      <c r="WLO59" s="64"/>
      <c r="WLP59" s="64"/>
      <c r="WLQ59" s="64"/>
      <c r="WLR59" s="64"/>
      <c r="WLS59" s="64"/>
      <c r="WLT59" s="64"/>
      <c r="WLU59" s="64"/>
      <c r="WLV59" s="64"/>
      <c r="WLW59" s="64"/>
      <c r="WLX59" s="64"/>
      <c r="WLY59" s="64"/>
      <c r="WLZ59" s="64"/>
      <c r="WMA59" s="64"/>
      <c r="WMB59" s="64"/>
      <c r="WMC59" s="64"/>
      <c r="WMD59" s="64"/>
      <c r="WME59" s="64"/>
      <c r="WMF59" s="64"/>
      <c r="WMG59" s="64"/>
      <c r="WMH59" s="64"/>
      <c r="WMI59" s="64"/>
      <c r="WMJ59" s="64"/>
      <c r="WMK59" s="64"/>
      <c r="WML59" s="64"/>
      <c r="WMM59" s="64"/>
      <c r="WMN59" s="64"/>
      <c r="WMO59" s="64"/>
      <c r="WMP59" s="64"/>
      <c r="WMQ59" s="64"/>
      <c r="WMR59" s="64"/>
      <c r="WMS59" s="64"/>
      <c r="WMT59" s="64"/>
      <c r="WMU59" s="64"/>
      <c r="WMV59" s="64"/>
      <c r="WMW59" s="64"/>
      <c r="WMX59" s="64"/>
      <c r="WMY59" s="64"/>
      <c r="WMZ59" s="64"/>
      <c r="WNA59" s="64"/>
      <c r="WNB59" s="64"/>
      <c r="WNC59" s="64"/>
      <c r="WND59" s="64"/>
      <c r="WNE59" s="64"/>
      <c r="WNF59" s="64"/>
      <c r="WNG59" s="64"/>
      <c r="WNH59" s="64"/>
      <c r="WNI59" s="64"/>
      <c r="WNJ59" s="64"/>
      <c r="WNK59" s="64"/>
      <c r="WNL59" s="64"/>
      <c r="WNM59" s="64"/>
      <c r="WNN59" s="64"/>
      <c r="WNO59" s="64"/>
      <c r="WNP59" s="64"/>
      <c r="WNQ59" s="64"/>
      <c r="WNR59" s="64"/>
      <c r="WNS59" s="64"/>
      <c r="WNT59" s="64"/>
      <c r="WNU59" s="64"/>
      <c r="WNV59" s="64"/>
      <c r="WNW59" s="64"/>
      <c r="WNX59" s="64"/>
      <c r="WNY59" s="64"/>
      <c r="WNZ59" s="64"/>
      <c r="WOA59" s="64"/>
      <c r="WOB59" s="64"/>
      <c r="WOC59" s="64"/>
      <c r="WOD59" s="64"/>
      <c r="WOE59" s="64"/>
      <c r="WOF59" s="64"/>
      <c r="WOG59" s="64"/>
      <c r="WOH59" s="64"/>
      <c r="WOI59" s="64"/>
      <c r="WOJ59" s="64"/>
      <c r="WOK59" s="64"/>
      <c r="WOL59" s="64"/>
      <c r="WOM59" s="64"/>
      <c r="WON59" s="64"/>
      <c r="WOO59" s="64"/>
      <c r="WOP59" s="64"/>
      <c r="WOQ59" s="64"/>
      <c r="WOR59" s="64"/>
      <c r="WOS59" s="64"/>
      <c r="WOT59" s="64"/>
      <c r="WOU59" s="64"/>
      <c r="WOV59" s="64"/>
      <c r="WOW59" s="64"/>
      <c r="WOX59" s="64"/>
      <c r="WOY59" s="64"/>
      <c r="WOZ59" s="64"/>
      <c r="WPA59" s="64"/>
      <c r="WPB59" s="64"/>
      <c r="WPC59" s="64"/>
      <c r="WPD59" s="64"/>
      <c r="WPE59" s="64"/>
      <c r="WPF59" s="64"/>
      <c r="WPG59" s="64"/>
      <c r="WPH59" s="64"/>
      <c r="WPI59" s="64"/>
      <c r="WPJ59" s="64"/>
      <c r="WPK59" s="64"/>
      <c r="WPL59" s="64"/>
      <c r="WPM59" s="64"/>
      <c r="WPN59" s="64"/>
      <c r="WPO59" s="64"/>
      <c r="WPP59" s="64"/>
      <c r="WPQ59" s="64"/>
      <c r="WPR59" s="64"/>
      <c r="WPS59" s="64"/>
      <c r="WPT59" s="64"/>
      <c r="WPU59" s="64"/>
      <c r="WPV59" s="64"/>
      <c r="WPW59" s="64"/>
      <c r="WPX59" s="64"/>
      <c r="WPY59" s="64"/>
      <c r="WPZ59" s="64"/>
      <c r="WQA59" s="64"/>
      <c r="WQB59" s="64"/>
      <c r="WQC59" s="64"/>
      <c r="WQD59" s="64"/>
      <c r="WQE59" s="64"/>
      <c r="WQF59" s="64"/>
      <c r="WQG59" s="64"/>
      <c r="WQH59" s="64"/>
      <c r="WQI59" s="64"/>
      <c r="WQJ59" s="64"/>
      <c r="WQK59" s="64"/>
      <c r="WQL59" s="64"/>
      <c r="WQM59" s="64"/>
      <c r="WQN59" s="64"/>
      <c r="WQO59" s="64"/>
      <c r="WQP59" s="64"/>
      <c r="WQQ59" s="64"/>
      <c r="WQR59" s="64"/>
      <c r="WQS59" s="64"/>
      <c r="WQT59" s="64"/>
      <c r="WQU59" s="64"/>
      <c r="WQV59" s="64"/>
      <c r="WQW59" s="64"/>
      <c r="WQX59" s="64"/>
      <c r="WQY59" s="64"/>
      <c r="WQZ59" s="64"/>
      <c r="WRA59" s="64"/>
      <c r="WRB59" s="64"/>
      <c r="WRC59" s="64"/>
      <c r="WRD59" s="64"/>
      <c r="WRE59" s="64"/>
      <c r="WRF59" s="64"/>
      <c r="WRG59" s="64"/>
      <c r="WRH59" s="64"/>
      <c r="WRI59" s="64"/>
      <c r="WRJ59" s="64"/>
      <c r="WRK59" s="64"/>
      <c r="WRL59" s="64"/>
      <c r="WRM59" s="64"/>
      <c r="WRN59" s="64"/>
      <c r="WRO59" s="64"/>
      <c r="WRP59" s="64"/>
      <c r="WRQ59" s="64"/>
      <c r="WRR59" s="64"/>
      <c r="WRS59" s="64"/>
      <c r="WRT59" s="64"/>
      <c r="WRU59" s="64"/>
      <c r="WRV59" s="64"/>
      <c r="WRW59" s="64"/>
      <c r="WRX59" s="64"/>
      <c r="WRY59" s="64"/>
      <c r="WRZ59" s="64"/>
      <c r="WSA59" s="64"/>
      <c r="WSB59" s="64"/>
      <c r="WSC59" s="64"/>
      <c r="WSD59" s="64"/>
      <c r="WSE59" s="64"/>
      <c r="WSF59" s="64"/>
      <c r="WSG59" s="64"/>
      <c r="WSH59" s="64"/>
      <c r="WSI59" s="64"/>
      <c r="WSJ59" s="64"/>
      <c r="WSK59" s="64"/>
      <c r="WSL59" s="64"/>
      <c r="WSM59" s="64"/>
      <c r="WSN59" s="64"/>
      <c r="WSO59" s="64"/>
      <c r="WSP59" s="64"/>
      <c r="WSQ59" s="64"/>
      <c r="WSR59" s="64"/>
      <c r="WSS59" s="64"/>
      <c r="WST59" s="64"/>
      <c r="WSU59" s="64"/>
      <c r="WSV59" s="64"/>
      <c r="WSW59" s="64"/>
      <c r="WSX59" s="64"/>
      <c r="WSY59" s="64"/>
      <c r="WSZ59" s="64"/>
      <c r="WTA59" s="64"/>
      <c r="WTB59" s="64"/>
      <c r="WTC59" s="64"/>
      <c r="WTD59" s="64"/>
      <c r="WTE59" s="64"/>
      <c r="WTF59" s="64"/>
      <c r="WTG59" s="64"/>
      <c r="WTH59" s="64"/>
      <c r="WTI59" s="64"/>
      <c r="WTJ59" s="64"/>
      <c r="WTK59" s="64"/>
      <c r="WTL59" s="64"/>
      <c r="WTM59" s="64"/>
      <c r="WTN59" s="64"/>
      <c r="WTO59" s="64"/>
      <c r="WTP59" s="64"/>
      <c r="WTQ59" s="64"/>
      <c r="WTR59" s="64"/>
      <c r="WTS59" s="64"/>
      <c r="WTT59" s="64"/>
      <c r="WTU59" s="64"/>
      <c r="WTV59" s="64"/>
      <c r="WTW59" s="64"/>
      <c r="WTX59" s="64"/>
      <c r="WTY59" s="64"/>
      <c r="WTZ59" s="64"/>
      <c r="WUA59" s="64"/>
      <c r="WUB59" s="64"/>
      <c r="WUC59" s="64"/>
      <c r="WUD59" s="64"/>
      <c r="WUE59" s="64"/>
      <c r="WUF59" s="64"/>
      <c r="WUG59" s="64"/>
      <c r="WUH59" s="64"/>
      <c r="WUI59" s="64"/>
      <c r="WUJ59" s="64"/>
      <c r="WUK59" s="64"/>
      <c r="WUL59" s="64"/>
      <c r="WUM59" s="64"/>
      <c r="WUN59" s="64"/>
      <c r="WUO59" s="64"/>
      <c r="WUP59" s="64"/>
      <c r="WUQ59" s="64"/>
      <c r="WUR59" s="64"/>
      <c r="WUS59" s="64"/>
      <c r="WUT59" s="64"/>
      <c r="WUU59" s="64"/>
      <c r="WUV59" s="64"/>
      <c r="WUW59" s="64"/>
      <c r="WUX59" s="64"/>
      <c r="WUY59" s="64"/>
      <c r="WUZ59" s="64"/>
      <c r="WVA59" s="64"/>
      <c r="WVB59" s="64"/>
      <c r="WVC59" s="64"/>
      <c r="WVD59" s="64"/>
      <c r="WVE59" s="64"/>
      <c r="WVF59" s="64"/>
      <c r="WVG59" s="64"/>
      <c r="WVH59" s="64"/>
      <c r="WVI59" s="64"/>
      <c r="WVJ59" s="64"/>
      <c r="WVK59" s="64"/>
      <c r="WVL59" s="64"/>
      <c r="WVM59" s="64"/>
      <c r="WVN59" s="64"/>
      <c r="WVO59" s="64"/>
      <c r="WVP59" s="64"/>
      <c r="WVQ59" s="64"/>
      <c r="WVR59" s="64"/>
      <c r="WVS59" s="64"/>
      <c r="WVT59" s="64"/>
      <c r="WVU59" s="64"/>
      <c r="WVV59" s="64"/>
      <c r="WVW59" s="64"/>
      <c r="WVX59" s="64"/>
      <c r="WVY59" s="64"/>
      <c r="WVZ59" s="64"/>
      <c r="WWA59" s="64"/>
      <c r="WWB59" s="64"/>
      <c r="WWC59" s="64"/>
      <c r="WWD59" s="64"/>
      <c r="WWE59" s="64"/>
      <c r="WWF59" s="64"/>
      <c r="WWG59" s="64"/>
      <c r="WWH59" s="64"/>
      <c r="WWI59" s="64"/>
      <c r="WWJ59" s="64"/>
      <c r="WWK59" s="64"/>
      <c r="WWL59" s="64"/>
      <c r="WWM59" s="64"/>
      <c r="WWN59" s="64"/>
      <c r="WWO59" s="64"/>
      <c r="WWP59" s="64"/>
      <c r="WWQ59" s="64"/>
      <c r="WWR59" s="64"/>
      <c r="WWS59" s="64"/>
      <c r="WWT59" s="64"/>
      <c r="WWU59" s="64"/>
      <c r="WWV59" s="64"/>
      <c r="WWW59" s="64"/>
      <c r="WWX59" s="64"/>
      <c r="WWY59" s="64"/>
      <c r="WWZ59" s="64"/>
      <c r="WXA59" s="64"/>
      <c r="WXB59" s="64"/>
      <c r="WXC59" s="64"/>
      <c r="WXD59" s="64"/>
      <c r="WXE59" s="64"/>
      <c r="WXF59" s="64"/>
      <c r="WXG59" s="64"/>
      <c r="WXH59" s="64"/>
      <c r="WXI59" s="64"/>
      <c r="WXJ59" s="64"/>
      <c r="WXK59" s="64"/>
      <c r="WXL59" s="64"/>
      <c r="WXM59" s="64"/>
      <c r="WXN59" s="64"/>
      <c r="WXO59" s="64"/>
      <c r="WXP59" s="64"/>
      <c r="WXQ59" s="64"/>
      <c r="WXR59" s="64"/>
      <c r="WXS59" s="64"/>
      <c r="WXT59" s="64"/>
      <c r="WXU59" s="64"/>
      <c r="WXV59" s="64"/>
      <c r="WXW59" s="64"/>
      <c r="WXX59" s="64"/>
      <c r="WXY59" s="64"/>
      <c r="WXZ59" s="64"/>
      <c r="WYA59" s="64"/>
      <c r="WYB59" s="64"/>
      <c r="WYC59" s="64"/>
      <c r="WYD59" s="64"/>
      <c r="WYE59" s="64"/>
      <c r="WYF59" s="64"/>
      <c r="WYG59" s="64"/>
      <c r="WYH59" s="64"/>
      <c r="WYI59" s="64"/>
      <c r="WYJ59" s="64"/>
      <c r="WYK59" s="64"/>
      <c r="WYL59" s="64"/>
      <c r="WYM59" s="64"/>
      <c r="WYN59" s="64"/>
      <c r="WYO59" s="64"/>
      <c r="WYP59" s="64"/>
      <c r="WYQ59" s="64"/>
      <c r="WYR59" s="64"/>
      <c r="WYS59" s="64"/>
      <c r="WYT59" s="64"/>
      <c r="WYU59" s="64"/>
      <c r="WYV59" s="64"/>
      <c r="WYW59" s="64"/>
      <c r="WYX59" s="64"/>
      <c r="WYY59" s="64"/>
      <c r="WYZ59" s="64"/>
      <c r="WZA59" s="64"/>
      <c r="WZB59" s="64"/>
      <c r="WZC59" s="64"/>
      <c r="WZD59" s="64"/>
      <c r="WZE59" s="64"/>
      <c r="WZF59" s="64"/>
      <c r="WZG59" s="64"/>
      <c r="WZH59" s="64"/>
      <c r="WZI59" s="64"/>
      <c r="WZJ59" s="64"/>
      <c r="WZK59" s="64"/>
      <c r="WZL59" s="64"/>
      <c r="WZM59" s="64"/>
      <c r="WZN59" s="64"/>
      <c r="WZO59" s="64"/>
      <c r="WZP59" s="64"/>
      <c r="WZQ59" s="64"/>
      <c r="WZR59" s="64"/>
      <c r="WZS59" s="64"/>
      <c r="WZT59" s="64"/>
      <c r="WZU59" s="64"/>
      <c r="WZV59" s="64"/>
      <c r="WZW59" s="64"/>
      <c r="WZX59" s="64"/>
      <c r="WZY59" s="64"/>
      <c r="WZZ59" s="64"/>
      <c r="XAA59" s="64"/>
      <c r="XAB59" s="64"/>
      <c r="XAC59" s="64"/>
      <c r="XAD59" s="64"/>
      <c r="XAE59" s="64"/>
      <c r="XAF59" s="64"/>
      <c r="XAG59" s="64"/>
      <c r="XAH59" s="64"/>
      <c r="XAI59" s="64"/>
      <c r="XAJ59" s="64"/>
      <c r="XAK59" s="64"/>
      <c r="XAL59" s="64"/>
      <c r="XAM59" s="64"/>
      <c r="XAN59" s="64"/>
      <c r="XAO59" s="64"/>
      <c r="XAP59" s="64"/>
      <c r="XAQ59" s="64"/>
      <c r="XAR59" s="64"/>
      <c r="XAS59" s="64"/>
      <c r="XAT59" s="64"/>
      <c r="XAU59" s="64"/>
      <c r="XAV59" s="64"/>
      <c r="XAW59" s="64"/>
      <c r="XAX59" s="64"/>
      <c r="XAY59" s="64"/>
      <c r="XAZ59" s="64"/>
      <c r="XBA59" s="64"/>
      <c r="XBB59" s="64"/>
      <c r="XBC59" s="64"/>
      <c r="XBD59" s="64"/>
      <c r="XBE59" s="64"/>
      <c r="XBF59" s="64"/>
      <c r="XBG59" s="64"/>
      <c r="XBH59" s="64"/>
      <c r="XBI59" s="64"/>
      <c r="XBJ59" s="64"/>
      <c r="XBK59" s="64"/>
      <c r="XBL59" s="64"/>
      <c r="XBM59" s="64"/>
      <c r="XBN59" s="64"/>
      <c r="XBO59" s="64"/>
      <c r="XBP59" s="64"/>
      <c r="XBQ59" s="64"/>
      <c r="XBR59" s="64"/>
      <c r="XBS59" s="64"/>
      <c r="XBT59" s="64"/>
      <c r="XBU59" s="64"/>
      <c r="XBV59" s="64"/>
      <c r="XBW59" s="64"/>
      <c r="XBX59" s="64"/>
      <c r="XBY59" s="64"/>
      <c r="XBZ59" s="64"/>
      <c r="XCA59" s="64"/>
      <c r="XCB59" s="64"/>
      <c r="XCC59" s="64"/>
      <c r="XCD59" s="64"/>
      <c r="XCE59" s="64"/>
      <c r="XCF59" s="64"/>
      <c r="XCG59" s="64"/>
      <c r="XCH59" s="64"/>
      <c r="XCI59" s="64"/>
      <c r="XCJ59" s="64"/>
      <c r="XCK59" s="64"/>
      <c r="XCL59" s="64"/>
      <c r="XCM59" s="64"/>
      <c r="XCN59" s="64"/>
      <c r="XCO59" s="64"/>
      <c r="XCP59" s="64"/>
      <c r="XCQ59" s="64"/>
      <c r="XCR59" s="64"/>
      <c r="XCS59" s="64"/>
      <c r="XCT59" s="64"/>
      <c r="XCU59" s="64"/>
      <c r="XCV59" s="64"/>
      <c r="XCW59" s="64"/>
      <c r="XCX59" s="64"/>
      <c r="XCY59" s="64"/>
      <c r="XCZ59" s="64"/>
      <c r="XDA59" s="64"/>
      <c r="XDB59" s="64"/>
      <c r="XDC59" s="64"/>
      <c r="XDD59" s="64"/>
      <c r="XDE59" s="64"/>
      <c r="XDF59" s="64"/>
      <c r="XDG59" s="64"/>
      <c r="XDH59" s="64"/>
      <c r="XDI59" s="64"/>
      <c r="XDJ59" s="64"/>
      <c r="XDK59" s="64"/>
      <c r="XDL59" s="64"/>
      <c r="XDM59" s="64"/>
      <c r="XDN59" s="64"/>
      <c r="XDO59" s="64"/>
      <c r="XDP59" s="64"/>
      <c r="XDQ59" s="64"/>
      <c r="XDR59" s="64"/>
      <c r="XDS59" s="64"/>
      <c r="XDT59" s="64"/>
      <c r="XDU59" s="64"/>
      <c r="XDV59" s="64"/>
      <c r="XDW59" s="64"/>
      <c r="XDX59" s="64"/>
      <c r="XDY59" s="64"/>
      <c r="XDZ59" s="64"/>
      <c r="XEA59" s="64"/>
      <c r="XEB59" s="64"/>
      <c r="XEC59" s="64"/>
      <c r="XED59" s="64"/>
      <c r="XEE59" s="64"/>
      <c r="XEF59" s="64"/>
      <c r="XEG59" s="64"/>
      <c r="XEH59" s="64"/>
      <c r="XEI59" s="64"/>
      <c r="XEJ59" s="64"/>
      <c r="XEK59" s="64"/>
      <c r="XEL59" s="64"/>
      <c r="XEM59" s="64"/>
      <c r="XEN59" s="64"/>
      <c r="XEO59" s="64"/>
      <c r="XEP59" s="64"/>
      <c r="XEQ59" s="64"/>
      <c r="XER59" s="64"/>
      <c r="XES59" s="64"/>
      <c r="XET59" s="64"/>
      <c r="XEU59" s="64"/>
      <c r="XEV59" s="64"/>
      <c r="XEW59" s="64"/>
      <c r="XEX59" s="64"/>
      <c r="XEY59" s="64"/>
      <c r="XEZ59" s="64"/>
      <c r="XFA59" s="64"/>
      <c r="XFB59" s="64"/>
      <c r="XFC59" s="64"/>
      <c r="XFD59" s="64"/>
    </row>
    <row r="60" customFormat="1" ht="25.95" customHeight="1" spans="1:16384">
      <c r="A60" s="1" t="s">
        <v>157</v>
      </c>
      <c r="B60" s="221" t="s">
        <v>213</v>
      </c>
      <c r="C60" s="1"/>
      <c r="D60" s="1"/>
      <c r="E60" s="1"/>
      <c r="F60" s="1">
        <v>4</v>
      </c>
      <c r="G60" s="1">
        <v>12</v>
      </c>
      <c r="H60" s="1"/>
      <c r="I60" s="1"/>
      <c r="J60" s="1"/>
      <c r="K60" s="1"/>
      <c r="L60" s="1"/>
      <c r="M60" s="1"/>
      <c r="N60" s="1"/>
      <c r="O60" s="1"/>
      <c r="P60" s="1"/>
      <c r="Q60" s="75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  <c r="FN60" s="64"/>
      <c r="FO60" s="64"/>
      <c r="FP60" s="64"/>
      <c r="FQ60" s="64"/>
      <c r="FR60" s="64"/>
      <c r="FS60" s="64"/>
      <c r="FT60" s="64"/>
      <c r="FU60" s="64"/>
      <c r="FV60" s="64"/>
      <c r="FW60" s="64"/>
      <c r="FX60" s="64"/>
      <c r="FY60" s="64"/>
      <c r="FZ60" s="64"/>
      <c r="GA60" s="64"/>
      <c r="GB60" s="64"/>
      <c r="GC60" s="64"/>
      <c r="GD60" s="64"/>
      <c r="GE60" s="64"/>
      <c r="GF60" s="64"/>
      <c r="GG60" s="64"/>
      <c r="GH60" s="64"/>
      <c r="GI60" s="64"/>
      <c r="GJ60" s="64"/>
      <c r="GK60" s="64"/>
      <c r="GL60" s="64"/>
      <c r="GM60" s="64"/>
      <c r="GN60" s="64"/>
      <c r="GO60" s="64"/>
      <c r="GP60" s="64"/>
      <c r="GQ60" s="64"/>
      <c r="GR60" s="64"/>
      <c r="GS60" s="64"/>
      <c r="GT60" s="64"/>
      <c r="GU60" s="64"/>
      <c r="GV60" s="64"/>
      <c r="GW60" s="64"/>
      <c r="GX60" s="64"/>
      <c r="GY60" s="64"/>
      <c r="GZ60" s="64"/>
      <c r="HA60" s="64"/>
      <c r="HB60" s="64"/>
      <c r="HC60" s="64"/>
      <c r="HD60" s="64"/>
      <c r="HE60" s="64"/>
      <c r="HF60" s="64"/>
      <c r="HG60" s="64"/>
      <c r="HH60" s="64"/>
      <c r="HI60" s="64"/>
      <c r="HJ60" s="64"/>
      <c r="HK60" s="64"/>
      <c r="HL60" s="64"/>
      <c r="HM60" s="64"/>
      <c r="HN60" s="64"/>
      <c r="HO60" s="64"/>
      <c r="HP60" s="64"/>
      <c r="HQ60" s="64"/>
      <c r="HR60" s="64"/>
      <c r="HS60" s="64"/>
      <c r="HT60" s="64"/>
      <c r="HU60" s="64"/>
      <c r="HV60" s="64"/>
      <c r="HW60" s="64"/>
      <c r="HX60" s="64"/>
      <c r="HY60" s="64"/>
      <c r="HZ60" s="64"/>
      <c r="IA60" s="64"/>
      <c r="IB60" s="64"/>
      <c r="IC60" s="64"/>
      <c r="ID60" s="64"/>
      <c r="IE60" s="64"/>
      <c r="IF60" s="64"/>
      <c r="IG60" s="64"/>
      <c r="IH60" s="64"/>
      <c r="II60" s="64"/>
      <c r="IJ60" s="64"/>
      <c r="IK60" s="64"/>
      <c r="IL60" s="64"/>
      <c r="IM60" s="64"/>
      <c r="IN60" s="64"/>
      <c r="IO60" s="64"/>
      <c r="IP60" s="64"/>
      <c r="IQ60" s="64"/>
      <c r="IR60" s="64"/>
      <c r="IS60" s="64"/>
      <c r="IT60" s="64"/>
      <c r="IU60" s="64"/>
      <c r="IV60" s="64"/>
      <c r="IW60" s="64"/>
      <c r="IX60" s="64"/>
      <c r="IY60" s="64"/>
      <c r="IZ60" s="64"/>
      <c r="JA60" s="64"/>
      <c r="JB60" s="64"/>
      <c r="JC60" s="64"/>
      <c r="JD60" s="64"/>
      <c r="JE60" s="64"/>
      <c r="JF60" s="64"/>
      <c r="JG60" s="64"/>
      <c r="JH60" s="64"/>
      <c r="JI60" s="64"/>
      <c r="JJ60" s="64"/>
      <c r="JK60" s="64"/>
      <c r="JL60" s="64"/>
      <c r="JM60" s="64"/>
      <c r="JN60" s="64"/>
      <c r="JO60" s="64"/>
      <c r="JP60" s="64"/>
      <c r="JQ60" s="64"/>
      <c r="JR60" s="64"/>
      <c r="JS60" s="64"/>
      <c r="JT60" s="64"/>
      <c r="JU60" s="64"/>
      <c r="JV60" s="64"/>
      <c r="JW60" s="64"/>
      <c r="JX60" s="64"/>
      <c r="JY60" s="64"/>
      <c r="JZ60" s="64"/>
      <c r="KA60" s="64"/>
      <c r="KB60" s="64"/>
      <c r="KC60" s="64"/>
      <c r="KD60" s="64"/>
      <c r="KE60" s="64"/>
      <c r="KF60" s="64"/>
      <c r="KG60" s="64"/>
      <c r="KH60" s="64"/>
      <c r="KI60" s="64"/>
      <c r="KJ60" s="64"/>
      <c r="KK60" s="64"/>
      <c r="KL60" s="64"/>
      <c r="KM60" s="64"/>
      <c r="KN60" s="64"/>
      <c r="KO60" s="64"/>
      <c r="KP60" s="64"/>
      <c r="KQ60" s="64"/>
      <c r="KR60" s="64"/>
      <c r="KS60" s="64"/>
      <c r="KT60" s="64"/>
      <c r="KU60" s="64"/>
      <c r="KV60" s="64"/>
      <c r="KW60" s="64"/>
      <c r="KX60" s="64"/>
      <c r="KY60" s="64"/>
      <c r="KZ60" s="64"/>
      <c r="LA60" s="64"/>
      <c r="LB60" s="64"/>
      <c r="LC60" s="64"/>
      <c r="LD60" s="64"/>
      <c r="LE60" s="64"/>
      <c r="LF60" s="64"/>
      <c r="LG60" s="64"/>
      <c r="LH60" s="64"/>
      <c r="LI60" s="64"/>
      <c r="LJ60" s="64"/>
      <c r="LK60" s="64"/>
      <c r="LL60" s="64"/>
      <c r="LM60" s="64"/>
      <c r="LN60" s="64"/>
      <c r="LO60" s="64"/>
      <c r="LP60" s="64"/>
      <c r="LQ60" s="64"/>
      <c r="LR60" s="64"/>
      <c r="LS60" s="64"/>
      <c r="LT60" s="64"/>
      <c r="LU60" s="64"/>
      <c r="LV60" s="64"/>
      <c r="LW60" s="64"/>
      <c r="LX60" s="64"/>
      <c r="LY60" s="64"/>
      <c r="LZ60" s="64"/>
      <c r="MA60" s="64"/>
      <c r="MB60" s="64"/>
      <c r="MC60" s="64"/>
      <c r="MD60" s="64"/>
      <c r="ME60" s="64"/>
      <c r="MF60" s="64"/>
      <c r="MG60" s="64"/>
      <c r="MH60" s="64"/>
      <c r="MI60" s="64"/>
      <c r="MJ60" s="64"/>
      <c r="MK60" s="64"/>
      <c r="ML60" s="64"/>
      <c r="MM60" s="64"/>
      <c r="MN60" s="64"/>
      <c r="MO60" s="64"/>
      <c r="MP60" s="64"/>
      <c r="MQ60" s="64"/>
      <c r="MR60" s="64"/>
      <c r="MS60" s="64"/>
      <c r="MT60" s="64"/>
      <c r="MU60" s="64"/>
      <c r="MV60" s="64"/>
      <c r="MW60" s="64"/>
      <c r="MX60" s="64"/>
      <c r="MY60" s="64"/>
      <c r="MZ60" s="64"/>
      <c r="NA60" s="64"/>
      <c r="NB60" s="64"/>
      <c r="NC60" s="64"/>
      <c r="ND60" s="64"/>
      <c r="NE60" s="64"/>
      <c r="NF60" s="64"/>
      <c r="NG60" s="64"/>
      <c r="NH60" s="64"/>
      <c r="NI60" s="64"/>
      <c r="NJ60" s="64"/>
      <c r="NK60" s="64"/>
      <c r="NL60" s="64"/>
      <c r="NM60" s="64"/>
      <c r="NN60" s="64"/>
      <c r="NO60" s="64"/>
      <c r="NP60" s="64"/>
      <c r="NQ60" s="64"/>
      <c r="NR60" s="64"/>
      <c r="NS60" s="64"/>
      <c r="NT60" s="64"/>
      <c r="NU60" s="64"/>
      <c r="NV60" s="64"/>
      <c r="NW60" s="64"/>
      <c r="NX60" s="64"/>
      <c r="NY60" s="64"/>
      <c r="NZ60" s="64"/>
      <c r="OA60" s="64"/>
      <c r="OB60" s="64"/>
      <c r="OC60" s="64"/>
      <c r="OD60" s="64"/>
      <c r="OE60" s="64"/>
      <c r="OF60" s="64"/>
      <c r="OG60" s="64"/>
      <c r="OH60" s="64"/>
      <c r="OI60" s="64"/>
      <c r="OJ60" s="64"/>
      <c r="OK60" s="64"/>
      <c r="OL60" s="64"/>
      <c r="OM60" s="64"/>
      <c r="ON60" s="64"/>
      <c r="OO60" s="64"/>
      <c r="OP60" s="64"/>
      <c r="OQ60" s="64"/>
      <c r="OR60" s="64"/>
      <c r="OS60" s="64"/>
      <c r="OT60" s="64"/>
      <c r="OU60" s="64"/>
      <c r="OV60" s="64"/>
      <c r="OW60" s="64"/>
      <c r="OX60" s="64"/>
      <c r="OY60" s="64"/>
      <c r="OZ60" s="64"/>
      <c r="PA60" s="64"/>
      <c r="PB60" s="64"/>
      <c r="PC60" s="64"/>
      <c r="PD60" s="64"/>
      <c r="PE60" s="64"/>
      <c r="PF60" s="64"/>
      <c r="PG60" s="64"/>
      <c r="PH60" s="64"/>
      <c r="PI60" s="64"/>
      <c r="PJ60" s="64"/>
      <c r="PK60" s="64"/>
      <c r="PL60" s="64"/>
      <c r="PM60" s="64"/>
      <c r="PN60" s="64"/>
      <c r="PO60" s="64"/>
      <c r="PP60" s="64"/>
      <c r="PQ60" s="64"/>
      <c r="PR60" s="64"/>
      <c r="PS60" s="64"/>
      <c r="PT60" s="64"/>
      <c r="PU60" s="64"/>
      <c r="PV60" s="64"/>
      <c r="PW60" s="64"/>
      <c r="PX60" s="64"/>
      <c r="PY60" s="64"/>
      <c r="PZ60" s="64"/>
      <c r="QA60" s="64"/>
      <c r="QB60" s="64"/>
      <c r="QC60" s="64"/>
      <c r="QD60" s="64"/>
      <c r="QE60" s="64"/>
      <c r="QF60" s="64"/>
      <c r="QG60" s="64"/>
      <c r="QH60" s="64"/>
      <c r="QI60" s="64"/>
      <c r="QJ60" s="64"/>
      <c r="QK60" s="64"/>
      <c r="QL60" s="64"/>
      <c r="QM60" s="64"/>
      <c r="QN60" s="64"/>
      <c r="QO60" s="64"/>
      <c r="QP60" s="64"/>
      <c r="QQ60" s="64"/>
      <c r="QR60" s="64"/>
      <c r="QS60" s="64"/>
      <c r="QT60" s="64"/>
      <c r="QU60" s="64"/>
      <c r="QV60" s="64"/>
      <c r="QW60" s="64"/>
      <c r="QX60" s="64"/>
      <c r="QY60" s="64"/>
      <c r="QZ60" s="64"/>
      <c r="RA60" s="64"/>
      <c r="RB60" s="64"/>
      <c r="RC60" s="64"/>
      <c r="RD60" s="64"/>
      <c r="RE60" s="64"/>
      <c r="RF60" s="64"/>
      <c r="RG60" s="64"/>
      <c r="RH60" s="64"/>
      <c r="RI60" s="64"/>
      <c r="RJ60" s="64"/>
      <c r="RK60" s="64"/>
      <c r="RL60" s="64"/>
      <c r="RM60" s="64"/>
      <c r="RN60" s="64"/>
      <c r="RO60" s="64"/>
      <c r="RP60" s="64"/>
      <c r="RQ60" s="64"/>
      <c r="RR60" s="64"/>
      <c r="RS60" s="64"/>
      <c r="RT60" s="64"/>
      <c r="RU60" s="64"/>
      <c r="RV60" s="64"/>
      <c r="RW60" s="64"/>
      <c r="RX60" s="64"/>
      <c r="RY60" s="64"/>
      <c r="RZ60" s="64"/>
      <c r="SA60" s="64"/>
      <c r="SB60" s="64"/>
      <c r="SC60" s="64"/>
      <c r="SD60" s="64"/>
      <c r="SE60" s="64"/>
      <c r="SF60" s="64"/>
      <c r="SG60" s="64"/>
      <c r="SH60" s="64"/>
      <c r="SI60" s="64"/>
      <c r="SJ60" s="64"/>
      <c r="SK60" s="64"/>
      <c r="SL60" s="64"/>
      <c r="SM60" s="64"/>
      <c r="SN60" s="64"/>
      <c r="SO60" s="64"/>
      <c r="SP60" s="64"/>
      <c r="SQ60" s="64"/>
      <c r="SR60" s="64"/>
      <c r="SS60" s="64"/>
      <c r="ST60" s="64"/>
      <c r="SU60" s="64"/>
      <c r="SV60" s="64"/>
      <c r="SW60" s="64"/>
      <c r="SX60" s="64"/>
      <c r="SY60" s="64"/>
      <c r="SZ60" s="64"/>
      <c r="TA60" s="64"/>
      <c r="TB60" s="64"/>
      <c r="TC60" s="64"/>
      <c r="TD60" s="64"/>
      <c r="TE60" s="64"/>
      <c r="TF60" s="64"/>
      <c r="TG60" s="64"/>
      <c r="TH60" s="64"/>
      <c r="TI60" s="64"/>
      <c r="TJ60" s="64"/>
      <c r="TK60" s="64"/>
      <c r="TL60" s="64"/>
      <c r="TM60" s="64"/>
      <c r="TN60" s="64"/>
      <c r="TO60" s="64"/>
      <c r="TP60" s="64"/>
      <c r="TQ60" s="64"/>
      <c r="TR60" s="64"/>
      <c r="TS60" s="64"/>
      <c r="TT60" s="64"/>
      <c r="TU60" s="64"/>
      <c r="TV60" s="64"/>
      <c r="TW60" s="64"/>
      <c r="TX60" s="64"/>
      <c r="TY60" s="64"/>
      <c r="TZ60" s="64"/>
      <c r="UA60" s="64"/>
      <c r="UB60" s="64"/>
      <c r="UC60" s="64"/>
      <c r="UD60" s="64"/>
      <c r="UE60" s="64"/>
      <c r="UF60" s="64"/>
      <c r="UG60" s="64"/>
      <c r="UH60" s="64"/>
      <c r="UI60" s="64"/>
      <c r="UJ60" s="64"/>
      <c r="UK60" s="64"/>
      <c r="UL60" s="64"/>
      <c r="UM60" s="64"/>
      <c r="UN60" s="64"/>
      <c r="UO60" s="64"/>
      <c r="UP60" s="64"/>
      <c r="UQ60" s="64"/>
      <c r="UR60" s="64"/>
      <c r="US60" s="64"/>
      <c r="UT60" s="64"/>
      <c r="UU60" s="64"/>
      <c r="UV60" s="64"/>
      <c r="UW60" s="64"/>
      <c r="UX60" s="64"/>
      <c r="UY60" s="64"/>
      <c r="UZ60" s="64"/>
      <c r="VA60" s="64"/>
      <c r="VB60" s="64"/>
      <c r="VC60" s="64"/>
      <c r="VD60" s="64"/>
      <c r="VE60" s="64"/>
      <c r="VF60" s="64"/>
      <c r="VG60" s="64"/>
      <c r="VH60" s="64"/>
      <c r="VI60" s="64"/>
      <c r="VJ60" s="64"/>
      <c r="VK60" s="64"/>
      <c r="VL60" s="64"/>
      <c r="VM60" s="64"/>
      <c r="VN60" s="64"/>
      <c r="VO60" s="64"/>
      <c r="VP60" s="64"/>
      <c r="VQ60" s="64"/>
      <c r="VR60" s="64"/>
      <c r="VS60" s="64"/>
      <c r="VT60" s="64"/>
      <c r="VU60" s="64"/>
      <c r="VV60" s="64"/>
      <c r="VW60" s="64"/>
      <c r="VX60" s="64"/>
      <c r="VY60" s="64"/>
      <c r="VZ60" s="64"/>
      <c r="WA60" s="64"/>
      <c r="WB60" s="64"/>
      <c r="WC60" s="64"/>
      <c r="WD60" s="64"/>
      <c r="WE60" s="64"/>
      <c r="WF60" s="64"/>
      <c r="WG60" s="64"/>
      <c r="WH60" s="64"/>
      <c r="WI60" s="64"/>
      <c r="WJ60" s="64"/>
      <c r="WK60" s="64"/>
      <c r="WL60" s="64"/>
      <c r="WM60" s="64"/>
      <c r="WN60" s="64"/>
      <c r="WO60" s="64"/>
      <c r="WP60" s="64"/>
      <c r="WQ60" s="64"/>
      <c r="WR60" s="64"/>
      <c r="WS60" s="64"/>
      <c r="WT60" s="64"/>
      <c r="WU60" s="64"/>
      <c r="WV60" s="64"/>
      <c r="WW60" s="64"/>
      <c r="WX60" s="64"/>
      <c r="WY60" s="64"/>
      <c r="WZ60" s="64"/>
      <c r="XA60" s="64"/>
      <c r="XB60" s="64"/>
      <c r="XC60" s="64"/>
      <c r="XD60" s="64"/>
      <c r="XE60" s="64"/>
      <c r="XF60" s="64"/>
      <c r="XG60" s="64"/>
      <c r="XH60" s="64"/>
      <c r="XI60" s="64"/>
      <c r="XJ60" s="64"/>
      <c r="XK60" s="64"/>
      <c r="XL60" s="64"/>
      <c r="XM60" s="64"/>
      <c r="XN60" s="64"/>
      <c r="XO60" s="64"/>
      <c r="XP60" s="64"/>
      <c r="XQ60" s="64"/>
      <c r="XR60" s="64"/>
      <c r="XS60" s="64"/>
      <c r="XT60" s="64"/>
      <c r="XU60" s="64"/>
      <c r="XV60" s="64"/>
      <c r="XW60" s="64"/>
      <c r="XX60" s="64"/>
      <c r="XY60" s="64"/>
      <c r="XZ60" s="64"/>
      <c r="YA60" s="64"/>
      <c r="YB60" s="64"/>
      <c r="YC60" s="64"/>
      <c r="YD60" s="64"/>
      <c r="YE60" s="64"/>
      <c r="YF60" s="64"/>
      <c r="YG60" s="64"/>
      <c r="YH60" s="64"/>
      <c r="YI60" s="64"/>
      <c r="YJ60" s="64"/>
      <c r="YK60" s="64"/>
      <c r="YL60" s="64"/>
      <c r="YM60" s="64"/>
      <c r="YN60" s="64"/>
      <c r="YO60" s="64"/>
      <c r="YP60" s="64"/>
      <c r="YQ60" s="64"/>
      <c r="YR60" s="64"/>
      <c r="YS60" s="64"/>
      <c r="YT60" s="64"/>
      <c r="YU60" s="64"/>
      <c r="YV60" s="64"/>
      <c r="YW60" s="64"/>
      <c r="YX60" s="64"/>
      <c r="YY60" s="64"/>
      <c r="YZ60" s="64"/>
      <c r="ZA60" s="64"/>
      <c r="ZB60" s="64"/>
      <c r="ZC60" s="64"/>
      <c r="ZD60" s="64"/>
      <c r="ZE60" s="64"/>
      <c r="ZF60" s="64"/>
      <c r="ZG60" s="64"/>
      <c r="ZH60" s="64"/>
      <c r="ZI60" s="64"/>
      <c r="ZJ60" s="64"/>
      <c r="ZK60" s="64"/>
      <c r="ZL60" s="64"/>
      <c r="ZM60" s="64"/>
      <c r="ZN60" s="64"/>
      <c r="ZO60" s="64"/>
      <c r="ZP60" s="64"/>
      <c r="ZQ60" s="64"/>
      <c r="ZR60" s="64"/>
      <c r="ZS60" s="64"/>
      <c r="ZT60" s="64"/>
      <c r="ZU60" s="64"/>
      <c r="ZV60" s="64"/>
      <c r="ZW60" s="64"/>
      <c r="ZX60" s="64"/>
      <c r="ZY60" s="64"/>
      <c r="ZZ60" s="64"/>
      <c r="AAA60" s="64"/>
      <c r="AAB60" s="64"/>
      <c r="AAC60" s="64"/>
      <c r="AAD60" s="64"/>
      <c r="AAE60" s="64"/>
      <c r="AAF60" s="64"/>
      <c r="AAG60" s="64"/>
      <c r="AAH60" s="64"/>
      <c r="AAI60" s="64"/>
      <c r="AAJ60" s="64"/>
      <c r="AAK60" s="64"/>
      <c r="AAL60" s="64"/>
      <c r="AAM60" s="64"/>
      <c r="AAN60" s="64"/>
      <c r="AAO60" s="64"/>
      <c r="AAP60" s="64"/>
      <c r="AAQ60" s="64"/>
      <c r="AAR60" s="64"/>
      <c r="AAS60" s="64"/>
      <c r="AAT60" s="64"/>
      <c r="AAU60" s="64"/>
      <c r="AAV60" s="64"/>
      <c r="AAW60" s="64"/>
      <c r="AAX60" s="64"/>
      <c r="AAY60" s="64"/>
      <c r="AAZ60" s="64"/>
      <c r="ABA60" s="64"/>
      <c r="ABB60" s="64"/>
      <c r="ABC60" s="64"/>
      <c r="ABD60" s="64"/>
      <c r="ABE60" s="64"/>
      <c r="ABF60" s="64"/>
      <c r="ABG60" s="64"/>
      <c r="ABH60" s="64"/>
      <c r="ABI60" s="64"/>
      <c r="ABJ60" s="64"/>
      <c r="ABK60" s="64"/>
      <c r="ABL60" s="64"/>
      <c r="ABM60" s="64"/>
      <c r="ABN60" s="64"/>
      <c r="ABO60" s="64"/>
      <c r="ABP60" s="64"/>
      <c r="ABQ60" s="64"/>
      <c r="ABR60" s="64"/>
      <c r="ABS60" s="64"/>
      <c r="ABT60" s="64"/>
      <c r="ABU60" s="64"/>
      <c r="ABV60" s="64"/>
      <c r="ABW60" s="64"/>
      <c r="ABX60" s="64"/>
      <c r="ABY60" s="64"/>
      <c r="ABZ60" s="64"/>
      <c r="ACA60" s="64"/>
      <c r="ACB60" s="64"/>
      <c r="ACC60" s="64"/>
      <c r="ACD60" s="64"/>
      <c r="ACE60" s="64"/>
      <c r="ACF60" s="64"/>
      <c r="ACG60" s="64"/>
      <c r="ACH60" s="64"/>
      <c r="ACI60" s="64"/>
      <c r="ACJ60" s="64"/>
      <c r="ACK60" s="64"/>
      <c r="ACL60" s="64"/>
      <c r="ACM60" s="64"/>
      <c r="ACN60" s="64"/>
      <c r="ACO60" s="64"/>
      <c r="ACP60" s="64"/>
      <c r="ACQ60" s="64"/>
      <c r="ACR60" s="64"/>
      <c r="ACS60" s="64"/>
      <c r="ACT60" s="64"/>
      <c r="ACU60" s="64"/>
      <c r="ACV60" s="64"/>
      <c r="ACW60" s="64"/>
      <c r="ACX60" s="64"/>
      <c r="ACY60" s="64"/>
      <c r="ACZ60" s="64"/>
      <c r="ADA60" s="64"/>
      <c r="ADB60" s="64"/>
      <c r="ADC60" s="64"/>
      <c r="ADD60" s="64"/>
      <c r="ADE60" s="64"/>
      <c r="ADF60" s="64"/>
      <c r="ADG60" s="64"/>
      <c r="ADH60" s="64"/>
      <c r="ADI60" s="64"/>
      <c r="ADJ60" s="64"/>
      <c r="ADK60" s="64"/>
      <c r="ADL60" s="64"/>
      <c r="ADM60" s="64"/>
      <c r="ADN60" s="64"/>
      <c r="ADO60" s="64"/>
      <c r="ADP60" s="64"/>
      <c r="ADQ60" s="64"/>
      <c r="ADR60" s="64"/>
      <c r="ADS60" s="64"/>
      <c r="ADT60" s="64"/>
      <c r="ADU60" s="64"/>
      <c r="ADV60" s="64"/>
      <c r="ADW60" s="64"/>
      <c r="ADX60" s="64"/>
      <c r="ADY60" s="64"/>
      <c r="ADZ60" s="64"/>
      <c r="AEA60" s="64"/>
      <c r="AEB60" s="64"/>
      <c r="AEC60" s="64"/>
      <c r="AED60" s="64"/>
      <c r="AEE60" s="64"/>
      <c r="AEF60" s="64"/>
      <c r="AEG60" s="64"/>
      <c r="AEH60" s="64"/>
      <c r="AEI60" s="64"/>
      <c r="AEJ60" s="64"/>
      <c r="AEK60" s="64"/>
      <c r="AEL60" s="64"/>
      <c r="AEM60" s="64"/>
      <c r="AEN60" s="64"/>
      <c r="AEO60" s="64"/>
      <c r="AEP60" s="64"/>
      <c r="AEQ60" s="64"/>
      <c r="AER60" s="64"/>
      <c r="AES60" s="64"/>
      <c r="AET60" s="64"/>
      <c r="AEU60" s="64"/>
      <c r="AEV60" s="64"/>
      <c r="AEW60" s="64"/>
      <c r="AEX60" s="64"/>
      <c r="AEY60" s="64"/>
      <c r="AEZ60" s="64"/>
      <c r="AFA60" s="64"/>
      <c r="AFB60" s="64"/>
      <c r="AFC60" s="64"/>
      <c r="AFD60" s="64"/>
      <c r="AFE60" s="64"/>
      <c r="AFF60" s="64"/>
      <c r="AFG60" s="64"/>
      <c r="AFH60" s="64"/>
      <c r="AFI60" s="64"/>
      <c r="AFJ60" s="64"/>
      <c r="AFK60" s="64"/>
      <c r="AFL60" s="64"/>
      <c r="AFM60" s="64"/>
      <c r="AFN60" s="64"/>
      <c r="AFO60" s="64"/>
      <c r="AFP60" s="64"/>
      <c r="AFQ60" s="64"/>
      <c r="AFR60" s="64"/>
      <c r="AFS60" s="64"/>
      <c r="AFT60" s="64"/>
      <c r="AFU60" s="64"/>
      <c r="AFV60" s="64"/>
      <c r="AFW60" s="64"/>
      <c r="AFX60" s="64"/>
      <c r="AFY60" s="64"/>
      <c r="AFZ60" s="64"/>
      <c r="AGA60" s="64"/>
      <c r="AGB60" s="64"/>
      <c r="AGC60" s="64"/>
      <c r="AGD60" s="64"/>
      <c r="AGE60" s="64"/>
      <c r="AGF60" s="64"/>
      <c r="AGG60" s="64"/>
      <c r="AGH60" s="64"/>
      <c r="AGI60" s="64"/>
      <c r="AGJ60" s="64"/>
      <c r="AGK60" s="64"/>
      <c r="AGL60" s="64"/>
      <c r="AGM60" s="64"/>
      <c r="AGN60" s="64"/>
      <c r="AGO60" s="64"/>
      <c r="AGP60" s="64"/>
      <c r="AGQ60" s="64"/>
      <c r="AGR60" s="64"/>
      <c r="AGS60" s="64"/>
      <c r="AGT60" s="64"/>
      <c r="AGU60" s="64"/>
      <c r="AGV60" s="64"/>
      <c r="AGW60" s="64"/>
      <c r="AGX60" s="64"/>
      <c r="AGY60" s="64"/>
      <c r="AGZ60" s="64"/>
      <c r="AHA60" s="64"/>
      <c r="AHB60" s="64"/>
      <c r="AHC60" s="64"/>
      <c r="AHD60" s="64"/>
      <c r="AHE60" s="64"/>
      <c r="AHF60" s="64"/>
      <c r="AHG60" s="64"/>
      <c r="AHH60" s="64"/>
      <c r="AHI60" s="64"/>
      <c r="AHJ60" s="64"/>
      <c r="AHK60" s="64"/>
      <c r="AHL60" s="64"/>
      <c r="AHM60" s="64"/>
      <c r="AHN60" s="64"/>
      <c r="AHO60" s="64"/>
      <c r="AHP60" s="64"/>
      <c r="AHQ60" s="64"/>
      <c r="AHR60" s="64"/>
      <c r="AHS60" s="64"/>
      <c r="AHT60" s="64"/>
      <c r="AHU60" s="64"/>
      <c r="AHV60" s="64"/>
      <c r="AHW60" s="64"/>
      <c r="AHX60" s="64"/>
      <c r="AHY60" s="64"/>
      <c r="AHZ60" s="64"/>
      <c r="AIA60" s="64"/>
      <c r="AIB60" s="64"/>
      <c r="AIC60" s="64"/>
      <c r="AID60" s="64"/>
      <c r="AIE60" s="64"/>
      <c r="AIF60" s="64"/>
      <c r="AIG60" s="64"/>
      <c r="AIH60" s="64"/>
      <c r="AII60" s="64"/>
      <c r="AIJ60" s="64"/>
      <c r="AIK60" s="64"/>
      <c r="AIL60" s="64"/>
      <c r="AIM60" s="64"/>
      <c r="AIN60" s="64"/>
      <c r="AIO60" s="64"/>
      <c r="AIP60" s="64"/>
      <c r="AIQ60" s="64"/>
      <c r="AIR60" s="64"/>
      <c r="AIS60" s="64"/>
      <c r="AIT60" s="64"/>
      <c r="AIU60" s="64"/>
      <c r="AIV60" s="64"/>
      <c r="AIW60" s="64"/>
      <c r="AIX60" s="64"/>
      <c r="AIY60" s="64"/>
      <c r="AIZ60" s="64"/>
      <c r="AJA60" s="64"/>
      <c r="AJB60" s="64"/>
      <c r="AJC60" s="64"/>
      <c r="AJD60" s="64"/>
      <c r="AJE60" s="64"/>
      <c r="AJF60" s="64"/>
      <c r="AJG60" s="64"/>
      <c r="AJH60" s="64"/>
      <c r="AJI60" s="64"/>
      <c r="AJJ60" s="64"/>
      <c r="AJK60" s="64"/>
      <c r="AJL60" s="64"/>
      <c r="AJM60" s="64"/>
      <c r="AJN60" s="64"/>
      <c r="AJO60" s="64"/>
      <c r="AJP60" s="64"/>
      <c r="AJQ60" s="64"/>
      <c r="AJR60" s="64"/>
      <c r="AJS60" s="64"/>
      <c r="AJT60" s="64"/>
      <c r="AJU60" s="64"/>
      <c r="AJV60" s="64"/>
      <c r="AJW60" s="64"/>
      <c r="AJX60" s="64"/>
      <c r="AJY60" s="64"/>
      <c r="AJZ60" s="64"/>
      <c r="AKA60" s="64"/>
      <c r="AKB60" s="64"/>
      <c r="AKC60" s="64"/>
      <c r="AKD60" s="64"/>
      <c r="AKE60" s="64"/>
      <c r="AKF60" s="64"/>
      <c r="AKG60" s="64"/>
      <c r="AKH60" s="64"/>
      <c r="AKI60" s="64"/>
      <c r="AKJ60" s="64"/>
      <c r="AKK60" s="64"/>
      <c r="AKL60" s="64"/>
      <c r="AKM60" s="64"/>
      <c r="AKN60" s="64"/>
      <c r="AKO60" s="64"/>
      <c r="AKP60" s="64"/>
      <c r="AKQ60" s="64"/>
      <c r="AKR60" s="64"/>
      <c r="AKS60" s="64"/>
      <c r="AKT60" s="64"/>
      <c r="AKU60" s="64"/>
      <c r="AKV60" s="64"/>
      <c r="AKW60" s="64"/>
      <c r="AKX60" s="64"/>
      <c r="AKY60" s="64"/>
      <c r="AKZ60" s="64"/>
      <c r="ALA60" s="64"/>
      <c r="ALB60" s="64"/>
      <c r="ALC60" s="64"/>
      <c r="ALD60" s="64"/>
      <c r="ALE60" s="64"/>
      <c r="ALF60" s="64"/>
      <c r="ALG60" s="64"/>
      <c r="ALH60" s="64"/>
      <c r="ALI60" s="64"/>
      <c r="ALJ60" s="64"/>
      <c r="ALK60" s="64"/>
      <c r="ALL60" s="64"/>
      <c r="ALM60" s="64"/>
      <c r="ALN60" s="64"/>
      <c r="ALO60" s="64"/>
      <c r="ALP60" s="64"/>
      <c r="ALQ60" s="64"/>
      <c r="ALR60" s="64"/>
      <c r="ALS60" s="64"/>
      <c r="ALT60" s="64"/>
      <c r="ALU60" s="64"/>
      <c r="ALV60" s="64"/>
      <c r="ALW60" s="64"/>
      <c r="ALX60" s="64"/>
      <c r="ALY60" s="64"/>
      <c r="ALZ60" s="64"/>
      <c r="AMA60" s="64"/>
      <c r="AMB60" s="64"/>
      <c r="AMC60" s="64"/>
      <c r="AMD60" s="64"/>
      <c r="AME60" s="64"/>
      <c r="AMF60" s="64"/>
      <c r="AMG60" s="64"/>
      <c r="AMH60" s="64"/>
      <c r="AMI60" s="64"/>
      <c r="AMJ60" s="64"/>
      <c r="AMK60" s="64"/>
      <c r="AML60" s="64"/>
      <c r="AMM60" s="64"/>
      <c r="AMN60" s="64"/>
      <c r="AMO60" s="64"/>
      <c r="AMP60" s="64"/>
      <c r="AMQ60" s="64"/>
      <c r="AMR60" s="64"/>
      <c r="AMS60" s="64"/>
      <c r="AMT60" s="64"/>
      <c r="AMU60" s="64"/>
      <c r="AMV60" s="64"/>
      <c r="AMW60" s="64"/>
      <c r="AMX60" s="64"/>
      <c r="AMY60" s="64"/>
      <c r="AMZ60" s="64"/>
      <c r="ANA60" s="64"/>
      <c r="ANB60" s="64"/>
      <c r="ANC60" s="64"/>
      <c r="AND60" s="64"/>
      <c r="ANE60" s="64"/>
      <c r="ANF60" s="64"/>
      <c r="ANG60" s="64"/>
      <c r="ANH60" s="64"/>
      <c r="ANI60" s="64"/>
      <c r="ANJ60" s="64"/>
      <c r="ANK60" s="64"/>
      <c r="ANL60" s="64"/>
      <c r="ANM60" s="64"/>
      <c r="ANN60" s="64"/>
      <c r="ANO60" s="64"/>
      <c r="ANP60" s="64"/>
      <c r="ANQ60" s="64"/>
      <c r="ANR60" s="64"/>
      <c r="ANS60" s="64"/>
      <c r="ANT60" s="64"/>
      <c r="ANU60" s="64"/>
      <c r="ANV60" s="64"/>
      <c r="ANW60" s="64"/>
      <c r="ANX60" s="64"/>
      <c r="ANY60" s="64"/>
      <c r="ANZ60" s="64"/>
      <c r="AOA60" s="64"/>
      <c r="AOB60" s="64"/>
      <c r="AOC60" s="64"/>
      <c r="AOD60" s="64"/>
      <c r="AOE60" s="64"/>
      <c r="AOF60" s="64"/>
      <c r="AOG60" s="64"/>
      <c r="AOH60" s="64"/>
      <c r="AOI60" s="64"/>
      <c r="AOJ60" s="64"/>
      <c r="AOK60" s="64"/>
      <c r="AOL60" s="64"/>
      <c r="AOM60" s="64"/>
      <c r="AON60" s="64"/>
      <c r="AOO60" s="64"/>
      <c r="AOP60" s="64"/>
      <c r="AOQ60" s="64"/>
      <c r="AOR60" s="64"/>
      <c r="AOS60" s="64"/>
      <c r="AOT60" s="64"/>
      <c r="AOU60" s="64"/>
      <c r="AOV60" s="64"/>
      <c r="AOW60" s="64"/>
      <c r="AOX60" s="64"/>
      <c r="AOY60" s="64"/>
      <c r="AOZ60" s="64"/>
      <c r="APA60" s="64"/>
      <c r="APB60" s="64"/>
      <c r="APC60" s="64"/>
      <c r="APD60" s="64"/>
      <c r="APE60" s="64"/>
      <c r="APF60" s="64"/>
      <c r="APG60" s="64"/>
      <c r="APH60" s="64"/>
      <c r="API60" s="64"/>
      <c r="APJ60" s="64"/>
      <c r="APK60" s="64"/>
      <c r="APL60" s="64"/>
      <c r="APM60" s="64"/>
      <c r="APN60" s="64"/>
      <c r="APO60" s="64"/>
      <c r="APP60" s="64"/>
      <c r="APQ60" s="64"/>
      <c r="APR60" s="64"/>
      <c r="APS60" s="64"/>
      <c r="APT60" s="64"/>
      <c r="APU60" s="64"/>
      <c r="APV60" s="64"/>
      <c r="APW60" s="64"/>
      <c r="APX60" s="64"/>
      <c r="APY60" s="64"/>
      <c r="APZ60" s="64"/>
      <c r="AQA60" s="64"/>
      <c r="AQB60" s="64"/>
      <c r="AQC60" s="64"/>
      <c r="AQD60" s="64"/>
      <c r="AQE60" s="64"/>
      <c r="AQF60" s="64"/>
      <c r="AQG60" s="64"/>
      <c r="AQH60" s="64"/>
      <c r="AQI60" s="64"/>
      <c r="AQJ60" s="64"/>
      <c r="AQK60" s="64"/>
      <c r="AQL60" s="64"/>
      <c r="AQM60" s="64"/>
      <c r="AQN60" s="64"/>
      <c r="AQO60" s="64"/>
      <c r="AQP60" s="64"/>
      <c r="AQQ60" s="64"/>
      <c r="AQR60" s="64"/>
      <c r="AQS60" s="64"/>
      <c r="AQT60" s="64"/>
      <c r="AQU60" s="64"/>
      <c r="AQV60" s="64"/>
      <c r="AQW60" s="64"/>
      <c r="AQX60" s="64"/>
      <c r="AQY60" s="64"/>
      <c r="AQZ60" s="64"/>
      <c r="ARA60" s="64"/>
      <c r="ARB60" s="64"/>
      <c r="ARC60" s="64"/>
      <c r="ARD60" s="64"/>
      <c r="ARE60" s="64"/>
      <c r="ARF60" s="64"/>
      <c r="ARG60" s="64"/>
      <c r="ARH60" s="64"/>
      <c r="ARI60" s="64"/>
      <c r="ARJ60" s="64"/>
      <c r="ARK60" s="64"/>
      <c r="ARL60" s="64"/>
      <c r="ARM60" s="64"/>
      <c r="ARN60" s="64"/>
      <c r="ARO60" s="64"/>
      <c r="ARP60" s="64"/>
      <c r="ARQ60" s="64"/>
      <c r="ARR60" s="64"/>
      <c r="ARS60" s="64"/>
      <c r="ART60" s="64"/>
      <c r="ARU60" s="64"/>
      <c r="ARV60" s="64"/>
      <c r="ARW60" s="64"/>
      <c r="ARX60" s="64"/>
      <c r="ARY60" s="64"/>
      <c r="ARZ60" s="64"/>
      <c r="ASA60" s="64"/>
      <c r="ASB60" s="64"/>
      <c r="ASC60" s="64"/>
      <c r="ASD60" s="64"/>
      <c r="ASE60" s="64"/>
      <c r="ASF60" s="64"/>
      <c r="ASG60" s="64"/>
      <c r="ASH60" s="64"/>
      <c r="ASI60" s="64"/>
      <c r="ASJ60" s="64"/>
      <c r="ASK60" s="64"/>
      <c r="ASL60" s="64"/>
      <c r="ASM60" s="64"/>
      <c r="ASN60" s="64"/>
      <c r="ASO60" s="64"/>
      <c r="ASP60" s="64"/>
      <c r="ASQ60" s="64"/>
      <c r="ASR60" s="64"/>
      <c r="ASS60" s="64"/>
      <c r="AST60" s="64"/>
      <c r="ASU60" s="64"/>
      <c r="ASV60" s="64"/>
      <c r="ASW60" s="64"/>
      <c r="ASX60" s="64"/>
      <c r="ASY60" s="64"/>
      <c r="ASZ60" s="64"/>
      <c r="ATA60" s="64"/>
      <c r="ATB60" s="64"/>
      <c r="ATC60" s="64"/>
      <c r="ATD60" s="64"/>
      <c r="ATE60" s="64"/>
      <c r="ATF60" s="64"/>
      <c r="ATG60" s="64"/>
      <c r="ATH60" s="64"/>
      <c r="ATI60" s="64"/>
      <c r="ATJ60" s="64"/>
      <c r="ATK60" s="64"/>
      <c r="ATL60" s="64"/>
      <c r="ATM60" s="64"/>
      <c r="ATN60" s="64"/>
      <c r="ATO60" s="64"/>
      <c r="ATP60" s="64"/>
      <c r="ATQ60" s="64"/>
      <c r="ATR60" s="64"/>
      <c r="ATS60" s="64"/>
      <c r="ATT60" s="64"/>
      <c r="ATU60" s="64"/>
      <c r="ATV60" s="64"/>
      <c r="ATW60" s="64"/>
      <c r="ATX60" s="64"/>
      <c r="ATY60" s="64"/>
      <c r="ATZ60" s="64"/>
      <c r="AUA60" s="64"/>
      <c r="AUB60" s="64"/>
      <c r="AUC60" s="64"/>
      <c r="AUD60" s="64"/>
      <c r="AUE60" s="64"/>
      <c r="AUF60" s="64"/>
      <c r="AUG60" s="64"/>
      <c r="AUH60" s="64"/>
      <c r="AUI60" s="64"/>
      <c r="AUJ60" s="64"/>
      <c r="AUK60" s="64"/>
      <c r="AUL60" s="64"/>
      <c r="AUM60" s="64"/>
      <c r="AUN60" s="64"/>
      <c r="AUO60" s="64"/>
      <c r="AUP60" s="64"/>
      <c r="AUQ60" s="64"/>
      <c r="AUR60" s="64"/>
      <c r="AUS60" s="64"/>
      <c r="AUT60" s="64"/>
      <c r="AUU60" s="64"/>
      <c r="AUV60" s="64"/>
      <c r="AUW60" s="64"/>
      <c r="AUX60" s="64"/>
      <c r="AUY60" s="64"/>
      <c r="AUZ60" s="64"/>
      <c r="AVA60" s="64"/>
      <c r="AVB60" s="64"/>
      <c r="AVC60" s="64"/>
      <c r="AVD60" s="64"/>
      <c r="AVE60" s="64"/>
      <c r="AVF60" s="64"/>
      <c r="AVG60" s="64"/>
      <c r="AVH60" s="64"/>
      <c r="AVI60" s="64"/>
      <c r="AVJ60" s="64"/>
      <c r="AVK60" s="64"/>
      <c r="AVL60" s="64"/>
      <c r="AVM60" s="64"/>
      <c r="AVN60" s="64"/>
      <c r="AVO60" s="64"/>
      <c r="AVP60" s="64"/>
      <c r="AVQ60" s="64"/>
      <c r="AVR60" s="64"/>
      <c r="AVS60" s="64"/>
      <c r="AVT60" s="64"/>
      <c r="AVU60" s="64"/>
      <c r="AVV60" s="64"/>
      <c r="AVW60" s="64"/>
      <c r="AVX60" s="64"/>
      <c r="AVY60" s="64"/>
      <c r="AVZ60" s="64"/>
      <c r="AWA60" s="64"/>
      <c r="AWB60" s="64"/>
      <c r="AWC60" s="64"/>
      <c r="AWD60" s="64"/>
      <c r="AWE60" s="64"/>
      <c r="AWF60" s="64"/>
      <c r="AWG60" s="64"/>
      <c r="AWH60" s="64"/>
      <c r="AWI60" s="64"/>
      <c r="AWJ60" s="64"/>
      <c r="AWK60" s="64"/>
      <c r="AWL60" s="64"/>
      <c r="AWM60" s="64"/>
      <c r="AWN60" s="64"/>
      <c r="AWO60" s="64"/>
      <c r="AWP60" s="64"/>
      <c r="AWQ60" s="64"/>
      <c r="AWR60" s="64"/>
      <c r="AWS60" s="64"/>
      <c r="AWT60" s="64"/>
      <c r="AWU60" s="64"/>
      <c r="AWV60" s="64"/>
      <c r="AWW60" s="64"/>
      <c r="AWX60" s="64"/>
      <c r="AWY60" s="64"/>
      <c r="AWZ60" s="64"/>
      <c r="AXA60" s="64"/>
      <c r="AXB60" s="64"/>
      <c r="AXC60" s="64"/>
      <c r="AXD60" s="64"/>
      <c r="AXE60" s="64"/>
      <c r="AXF60" s="64"/>
      <c r="AXG60" s="64"/>
      <c r="AXH60" s="64"/>
      <c r="AXI60" s="64"/>
      <c r="AXJ60" s="64"/>
      <c r="AXK60" s="64"/>
      <c r="AXL60" s="64"/>
      <c r="AXM60" s="64"/>
      <c r="AXN60" s="64"/>
      <c r="AXO60" s="64"/>
      <c r="AXP60" s="64"/>
      <c r="AXQ60" s="64"/>
      <c r="AXR60" s="64"/>
      <c r="AXS60" s="64"/>
      <c r="AXT60" s="64"/>
      <c r="AXU60" s="64"/>
      <c r="AXV60" s="64"/>
      <c r="AXW60" s="64"/>
      <c r="AXX60" s="64"/>
      <c r="AXY60" s="64"/>
      <c r="AXZ60" s="64"/>
      <c r="AYA60" s="64"/>
      <c r="AYB60" s="64"/>
      <c r="AYC60" s="64"/>
      <c r="AYD60" s="64"/>
      <c r="AYE60" s="64"/>
      <c r="AYF60" s="64"/>
      <c r="AYG60" s="64"/>
      <c r="AYH60" s="64"/>
      <c r="AYI60" s="64"/>
      <c r="AYJ60" s="64"/>
      <c r="AYK60" s="64"/>
      <c r="AYL60" s="64"/>
      <c r="AYM60" s="64"/>
      <c r="AYN60" s="64"/>
      <c r="AYO60" s="64"/>
      <c r="AYP60" s="64"/>
      <c r="AYQ60" s="64"/>
      <c r="AYR60" s="64"/>
      <c r="AYS60" s="64"/>
      <c r="AYT60" s="64"/>
      <c r="AYU60" s="64"/>
      <c r="AYV60" s="64"/>
      <c r="AYW60" s="64"/>
      <c r="AYX60" s="64"/>
      <c r="AYY60" s="64"/>
      <c r="AYZ60" s="64"/>
      <c r="AZA60" s="64"/>
      <c r="AZB60" s="64"/>
      <c r="AZC60" s="64"/>
      <c r="AZD60" s="64"/>
      <c r="AZE60" s="64"/>
      <c r="AZF60" s="64"/>
      <c r="AZG60" s="64"/>
      <c r="AZH60" s="64"/>
      <c r="AZI60" s="64"/>
      <c r="AZJ60" s="64"/>
      <c r="AZK60" s="64"/>
      <c r="AZL60" s="64"/>
      <c r="AZM60" s="64"/>
      <c r="AZN60" s="64"/>
      <c r="AZO60" s="64"/>
      <c r="AZP60" s="64"/>
      <c r="AZQ60" s="64"/>
      <c r="AZR60" s="64"/>
      <c r="AZS60" s="64"/>
      <c r="AZT60" s="64"/>
      <c r="AZU60" s="64"/>
      <c r="AZV60" s="64"/>
      <c r="AZW60" s="64"/>
      <c r="AZX60" s="64"/>
      <c r="AZY60" s="64"/>
      <c r="AZZ60" s="64"/>
      <c r="BAA60" s="64"/>
      <c r="BAB60" s="64"/>
      <c r="BAC60" s="64"/>
      <c r="BAD60" s="64"/>
      <c r="BAE60" s="64"/>
      <c r="BAF60" s="64"/>
      <c r="BAG60" s="64"/>
      <c r="BAH60" s="64"/>
      <c r="BAI60" s="64"/>
      <c r="BAJ60" s="64"/>
      <c r="BAK60" s="64"/>
      <c r="BAL60" s="64"/>
      <c r="BAM60" s="64"/>
      <c r="BAN60" s="64"/>
      <c r="BAO60" s="64"/>
      <c r="BAP60" s="64"/>
      <c r="BAQ60" s="64"/>
      <c r="BAR60" s="64"/>
      <c r="BAS60" s="64"/>
      <c r="BAT60" s="64"/>
      <c r="BAU60" s="64"/>
      <c r="BAV60" s="64"/>
      <c r="BAW60" s="64"/>
      <c r="BAX60" s="64"/>
      <c r="BAY60" s="64"/>
      <c r="BAZ60" s="64"/>
      <c r="BBA60" s="64"/>
      <c r="BBB60" s="64"/>
      <c r="BBC60" s="64"/>
      <c r="BBD60" s="64"/>
      <c r="BBE60" s="64"/>
      <c r="BBF60" s="64"/>
      <c r="BBG60" s="64"/>
      <c r="BBH60" s="64"/>
      <c r="BBI60" s="64"/>
      <c r="BBJ60" s="64"/>
      <c r="BBK60" s="64"/>
      <c r="BBL60" s="64"/>
      <c r="BBM60" s="64"/>
      <c r="BBN60" s="64"/>
      <c r="BBO60" s="64"/>
      <c r="BBP60" s="64"/>
      <c r="BBQ60" s="64"/>
      <c r="BBR60" s="64"/>
      <c r="BBS60" s="64"/>
      <c r="BBT60" s="64"/>
      <c r="BBU60" s="64"/>
      <c r="BBV60" s="64"/>
      <c r="BBW60" s="64"/>
      <c r="BBX60" s="64"/>
      <c r="BBY60" s="64"/>
      <c r="BBZ60" s="64"/>
      <c r="BCA60" s="64"/>
      <c r="BCB60" s="64"/>
      <c r="BCC60" s="64"/>
      <c r="BCD60" s="64"/>
      <c r="BCE60" s="64"/>
      <c r="BCF60" s="64"/>
      <c r="BCG60" s="64"/>
      <c r="BCH60" s="64"/>
      <c r="BCI60" s="64"/>
      <c r="BCJ60" s="64"/>
      <c r="BCK60" s="64"/>
      <c r="BCL60" s="64"/>
      <c r="BCM60" s="64"/>
      <c r="BCN60" s="64"/>
      <c r="BCO60" s="64"/>
      <c r="BCP60" s="64"/>
      <c r="BCQ60" s="64"/>
      <c r="BCR60" s="64"/>
      <c r="BCS60" s="64"/>
      <c r="BCT60" s="64"/>
      <c r="BCU60" s="64"/>
      <c r="BCV60" s="64"/>
      <c r="BCW60" s="64"/>
      <c r="BCX60" s="64"/>
      <c r="BCY60" s="64"/>
      <c r="BCZ60" s="64"/>
      <c r="BDA60" s="64"/>
      <c r="BDB60" s="64"/>
      <c r="BDC60" s="64"/>
      <c r="BDD60" s="64"/>
      <c r="BDE60" s="64"/>
      <c r="BDF60" s="64"/>
      <c r="BDG60" s="64"/>
      <c r="BDH60" s="64"/>
      <c r="BDI60" s="64"/>
      <c r="BDJ60" s="64"/>
      <c r="BDK60" s="64"/>
      <c r="BDL60" s="64"/>
      <c r="BDM60" s="64"/>
      <c r="BDN60" s="64"/>
      <c r="BDO60" s="64"/>
      <c r="BDP60" s="64"/>
      <c r="BDQ60" s="64"/>
      <c r="BDR60" s="64"/>
      <c r="BDS60" s="64"/>
      <c r="BDT60" s="64"/>
      <c r="BDU60" s="64"/>
      <c r="BDV60" s="64"/>
      <c r="BDW60" s="64"/>
      <c r="BDX60" s="64"/>
      <c r="BDY60" s="64"/>
      <c r="BDZ60" s="64"/>
      <c r="BEA60" s="64"/>
      <c r="BEB60" s="64"/>
      <c r="BEC60" s="64"/>
      <c r="BED60" s="64"/>
      <c r="BEE60" s="64"/>
      <c r="BEF60" s="64"/>
      <c r="BEG60" s="64"/>
      <c r="BEH60" s="64"/>
      <c r="BEI60" s="64"/>
      <c r="BEJ60" s="64"/>
      <c r="BEK60" s="64"/>
      <c r="BEL60" s="64"/>
      <c r="BEM60" s="64"/>
      <c r="BEN60" s="64"/>
      <c r="BEO60" s="64"/>
      <c r="BEP60" s="64"/>
      <c r="BEQ60" s="64"/>
      <c r="BER60" s="64"/>
      <c r="BES60" s="64"/>
      <c r="BET60" s="64"/>
      <c r="BEU60" s="64"/>
      <c r="BEV60" s="64"/>
      <c r="BEW60" s="64"/>
      <c r="BEX60" s="64"/>
      <c r="BEY60" s="64"/>
      <c r="BEZ60" s="64"/>
      <c r="BFA60" s="64"/>
      <c r="BFB60" s="64"/>
      <c r="BFC60" s="64"/>
      <c r="BFD60" s="64"/>
      <c r="BFE60" s="64"/>
      <c r="BFF60" s="64"/>
      <c r="BFG60" s="64"/>
      <c r="BFH60" s="64"/>
      <c r="BFI60" s="64"/>
      <c r="BFJ60" s="64"/>
      <c r="BFK60" s="64"/>
      <c r="BFL60" s="64"/>
      <c r="BFM60" s="64"/>
      <c r="BFN60" s="64"/>
      <c r="BFO60" s="64"/>
      <c r="BFP60" s="64"/>
      <c r="BFQ60" s="64"/>
      <c r="BFR60" s="64"/>
      <c r="BFS60" s="64"/>
      <c r="BFT60" s="64"/>
      <c r="BFU60" s="64"/>
      <c r="BFV60" s="64"/>
      <c r="BFW60" s="64"/>
      <c r="BFX60" s="64"/>
      <c r="BFY60" s="64"/>
      <c r="BFZ60" s="64"/>
      <c r="BGA60" s="64"/>
      <c r="BGB60" s="64"/>
      <c r="BGC60" s="64"/>
      <c r="BGD60" s="64"/>
      <c r="BGE60" s="64"/>
      <c r="BGF60" s="64"/>
      <c r="BGG60" s="64"/>
      <c r="BGH60" s="64"/>
      <c r="BGI60" s="64"/>
      <c r="BGJ60" s="64"/>
      <c r="BGK60" s="64"/>
      <c r="BGL60" s="64"/>
      <c r="BGM60" s="64"/>
      <c r="BGN60" s="64"/>
      <c r="BGO60" s="64"/>
      <c r="BGP60" s="64"/>
      <c r="BGQ60" s="64"/>
      <c r="BGR60" s="64"/>
      <c r="BGS60" s="64"/>
      <c r="BGT60" s="64"/>
      <c r="BGU60" s="64"/>
      <c r="BGV60" s="64"/>
      <c r="BGW60" s="64"/>
      <c r="BGX60" s="64"/>
      <c r="BGY60" s="64"/>
      <c r="BGZ60" s="64"/>
      <c r="BHA60" s="64"/>
      <c r="BHB60" s="64"/>
      <c r="BHC60" s="64"/>
      <c r="BHD60" s="64"/>
      <c r="BHE60" s="64"/>
      <c r="BHF60" s="64"/>
      <c r="BHG60" s="64"/>
      <c r="BHH60" s="64"/>
      <c r="BHI60" s="64"/>
      <c r="BHJ60" s="64"/>
      <c r="BHK60" s="64"/>
      <c r="BHL60" s="64"/>
      <c r="BHM60" s="64"/>
      <c r="BHN60" s="64"/>
      <c r="BHO60" s="64"/>
      <c r="BHP60" s="64"/>
      <c r="BHQ60" s="64"/>
      <c r="BHR60" s="64"/>
      <c r="BHS60" s="64"/>
      <c r="BHT60" s="64"/>
      <c r="BHU60" s="64"/>
      <c r="BHV60" s="64"/>
      <c r="BHW60" s="64"/>
      <c r="BHX60" s="64"/>
      <c r="BHY60" s="64"/>
      <c r="BHZ60" s="64"/>
      <c r="BIA60" s="64"/>
      <c r="BIB60" s="64"/>
      <c r="BIC60" s="64"/>
      <c r="BID60" s="64"/>
      <c r="BIE60" s="64"/>
      <c r="BIF60" s="64"/>
      <c r="BIG60" s="64"/>
      <c r="BIH60" s="64"/>
      <c r="BII60" s="64"/>
      <c r="BIJ60" s="64"/>
      <c r="BIK60" s="64"/>
      <c r="BIL60" s="64"/>
      <c r="BIM60" s="64"/>
      <c r="BIN60" s="64"/>
      <c r="BIO60" s="64"/>
      <c r="BIP60" s="64"/>
      <c r="BIQ60" s="64"/>
      <c r="BIR60" s="64"/>
      <c r="BIS60" s="64"/>
      <c r="BIT60" s="64"/>
      <c r="BIU60" s="64"/>
      <c r="BIV60" s="64"/>
      <c r="BIW60" s="64"/>
      <c r="BIX60" s="64"/>
      <c r="BIY60" s="64"/>
      <c r="BIZ60" s="64"/>
      <c r="BJA60" s="64"/>
      <c r="BJB60" s="64"/>
      <c r="BJC60" s="64"/>
      <c r="BJD60" s="64"/>
      <c r="BJE60" s="64"/>
      <c r="BJF60" s="64"/>
      <c r="BJG60" s="64"/>
      <c r="BJH60" s="64"/>
      <c r="BJI60" s="64"/>
      <c r="BJJ60" s="64"/>
      <c r="BJK60" s="64"/>
      <c r="BJL60" s="64"/>
      <c r="BJM60" s="64"/>
      <c r="BJN60" s="64"/>
      <c r="BJO60" s="64"/>
      <c r="BJP60" s="64"/>
      <c r="BJQ60" s="64"/>
      <c r="BJR60" s="64"/>
      <c r="BJS60" s="64"/>
      <c r="BJT60" s="64"/>
      <c r="BJU60" s="64"/>
      <c r="BJV60" s="64"/>
      <c r="BJW60" s="64"/>
      <c r="BJX60" s="64"/>
      <c r="BJY60" s="64"/>
      <c r="BJZ60" s="64"/>
      <c r="BKA60" s="64"/>
      <c r="BKB60" s="64"/>
      <c r="BKC60" s="64"/>
      <c r="BKD60" s="64"/>
      <c r="BKE60" s="64"/>
      <c r="BKF60" s="64"/>
      <c r="BKG60" s="64"/>
      <c r="BKH60" s="64"/>
      <c r="BKI60" s="64"/>
      <c r="BKJ60" s="64"/>
      <c r="BKK60" s="64"/>
      <c r="BKL60" s="64"/>
      <c r="BKM60" s="64"/>
      <c r="BKN60" s="64"/>
      <c r="BKO60" s="64"/>
      <c r="BKP60" s="64"/>
      <c r="BKQ60" s="64"/>
      <c r="BKR60" s="64"/>
      <c r="BKS60" s="64"/>
      <c r="BKT60" s="64"/>
      <c r="BKU60" s="64"/>
      <c r="BKV60" s="64"/>
      <c r="BKW60" s="64"/>
      <c r="BKX60" s="64"/>
      <c r="BKY60" s="64"/>
      <c r="BKZ60" s="64"/>
      <c r="BLA60" s="64"/>
      <c r="BLB60" s="64"/>
      <c r="BLC60" s="64"/>
      <c r="BLD60" s="64"/>
      <c r="BLE60" s="64"/>
      <c r="BLF60" s="64"/>
      <c r="BLG60" s="64"/>
      <c r="BLH60" s="64"/>
      <c r="BLI60" s="64"/>
      <c r="BLJ60" s="64"/>
      <c r="BLK60" s="64"/>
      <c r="BLL60" s="64"/>
      <c r="BLM60" s="64"/>
      <c r="BLN60" s="64"/>
      <c r="BLO60" s="64"/>
      <c r="BLP60" s="64"/>
      <c r="BLQ60" s="64"/>
      <c r="BLR60" s="64"/>
      <c r="BLS60" s="64"/>
      <c r="BLT60" s="64"/>
      <c r="BLU60" s="64"/>
      <c r="BLV60" s="64"/>
      <c r="BLW60" s="64"/>
      <c r="BLX60" s="64"/>
      <c r="BLY60" s="64"/>
      <c r="BLZ60" s="64"/>
      <c r="BMA60" s="64"/>
      <c r="BMB60" s="64"/>
      <c r="BMC60" s="64"/>
      <c r="BMD60" s="64"/>
      <c r="BME60" s="64"/>
      <c r="BMF60" s="64"/>
      <c r="BMG60" s="64"/>
      <c r="BMH60" s="64"/>
      <c r="BMI60" s="64"/>
      <c r="BMJ60" s="64"/>
      <c r="BMK60" s="64"/>
      <c r="BML60" s="64"/>
      <c r="BMM60" s="64"/>
      <c r="BMN60" s="64"/>
      <c r="BMO60" s="64"/>
      <c r="BMP60" s="64"/>
      <c r="BMQ60" s="64"/>
      <c r="BMR60" s="64"/>
      <c r="BMS60" s="64"/>
      <c r="BMT60" s="64"/>
      <c r="BMU60" s="64"/>
      <c r="BMV60" s="64"/>
      <c r="BMW60" s="64"/>
      <c r="BMX60" s="64"/>
      <c r="BMY60" s="64"/>
      <c r="BMZ60" s="64"/>
      <c r="BNA60" s="64"/>
      <c r="BNB60" s="64"/>
      <c r="BNC60" s="64"/>
      <c r="BND60" s="64"/>
      <c r="BNE60" s="64"/>
      <c r="BNF60" s="64"/>
      <c r="BNG60" s="64"/>
      <c r="BNH60" s="64"/>
      <c r="BNI60" s="64"/>
      <c r="BNJ60" s="64"/>
      <c r="BNK60" s="64"/>
      <c r="BNL60" s="64"/>
      <c r="BNM60" s="64"/>
      <c r="BNN60" s="64"/>
      <c r="BNO60" s="64"/>
      <c r="BNP60" s="64"/>
      <c r="BNQ60" s="64"/>
      <c r="BNR60" s="64"/>
      <c r="BNS60" s="64"/>
      <c r="BNT60" s="64"/>
      <c r="BNU60" s="64"/>
      <c r="BNV60" s="64"/>
      <c r="BNW60" s="64"/>
      <c r="BNX60" s="64"/>
      <c r="BNY60" s="64"/>
      <c r="BNZ60" s="64"/>
      <c r="BOA60" s="64"/>
      <c r="BOB60" s="64"/>
      <c r="BOC60" s="64"/>
      <c r="BOD60" s="64"/>
      <c r="BOE60" s="64"/>
      <c r="BOF60" s="64"/>
      <c r="BOG60" s="64"/>
      <c r="BOH60" s="64"/>
      <c r="BOI60" s="64"/>
      <c r="BOJ60" s="64"/>
      <c r="BOK60" s="64"/>
      <c r="BOL60" s="64"/>
      <c r="BOM60" s="64"/>
      <c r="BON60" s="64"/>
      <c r="BOO60" s="64"/>
      <c r="BOP60" s="64"/>
      <c r="BOQ60" s="64"/>
      <c r="BOR60" s="64"/>
      <c r="BOS60" s="64"/>
      <c r="BOT60" s="64"/>
      <c r="BOU60" s="64"/>
      <c r="BOV60" s="64"/>
      <c r="BOW60" s="64"/>
      <c r="BOX60" s="64"/>
      <c r="BOY60" s="64"/>
      <c r="BOZ60" s="64"/>
      <c r="BPA60" s="64"/>
      <c r="BPB60" s="64"/>
      <c r="BPC60" s="64"/>
      <c r="BPD60" s="64"/>
      <c r="BPE60" s="64"/>
      <c r="BPF60" s="64"/>
      <c r="BPG60" s="64"/>
      <c r="BPH60" s="64"/>
      <c r="BPI60" s="64"/>
      <c r="BPJ60" s="64"/>
      <c r="BPK60" s="64"/>
      <c r="BPL60" s="64"/>
      <c r="BPM60" s="64"/>
      <c r="BPN60" s="64"/>
      <c r="BPO60" s="64"/>
      <c r="BPP60" s="64"/>
      <c r="BPQ60" s="64"/>
      <c r="BPR60" s="64"/>
      <c r="BPS60" s="64"/>
      <c r="BPT60" s="64"/>
      <c r="BPU60" s="64"/>
      <c r="BPV60" s="64"/>
      <c r="BPW60" s="64"/>
      <c r="BPX60" s="64"/>
      <c r="BPY60" s="64"/>
      <c r="BPZ60" s="64"/>
      <c r="BQA60" s="64"/>
      <c r="BQB60" s="64"/>
      <c r="BQC60" s="64"/>
      <c r="BQD60" s="64"/>
      <c r="BQE60" s="64"/>
      <c r="BQF60" s="64"/>
      <c r="BQG60" s="64"/>
      <c r="BQH60" s="64"/>
      <c r="BQI60" s="64"/>
      <c r="BQJ60" s="64"/>
      <c r="BQK60" s="64"/>
      <c r="BQL60" s="64"/>
      <c r="BQM60" s="64"/>
      <c r="BQN60" s="64"/>
      <c r="BQO60" s="64"/>
      <c r="BQP60" s="64"/>
      <c r="BQQ60" s="64"/>
      <c r="BQR60" s="64"/>
      <c r="BQS60" s="64"/>
      <c r="BQT60" s="64"/>
      <c r="BQU60" s="64"/>
      <c r="BQV60" s="64"/>
      <c r="BQW60" s="64"/>
      <c r="BQX60" s="64"/>
      <c r="BQY60" s="64"/>
      <c r="BQZ60" s="64"/>
      <c r="BRA60" s="64"/>
      <c r="BRB60" s="64"/>
      <c r="BRC60" s="64"/>
      <c r="BRD60" s="64"/>
      <c r="BRE60" s="64"/>
      <c r="BRF60" s="64"/>
      <c r="BRG60" s="64"/>
      <c r="BRH60" s="64"/>
      <c r="BRI60" s="64"/>
      <c r="BRJ60" s="64"/>
      <c r="BRK60" s="64"/>
      <c r="BRL60" s="64"/>
      <c r="BRM60" s="64"/>
      <c r="BRN60" s="64"/>
      <c r="BRO60" s="64"/>
      <c r="BRP60" s="64"/>
      <c r="BRQ60" s="64"/>
      <c r="BRR60" s="64"/>
      <c r="BRS60" s="64"/>
      <c r="BRT60" s="64"/>
      <c r="BRU60" s="64"/>
      <c r="BRV60" s="64"/>
      <c r="BRW60" s="64"/>
      <c r="BRX60" s="64"/>
      <c r="BRY60" s="64"/>
      <c r="BRZ60" s="64"/>
      <c r="BSA60" s="64"/>
      <c r="BSB60" s="64"/>
      <c r="BSC60" s="64"/>
      <c r="BSD60" s="64"/>
      <c r="BSE60" s="64"/>
      <c r="BSF60" s="64"/>
      <c r="BSG60" s="64"/>
      <c r="BSH60" s="64"/>
      <c r="BSI60" s="64"/>
      <c r="BSJ60" s="64"/>
      <c r="BSK60" s="64"/>
      <c r="BSL60" s="64"/>
      <c r="BSM60" s="64"/>
      <c r="BSN60" s="64"/>
      <c r="BSO60" s="64"/>
      <c r="BSP60" s="64"/>
      <c r="BSQ60" s="64"/>
      <c r="BSR60" s="64"/>
      <c r="BSS60" s="64"/>
      <c r="BST60" s="64"/>
      <c r="BSU60" s="64"/>
      <c r="BSV60" s="64"/>
      <c r="BSW60" s="64"/>
      <c r="BSX60" s="64"/>
      <c r="BSY60" s="64"/>
      <c r="BSZ60" s="64"/>
      <c r="BTA60" s="64"/>
      <c r="BTB60" s="64"/>
      <c r="BTC60" s="64"/>
      <c r="BTD60" s="64"/>
      <c r="BTE60" s="64"/>
      <c r="BTF60" s="64"/>
      <c r="BTG60" s="64"/>
      <c r="BTH60" s="64"/>
      <c r="BTI60" s="64"/>
      <c r="BTJ60" s="64"/>
      <c r="BTK60" s="64"/>
      <c r="BTL60" s="64"/>
      <c r="BTM60" s="64"/>
      <c r="BTN60" s="64"/>
      <c r="BTO60" s="64"/>
      <c r="BTP60" s="64"/>
      <c r="BTQ60" s="64"/>
      <c r="BTR60" s="64"/>
      <c r="BTS60" s="64"/>
      <c r="BTT60" s="64"/>
      <c r="BTU60" s="64"/>
      <c r="BTV60" s="64"/>
      <c r="BTW60" s="64"/>
      <c r="BTX60" s="64"/>
      <c r="BTY60" s="64"/>
      <c r="BTZ60" s="64"/>
      <c r="BUA60" s="64"/>
      <c r="BUB60" s="64"/>
      <c r="BUC60" s="64"/>
      <c r="BUD60" s="64"/>
      <c r="BUE60" s="64"/>
      <c r="BUF60" s="64"/>
      <c r="BUG60" s="64"/>
      <c r="BUH60" s="64"/>
      <c r="BUI60" s="64"/>
      <c r="BUJ60" s="64"/>
      <c r="BUK60" s="64"/>
      <c r="BUL60" s="64"/>
      <c r="BUM60" s="64"/>
      <c r="BUN60" s="64"/>
      <c r="BUO60" s="64"/>
      <c r="BUP60" s="64"/>
      <c r="BUQ60" s="64"/>
      <c r="BUR60" s="64"/>
      <c r="BUS60" s="64"/>
      <c r="BUT60" s="64"/>
      <c r="BUU60" s="64"/>
      <c r="BUV60" s="64"/>
      <c r="BUW60" s="64"/>
      <c r="BUX60" s="64"/>
      <c r="BUY60" s="64"/>
      <c r="BUZ60" s="64"/>
      <c r="BVA60" s="64"/>
      <c r="BVB60" s="64"/>
      <c r="BVC60" s="64"/>
      <c r="BVD60" s="64"/>
      <c r="BVE60" s="64"/>
      <c r="BVF60" s="64"/>
      <c r="BVG60" s="64"/>
      <c r="BVH60" s="64"/>
      <c r="BVI60" s="64"/>
      <c r="BVJ60" s="64"/>
      <c r="BVK60" s="64"/>
      <c r="BVL60" s="64"/>
      <c r="BVM60" s="64"/>
      <c r="BVN60" s="64"/>
      <c r="BVO60" s="64"/>
      <c r="BVP60" s="64"/>
      <c r="BVQ60" s="64"/>
      <c r="BVR60" s="64"/>
      <c r="BVS60" s="64"/>
      <c r="BVT60" s="64"/>
      <c r="BVU60" s="64"/>
      <c r="BVV60" s="64"/>
      <c r="BVW60" s="64"/>
      <c r="BVX60" s="64"/>
      <c r="BVY60" s="64"/>
      <c r="BVZ60" s="64"/>
      <c r="BWA60" s="64"/>
      <c r="BWB60" s="64"/>
      <c r="BWC60" s="64"/>
      <c r="BWD60" s="64"/>
      <c r="BWE60" s="64"/>
      <c r="BWF60" s="64"/>
      <c r="BWG60" s="64"/>
      <c r="BWH60" s="64"/>
      <c r="BWI60" s="64"/>
      <c r="BWJ60" s="64"/>
      <c r="BWK60" s="64"/>
      <c r="BWL60" s="64"/>
      <c r="BWM60" s="64"/>
      <c r="BWN60" s="64"/>
      <c r="BWO60" s="64"/>
      <c r="BWP60" s="64"/>
      <c r="BWQ60" s="64"/>
      <c r="BWR60" s="64"/>
      <c r="BWS60" s="64"/>
      <c r="BWT60" s="64"/>
      <c r="BWU60" s="64"/>
      <c r="BWV60" s="64"/>
      <c r="BWW60" s="64"/>
      <c r="BWX60" s="64"/>
      <c r="BWY60" s="64"/>
      <c r="BWZ60" s="64"/>
      <c r="BXA60" s="64"/>
      <c r="BXB60" s="64"/>
      <c r="BXC60" s="64"/>
      <c r="BXD60" s="64"/>
      <c r="BXE60" s="64"/>
      <c r="BXF60" s="64"/>
      <c r="BXG60" s="64"/>
      <c r="BXH60" s="64"/>
      <c r="BXI60" s="64"/>
      <c r="BXJ60" s="64"/>
      <c r="BXK60" s="64"/>
      <c r="BXL60" s="64"/>
      <c r="BXM60" s="64"/>
      <c r="BXN60" s="64"/>
      <c r="BXO60" s="64"/>
      <c r="BXP60" s="64"/>
      <c r="BXQ60" s="64"/>
      <c r="BXR60" s="64"/>
      <c r="BXS60" s="64"/>
      <c r="BXT60" s="64"/>
      <c r="BXU60" s="64"/>
      <c r="BXV60" s="64"/>
      <c r="BXW60" s="64"/>
      <c r="BXX60" s="64"/>
      <c r="BXY60" s="64"/>
      <c r="BXZ60" s="64"/>
      <c r="BYA60" s="64"/>
      <c r="BYB60" s="64"/>
      <c r="BYC60" s="64"/>
      <c r="BYD60" s="64"/>
      <c r="BYE60" s="64"/>
      <c r="BYF60" s="64"/>
      <c r="BYG60" s="64"/>
      <c r="BYH60" s="64"/>
      <c r="BYI60" s="64"/>
      <c r="BYJ60" s="64"/>
      <c r="BYK60" s="64"/>
      <c r="BYL60" s="64"/>
      <c r="BYM60" s="64"/>
      <c r="BYN60" s="64"/>
      <c r="BYO60" s="64"/>
      <c r="BYP60" s="64"/>
      <c r="BYQ60" s="64"/>
      <c r="BYR60" s="64"/>
      <c r="BYS60" s="64"/>
      <c r="BYT60" s="64"/>
      <c r="BYU60" s="64"/>
      <c r="BYV60" s="64"/>
      <c r="BYW60" s="64"/>
      <c r="BYX60" s="64"/>
      <c r="BYY60" s="64"/>
      <c r="BYZ60" s="64"/>
      <c r="BZA60" s="64"/>
      <c r="BZB60" s="64"/>
      <c r="BZC60" s="64"/>
      <c r="BZD60" s="64"/>
      <c r="BZE60" s="64"/>
      <c r="BZF60" s="64"/>
      <c r="BZG60" s="64"/>
      <c r="BZH60" s="64"/>
      <c r="BZI60" s="64"/>
      <c r="BZJ60" s="64"/>
      <c r="BZK60" s="64"/>
      <c r="BZL60" s="64"/>
      <c r="BZM60" s="64"/>
      <c r="BZN60" s="64"/>
      <c r="BZO60" s="64"/>
      <c r="BZP60" s="64"/>
      <c r="BZQ60" s="64"/>
      <c r="BZR60" s="64"/>
      <c r="BZS60" s="64"/>
      <c r="BZT60" s="64"/>
      <c r="BZU60" s="64"/>
      <c r="BZV60" s="64"/>
      <c r="BZW60" s="64"/>
      <c r="BZX60" s="64"/>
      <c r="BZY60" s="64"/>
      <c r="BZZ60" s="64"/>
      <c r="CAA60" s="64"/>
      <c r="CAB60" s="64"/>
      <c r="CAC60" s="64"/>
      <c r="CAD60" s="64"/>
      <c r="CAE60" s="64"/>
      <c r="CAF60" s="64"/>
      <c r="CAG60" s="64"/>
      <c r="CAH60" s="64"/>
      <c r="CAI60" s="64"/>
      <c r="CAJ60" s="64"/>
      <c r="CAK60" s="64"/>
      <c r="CAL60" s="64"/>
      <c r="CAM60" s="64"/>
      <c r="CAN60" s="64"/>
      <c r="CAO60" s="64"/>
      <c r="CAP60" s="64"/>
      <c r="CAQ60" s="64"/>
      <c r="CAR60" s="64"/>
      <c r="CAS60" s="64"/>
      <c r="CAT60" s="64"/>
      <c r="CAU60" s="64"/>
      <c r="CAV60" s="64"/>
      <c r="CAW60" s="64"/>
      <c r="CAX60" s="64"/>
      <c r="CAY60" s="64"/>
      <c r="CAZ60" s="64"/>
      <c r="CBA60" s="64"/>
      <c r="CBB60" s="64"/>
      <c r="CBC60" s="64"/>
      <c r="CBD60" s="64"/>
      <c r="CBE60" s="64"/>
      <c r="CBF60" s="64"/>
      <c r="CBG60" s="64"/>
      <c r="CBH60" s="64"/>
      <c r="CBI60" s="64"/>
      <c r="CBJ60" s="64"/>
      <c r="CBK60" s="64"/>
      <c r="CBL60" s="64"/>
      <c r="CBM60" s="64"/>
      <c r="CBN60" s="64"/>
      <c r="CBO60" s="64"/>
      <c r="CBP60" s="64"/>
      <c r="CBQ60" s="64"/>
      <c r="CBR60" s="64"/>
      <c r="CBS60" s="64"/>
      <c r="CBT60" s="64"/>
      <c r="CBU60" s="64"/>
      <c r="CBV60" s="64"/>
      <c r="CBW60" s="64"/>
      <c r="CBX60" s="64"/>
      <c r="CBY60" s="64"/>
      <c r="CBZ60" s="64"/>
      <c r="CCA60" s="64"/>
      <c r="CCB60" s="64"/>
      <c r="CCC60" s="64"/>
      <c r="CCD60" s="64"/>
      <c r="CCE60" s="64"/>
      <c r="CCF60" s="64"/>
      <c r="CCG60" s="64"/>
      <c r="CCH60" s="64"/>
      <c r="CCI60" s="64"/>
      <c r="CCJ60" s="64"/>
      <c r="CCK60" s="64"/>
      <c r="CCL60" s="64"/>
      <c r="CCM60" s="64"/>
      <c r="CCN60" s="64"/>
      <c r="CCO60" s="64"/>
      <c r="CCP60" s="64"/>
      <c r="CCQ60" s="64"/>
      <c r="CCR60" s="64"/>
      <c r="CCS60" s="64"/>
      <c r="CCT60" s="64"/>
      <c r="CCU60" s="64"/>
      <c r="CCV60" s="64"/>
      <c r="CCW60" s="64"/>
      <c r="CCX60" s="64"/>
      <c r="CCY60" s="64"/>
      <c r="CCZ60" s="64"/>
      <c r="CDA60" s="64"/>
      <c r="CDB60" s="64"/>
      <c r="CDC60" s="64"/>
      <c r="CDD60" s="64"/>
      <c r="CDE60" s="64"/>
      <c r="CDF60" s="64"/>
      <c r="CDG60" s="64"/>
      <c r="CDH60" s="64"/>
      <c r="CDI60" s="64"/>
      <c r="CDJ60" s="64"/>
      <c r="CDK60" s="64"/>
      <c r="CDL60" s="64"/>
      <c r="CDM60" s="64"/>
      <c r="CDN60" s="64"/>
      <c r="CDO60" s="64"/>
      <c r="CDP60" s="64"/>
      <c r="CDQ60" s="64"/>
      <c r="CDR60" s="64"/>
      <c r="CDS60" s="64"/>
      <c r="CDT60" s="64"/>
      <c r="CDU60" s="64"/>
      <c r="CDV60" s="64"/>
      <c r="CDW60" s="64"/>
      <c r="CDX60" s="64"/>
      <c r="CDY60" s="64"/>
      <c r="CDZ60" s="64"/>
      <c r="CEA60" s="64"/>
      <c r="CEB60" s="64"/>
      <c r="CEC60" s="64"/>
      <c r="CED60" s="64"/>
      <c r="CEE60" s="64"/>
      <c r="CEF60" s="64"/>
      <c r="CEG60" s="64"/>
      <c r="CEH60" s="64"/>
      <c r="CEI60" s="64"/>
      <c r="CEJ60" s="64"/>
      <c r="CEK60" s="64"/>
      <c r="CEL60" s="64"/>
      <c r="CEM60" s="64"/>
      <c r="CEN60" s="64"/>
      <c r="CEO60" s="64"/>
      <c r="CEP60" s="64"/>
      <c r="CEQ60" s="64"/>
      <c r="CER60" s="64"/>
      <c r="CES60" s="64"/>
      <c r="CET60" s="64"/>
      <c r="CEU60" s="64"/>
      <c r="CEV60" s="64"/>
      <c r="CEW60" s="64"/>
      <c r="CEX60" s="64"/>
      <c r="CEY60" s="64"/>
      <c r="CEZ60" s="64"/>
      <c r="CFA60" s="64"/>
      <c r="CFB60" s="64"/>
      <c r="CFC60" s="64"/>
      <c r="CFD60" s="64"/>
      <c r="CFE60" s="64"/>
      <c r="CFF60" s="64"/>
      <c r="CFG60" s="64"/>
      <c r="CFH60" s="64"/>
      <c r="CFI60" s="64"/>
      <c r="CFJ60" s="64"/>
      <c r="CFK60" s="64"/>
      <c r="CFL60" s="64"/>
      <c r="CFM60" s="64"/>
      <c r="CFN60" s="64"/>
      <c r="CFO60" s="64"/>
      <c r="CFP60" s="64"/>
      <c r="CFQ60" s="64"/>
      <c r="CFR60" s="64"/>
      <c r="CFS60" s="64"/>
      <c r="CFT60" s="64"/>
      <c r="CFU60" s="64"/>
      <c r="CFV60" s="64"/>
      <c r="CFW60" s="64"/>
      <c r="CFX60" s="64"/>
      <c r="CFY60" s="64"/>
      <c r="CFZ60" s="64"/>
      <c r="CGA60" s="64"/>
      <c r="CGB60" s="64"/>
      <c r="CGC60" s="64"/>
      <c r="CGD60" s="64"/>
      <c r="CGE60" s="64"/>
      <c r="CGF60" s="64"/>
      <c r="CGG60" s="64"/>
      <c r="CGH60" s="64"/>
      <c r="CGI60" s="64"/>
      <c r="CGJ60" s="64"/>
      <c r="CGK60" s="64"/>
      <c r="CGL60" s="64"/>
      <c r="CGM60" s="64"/>
      <c r="CGN60" s="64"/>
      <c r="CGO60" s="64"/>
      <c r="CGP60" s="64"/>
      <c r="CGQ60" s="64"/>
      <c r="CGR60" s="64"/>
      <c r="CGS60" s="64"/>
      <c r="CGT60" s="64"/>
      <c r="CGU60" s="64"/>
      <c r="CGV60" s="64"/>
      <c r="CGW60" s="64"/>
      <c r="CGX60" s="64"/>
      <c r="CGY60" s="64"/>
      <c r="CGZ60" s="64"/>
      <c r="CHA60" s="64"/>
      <c r="CHB60" s="64"/>
      <c r="CHC60" s="64"/>
      <c r="CHD60" s="64"/>
      <c r="CHE60" s="64"/>
      <c r="CHF60" s="64"/>
      <c r="CHG60" s="64"/>
      <c r="CHH60" s="64"/>
      <c r="CHI60" s="64"/>
      <c r="CHJ60" s="64"/>
      <c r="CHK60" s="64"/>
      <c r="CHL60" s="64"/>
      <c r="CHM60" s="64"/>
      <c r="CHN60" s="64"/>
      <c r="CHO60" s="64"/>
      <c r="CHP60" s="64"/>
      <c r="CHQ60" s="64"/>
      <c r="CHR60" s="64"/>
      <c r="CHS60" s="64"/>
      <c r="CHT60" s="64"/>
      <c r="CHU60" s="64"/>
      <c r="CHV60" s="64"/>
      <c r="CHW60" s="64"/>
      <c r="CHX60" s="64"/>
      <c r="CHY60" s="64"/>
      <c r="CHZ60" s="64"/>
      <c r="CIA60" s="64"/>
      <c r="CIB60" s="64"/>
      <c r="CIC60" s="64"/>
      <c r="CID60" s="64"/>
      <c r="CIE60" s="64"/>
      <c r="CIF60" s="64"/>
      <c r="CIG60" s="64"/>
      <c r="CIH60" s="64"/>
      <c r="CII60" s="64"/>
      <c r="CIJ60" s="64"/>
      <c r="CIK60" s="64"/>
      <c r="CIL60" s="64"/>
      <c r="CIM60" s="64"/>
      <c r="CIN60" s="64"/>
      <c r="CIO60" s="64"/>
      <c r="CIP60" s="64"/>
      <c r="CIQ60" s="64"/>
      <c r="CIR60" s="64"/>
      <c r="CIS60" s="64"/>
      <c r="CIT60" s="64"/>
      <c r="CIU60" s="64"/>
      <c r="CIV60" s="64"/>
      <c r="CIW60" s="64"/>
      <c r="CIX60" s="64"/>
      <c r="CIY60" s="64"/>
      <c r="CIZ60" s="64"/>
      <c r="CJA60" s="64"/>
      <c r="CJB60" s="64"/>
      <c r="CJC60" s="64"/>
      <c r="CJD60" s="64"/>
      <c r="CJE60" s="64"/>
      <c r="CJF60" s="64"/>
      <c r="CJG60" s="64"/>
      <c r="CJH60" s="64"/>
      <c r="CJI60" s="64"/>
      <c r="CJJ60" s="64"/>
      <c r="CJK60" s="64"/>
      <c r="CJL60" s="64"/>
      <c r="CJM60" s="64"/>
      <c r="CJN60" s="64"/>
      <c r="CJO60" s="64"/>
      <c r="CJP60" s="64"/>
      <c r="CJQ60" s="64"/>
      <c r="CJR60" s="64"/>
      <c r="CJS60" s="64"/>
      <c r="CJT60" s="64"/>
      <c r="CJU60" s="64"/>
      <c r="CJV60" s="64"/>
      <c r="CJW60" s="64"/>
      <c r="CJX60" s="64"/>
      <c r="CJY60" s="64"/>
      <c r="CJZ60" s="64"/>
      <c r="CKA60" s="64"/>
      <c r="CKB60" s="64"/>
      <c r="CKC60" s="64"/>
      <c r="CKD60" s="64"/>
      <c r="CKE60" s="64"/>
      <c r="CKF60" s="64"/>
      <c r="CKG60" s="64"/>
      <c r="CKH60" s="64"/>
      <c r="CKI60" s="64"/>
      <c r="CKJ60" s="64"/>
      <c r="CKK60" s="64"/>
      <c r="CKL60" s="64"/>
      <c r="CKM60" s="64"/>
      <c r="CKN60" s="64"/>
      <c r="CKO60" s="64"/>
      <c r="CKP60" s="64"/>
      <c r="CKQ60" s="64"/>
      <c r="CKR60" s="64"/>
      <c r="CKS60" s="64"/>
      <c r="CKT60" s="64"/>
      <c r="CKU60" s="64"/>
      <c r="CKV60" s="64"/>
      <c r="CKW60" s="64"/>
      <c r="CKX60" s="64"/>
      <c r="CKY60" s="64"/>
      <c r="CKZ60" s="64"/>
      <c r="CLA60" s="64"/>
      <c r="CLB60" s="64"/>
      <c r="CLC60" s="64"/>
      <c r="CLD60" s="64"/>
      <c r="CLE60" s="64"/>
      <c r="CLF60" s="64"/>
      <c r="CLG60" s="64"/>
      <c r="CLH60" s="64"/>
      <c r="CLI60" s="64"/>
      <c r="CLJ60" s="64"/>
      <c r="CLK60" s="64"/>
      <c r="CLL60" s="64"/>
      <c r="CLM60" s="64"/>
      <c r="CLN60" s="64"/>
      <c r="CLO60" s="64"/>
      <c r="CLP60" s="64"/>
      <c r="CLQ60" s="64"/>
      <c r="CLR60" s="64"/>
      <c r="CLS60" s="64"/>
      <c r="CLT60" s="64"/>
      <c r="CLU60" s="64"/>
      <c r="CLV60" s="64"/>
      <c r="CLW60" s="64"/>
      <c r="CLX60" s="64"/>
      <c r="CLY60" s="64"/>
      <c r="CLZ60" s="64"/>
      <c r="CMA60" s="64"/>
      <c r="CMB60" s="64"/>
      <c r="CMC60" s="64"/>
      <c r="CMD60" s="64"/>
      <c r="CME60" s="64"/>
      <c r="CMF60" s="64"/>
      <c r="CMG60" s="64"/>
      <c r="CMH60" s="64"/>
      <c r="CMI60" s="64"/>
      <c r="CMJ60" s="64"/>
      <c r="CMK60" s="64"/>
      <c r="CML60" s="64"/>
      <c r="CMM60" s="64"/>
      <c r="CMN60" s="64"/>
      <c r="CMO60" s="64"/>
      <c r="CMP60" s="64"/>
      <c r="CMQ60" s="64"/>
      <c r="CMR60" s="64"/>
      <c r="CMS60" s="64"/>
      <c r="CMT60" s="64"/>
      <c r="CMU60" s="64"/>
      <c r="CMV60" s="64"/>
      <c r="CMW60" s="64"/>
      <c r="CMX60" s="64"/>
      <c r="CMY60" s="64"/>
      <c r="CMZ60" s="64"/>
      <c r="CNA60" s="64"/>
      <c r="CNB60" s="64"/>
      <c r="CNC60" s="64"/>
      <c r="CND60" s="64"/>
      <c r="CNE60" s="64"/>
      <c r="CNF60" s="64"/>
      <c r="CNG60" s="64"/>
      <c r="CNH60" s="64"/>
      <c r="CNI60" s="64"/>
      <c r="CNJ60" s="64"/>
      <c r="CNK60" s="64"/>
      <c r="CNL60" s="64"/>
      <c r="CNM60" s="64"/>
      <c r="CNN60" s="64"/>
      <c r="CNO60" s="64"/>
      <c r="CNP60" s="64"/>
      <c r="CNQ60" s="64"/>
      <c r="CNR60" s="64"/>
      <c r="CNS60" s="64"/>
      <c r="CNT60" s="64"/>
      <c r="CNU60" s="64"/>
      <c r="CNV60" s="64"/>
      <c r="CNW60" s="64"/>
      <c r="CNX60" s="64"/>
      <c r="CNY60" s="64"/>
      <c r="CNZ60" s="64"/>
      <c r="COA60" s="64"/>
      <c r="COB60" s="64"/>
      <c r="COC60" s="64"/>
      <c r="COD60" s="64"/>
      <c r="COE60" s="64"/>
      <c r="COF60" s="64"/>
      <c r="COG60" s="64"/>
      <c r="COH60" s="64"/>
      <c r="COI60" s="64"/>
      <c r="COJ60" s="64"/>
      <c r="COK60" s="64"/>
      <c r="COL60" s="64"/>
      <c r="COM60" s="64"/>
      <c r="CON60" s="64"/>
      <c r="COO60" s="64"/>
      <c r="COP60" s="64"/>
      <c r="COQ60" s="64"/>
      <c r="COR60" s="64"/>
      <c r="COS60" s="64"/>
      <c r="COT60" s="64"/>
      <c r="COU60" s="64"/>
      <c r="COV60" s="64"/>
      <c r="COW60" s="64"/>
      <c r="COX60" s="64"/>
      <c r="COY60" s="64"/>
      <c r="COZ60" s="64"/>
      <c r="CPA60" s="64"/>
      <c r="CPB60" s="64"/>
      <c r="CPC60" s="64"/>
      <c r="CPD60" s="64"/>
      <c r="CPE60" s="64"/>
      <c r="CPF60" s="64"/>
      <c r="CPG60" s="64"/>
      <c r="CPH60" s="64"/>
      <c r="CPI60" s="64"/>
      <c r="CPJ60" s="64"/>
      <c r="CPK60" s="64"/>
      <c r="CPL60" s="64"/>
      <c r="CPM60" s="64"/>
      <c r="CPN60" s="64"/>
      <c r="CPO60" s="64"/>
      <c r="CPP60" s="64"/>
      <c r="CPQ60" s="64"/>
      <c r="CPR60" s="64"/>
      <c r="CPS60" s="64"/>
      <c r="CPT60" s="64"/>
      <c r="CPU60" s="64"/>
      <c r="CPV60" s="64"/>
      <c r="CPW60" s="64"/>
      <c r="CPX60" s="64"/>
      <c r="CPY60" s="64"/>
      <c r="CPZ60" s="64"/>
      <c r="CQA60" s="64"/>
      <c r="CQB60" s="64"/>
      <c r="CQC60" s="64"/>
      <c r="CQD60" s="64"/>
      <c r="CQE60" s="64"/>
      <c r="CQF60" s="64"/>
      <c r="CQG60" s="64"/>
      <c r="CQH60" s="64"/>
      <c r="CQI60" s="64"/>
      <c r="CQJ60" s="64"/>
      <c r="CQK60" s="64"/>
      <c r="CQL60" s="64"/>
      <c r="CQM60" s="64"/>
      <c r="CQN60" s="64"/>
      <c r="CQO60" s="64"/>
      <c r="CQP60" s="64"/>
      <c r="CQQ60" s="64"/>
      <c r="CQR60" s="64"/>
      <c r="CQS60" s="64"/>
      <c r="CQT60" s="64"/>
      <c r="CQU60" s="64"/>
      <c r="CQV60" s="64"/>
      <c r="CQW60" s="64"/>
      <c r="CQX60" s="64"/>
      <c r="CQY60" s="64"/>
      <c r="CQZ60" s="64"/>
      <c r="CRA60" s="64"/>
      <c r="CRB60" s="64"/>
      <c r="CRC60" s="64"/>
      <c r="CRD60" s="64"/>
      <c r="CRE60" s="64"/>
      <c r="CRF60" s="64"/>
      <c r="CRG60" s="64"/>
      <c r="CRH60" s="64"/>
      <c r="CRI60" s="64"/>
      <c r="CRJ60" s="64"/>
      <c r="CRK60" s="64"/>
      <c r="CRL60" s="64"/>
      <c r="CRM60" s="64"/>
      <c r="CRN60" s="64"/>
      <c r="CRO60" s="64"/>
      <c r="CRP60" s="64"/>
      <c r="CRQ60" s="64"/>
      <c r="CRR60" s="64"/>
      <c r="CRS60" s="64"/>
      <c r="CRT60" s="64"/>
      <c r="CRU60" s="64"/>
      <c r="CRV60" s="64"/>
      <c r="CRW60" s="64"/>
      <c r="CRX60" s="64"/>
      <c r="CRY60" s="64"/>
      <c r="CRZ60" s="64"/>
      <c r="CSA60" s="64"/>
      <c r="CSB60" s="64"/>
      <c r="CSC60" s="64"/>
      <c r="CSD60" s="64"/>
      <c r="CSE60" s="64"/>
      <c r="CSF60" s="64"/>
      <c r="CSG60" s="64"/>
      <c r="CSH60" s="64"/>
      <c r="CSI60" s="64"/>
      <c r="CSJ60" s="64"/>
      <c r="CSK60" s="64"/>
      <c r="CSL60" s="64"/>
      <c r="CSM60" s="64"/>
      <c r="CSN60" s="64"/>
      <c r="CSO60" s="64"/>
      <c r="CSP60" s="64"/>
      <c r="CSQ60" s="64"/>
      <c r="CSR60" s="64"/>
      <c r="CSS60" s="64"/>
      <c r="CST60" s="64"/>
      <c r="CSU60" s="64"/>
      <c r="CSV60" s="64"/>
      <c r="CSW60" s="64"/>
      <c r="CSX60" s="64"/>
      <c r="CSY60" s="64"/>
      <c r="CSZ60" s="64"/>
      <c r="CTA60" s="64"/>
      <c r="CTB60" s="64"/>
      <c r="CTC60" s="64"/>
      <c r="CTD60" s="64"/>
      <c r="CTE60" s="64"/>
      <c r="CTF60" s="64"/>
      <c r="CTG60" s="64"/>
      <c r="CTH60" s="64"/>
      <c r="CTI60" s="64"/>
      <c r="CTJ60" s="64"/>
      <c r="CTK60" s="64"/>
      <c r="CTL60" s="64"/>
      <c r="CTM60" s="64"/>
      <c r="CTN60" s="64"/>
      <c r="CTO60" s="64"/>
      <c r="CTP60" s="64"/>
      <c r="CTQ60" s="64"/>
      <c r="CTR60" s="64"/>
      <c r="CTS60" s="64"/>
      <c r="CTT60" s="64"/>
      <c r="CTU60" s="64"/>
      <c r="CTV60" s="64"/>
      <c r="CTW60" s="64"/>
      <c r="CTX60" s="64"/>
      <c r="CTY60" s="64"/>
      <c r="CTZ60" s="64"/>
      <c r="CUA60" s="64"/>
      <c r="CUB60" s="64"/>
      <c r="CUC60" s="64"/>
      <c r="CUD60" s="64"/>
      <c r="CUE60" s="64"/>
      <c r="CUF60" s="64"/>
      <c r="CUG60" s="64"/>
      <c r="CUH60" s="64"/>
      <c r="CUI60" s="64"/>
      <c r="CUJ60" s="64"/>
      <c r="CUK60" s="64"/>
      <c r="CUL60" s="64"/>
      <c r="CUM60" s="64"/>
      <c r="CUN60" s="64"/>
      <c r="CUO60" s="64"/>
      <c r="CUP60" s="64"/>
      <c r="CUQ60" s="64"/>
      <c r="CUR60" s="64"/>
      <c r="CUS60" s="64"/>
      <c r="CUT60" s="64"/>
      <c r="CUU60" s="64"/>
      <c r="CUV60" s="64"/>
      <c r="CUW60" s="64"/>
      <c r="CUX60" s="64"/>
      <c r="CUY60" s="64"/>
      <c r="CUZ60" s="64"/>
      <c r="CVA60" s="64"/>
      <c r="CVB60" s="64"/>
      <c r="CVC60" s="64"/>
      <c r="CVD60" s="64"/>
      <c r="CVE60" s="64"/>
      <c r="CVF60" s="64"/>
      <c r="CVG60" s="64"/>
      <c r="CVH60" s="64"/>
      <c r="CVI60" s="64"/>
      <c r="CVJ60" s="64"/>
      <c r="CVK60" s="64"/>
      <c r="CVL60" s="64"/>
      <c r="CVM60" s="64"/>
      <c r="CVN60" s="64"/>
      <c r="CVO60" s="64"/>
      <c r="CVP60" s="64"/>
      <c r="CVQ60" s="64"/>
      <c r="CVR60" s="64"/>
      <c r="CVS60" s="64"/>
      <c r="CVT60" s="64"/>
      <c r="CVU60" s="64"/>
      <c r="CVV60" s="64"/>
      <c r="CVW60" s="64"/>
      <c r="CVX60" s="64"/>
      <c r="CVY60" s="64"/>
      <c r="CVZ60" s="64"/>
      <c r="CWA60" s="64"/>
      <c r="CWB60" s="64"/>
      <c r="CWC60" s="64"/>
      <c r="CWD60" s="64"/>
      <c r="CWE60" s="64"/>
      <c r="CWF60" s="64"/>
      <c r="CWG60" s="64"/>
      <c r="CWH60" s="64"/>
      <c r="CWI60" s="64"/>
      <c r="CWJ60" s="64"/>
      <c r="CWK60" s="64"/>
      <c r="CWL60" s="64"/>
      <c r="CWM60" s="64"/>
      <c r="CWN60" s="64"/>
      <c r="CWO60" s="64"/>
      <c r="CWP60" s="64"/>
      <c r="CWQ60" s="64"/>
      <c r="CWR60" s="64"/>
      <c r="CWS60" s="64"/>
      <c r="CWT60" s="64"/>
      <c r="CWU60" s="64"/>
      <c r="CWV60" s="64"/>
      <c r="CWW60" s="64"/>
      <c r="CWX60" s="64"/>
      <c r="CWY60" s="64"/>
      <c r="CWZ60" s="64"/>
      <c r="CXA60" s="64"/>
      <c r="CXB60" s="64"/>
      <c r="CXC60" s="64"/>
      <c r="CXD60" s="64"/>
      <c r="CXE60" s="64"/>
      <c r="CXF60" s="64"/>
      <c r="CXG60" s="64"/>
      <c r="CXH60" s="64"/>
      <c r="CXI60" s="64"/>
      <c r="CXJ60" s="64"/>
      <c r="CXK60" s="64"/>
      <c r="CXL60" s="64"/>
      <c r="CXM60" s="64"/>
      <c r="CXN60" s="64"/>
      <c r="CXO60" s="64"/>
      <c r="CXP60" s="64"/>
      <c r="CXQ60" s="64"/>
      <c r="CXR60" s="64"/>
      <c r="CXS60" s="64"/>
      <c r="CXT60" s="64"/>
      <c r="CXU60" s="64"/>
      <c r="CXV60" s="64"/>
      <c r="CXW60" s="64"/>
      <c r="CXX60" s="64"/>
      <c r="CXY60" s="64"/>
      <c r="CXZ60" s="64"/>
      <c r="CYA60" s="64"/>
      <c r="CYB60" s="64"/>
      <c r="CYC60" s="64"/>
      <c r="CYD60" s="64"/>
      <c r="CYE60" s="64"/>
      <c r="CYF60" s="64"/>
      <c r="CYG60" s="64"/>
      <c r="CYH60" s="64"/>
      <c r="CYI60" s="64"/>
      <c r="CYJ60" s="64"/>
      <c r="CYK60" s="64"/>
      <c r="CYL60" s="64"/>
      <c r="CYM60" s="64"/>
      <c r="CYN60" s="64"/>
      <c r="CYO60" s="64"/>
      <c r="CYP60" s="64"/>
      <c r="CYQ60" s="64"/>
      <c r="CYR60" s="64"/>
      <c r="CYS60" s="64"/>
      <c r="CYT60" s="64"/>
      <c r="CYU60" s="64"/>
      <c r="CYV60" s="64"/>
      <c r="CYW60" s="64"/>
      <c r="CYX60" s="64"/>
      <c r="CYY60" s="64"/>
      <c r="CYZ60" s="64"/>
      <c r="CZA60" s="64"/>
      <c r="CZB60" s="64"/>
      <c r="CZC60" s="64"/>
      <c r="CZD60" s="64"/>
      <c r="CZE60" s="64"/>
      <c r="CZF60" s="64"/>
      <c r="CZG60" s="64"/>
      <c r="CZH60" s="64"/>
      <c r="CZI60" s="64"/>
      <c r="CZJ60" s="64"/>
      <c r="CZK60" s="64"/>
      <c r="CZL60" s="64"/>
      <c r="CZM60" s="64"/>
      <c r="CZN60" s="64"/>
      <c r="CZO60" s="64"/>
      <c r="CZP60" s="64"/>
      <c r="CZQ60" s="64"/>
      <c r="CZR60" s="64"/>
      <c r="CZS60" s="64"/>
      <c r="CZT60" s="64"/>
      <c r="CZU60" s="64"/>
      <c r="CZV60" s="64"/>
      <c r="CZW60" s="64"/>
      <c r="CZX60" s="64"/>
      <c r="CZY60" s="64"/>
      <c r="CZZ60" s="64"/>
      <c r="DAA60" s="64"/>
      <c r="DAB60" s="64"/>
      <c r="DAC60" s="64"/>
      <c r="DAD60" s="64"/>
      <c r="DAE60" s="64"/>
      <c r="DAF60" s="64"/>
      <c r="DAG60" s="64"/>
      <c r="DAH60" s="64"/>
      <c r="DAI60" s="64"/>
      <c r="DAJ60" s="64"/>
      <c r="DAK60" s="64"/>
      <c r="DAL60" s="64"/>
      <c r="DAM60" s="64"/>
      <c r="DAN60" s="64"/>
      <c r="DAO60" s="64"/>
      <c r="DAP60" s="64"/>
      <c r="DAQ60" s="64"/>
      <c r="DAR60" s="64"/>
      <c r="DAS60" s="64"/>
      <c r="DAT60" s="64"/>
      <c r="DAU60" s="64"/>
      <c r="DAV60" s="64"/>
      <c r="DAW60" s="64"/>
      <c r="DAX60" s="64"/>
      <c r="DAY60" s="64"/>
      <c r="DAZ60" s="64"/>
      <c r="DBA60" s="64"/>
      <c r="DBB60" s="64"/>
      <c r="DBC60" s="64"/>
      <c r="DBD60" s="64"/>
      <c r="DBE60" s="64"/>
      <c r="DBF60" s="64"/>
      <c r="DBG60" s="64"/>
      <c r="DBH60" s="64"/>
      <c r="DBI60" s="64"/>
      <c r="DBJ60" s="64"/>
      <c r="DBK60" s="64"/>
      <c r="DBL60" s="64"/>
      <c r="DBM60" s="64"/>
      <c r="DBN60" s="64"/>
      <c r="DBO60" s="64"/>
      <c r="DBP60" s="64"/>
      <c r="DBQ60" s="64"/>
      <c r="DBR60" s="64"/>
      <c r="DBS60" s="64"/>
      <c r="DBT60" s="64"/>
      <c r="DBU60" s="64"/>
      <c r="DBV60" s="64"/>
      <c r="DBW60" s="64"/>
      <c r="DBX60" s="64"/>
      <c r="DBY60" s="64"/>
      <c r="DBZ60" s="64"/>
      <c r="DCA60" s="64"/>
      <c r="DCB60" s="64"/>
      <c r="DCC60" s="64"/>
      <c r="DCD60" s="64"/>
      <c r="DCE60" s="64"/>
      <c r="DCF60" s="64"/>
      <c r="DCG60" s="64"/>
      <c r="DCH60" s="64"/>
      <c r="DCI60" s="64"/>
      <c r="DCJ60" s="64"/>
      <c r="DCK60" s="64"/>
      <c r="DCL60" s="64"/>
      <c r="DCM60" s="64"/>
      <c r="DCN60" s="64"/>
      <c r="DCO60" s="64"/>
      <c r="DCP60" s="64"/>
      <c r="DCQ60" s="64"/>
      <c r="DCR60" s="64"/>
      <c r="DCS60" s="64"/>
      <c r="DCT60" s="64"/>
      <c r="DCU60" s="64"/>
      <c r="DCV60" s="64"/>
      <c r="DCW60" s="64"/>
      <c r="DCX60" s="64"/>
      <c r="DCY60" s="64"/>
      <c r="DCZ60" s="64"/>
      <c r="DDA60" s="64"/>
      <c r="DDB60" s="64"/>
      <c r="DDC60" s="64"/>
      <c r="DDD60" s="64"/>
      <c r="DDE60" s="64"/>
      <c r="DDF60" s="64"/>
      <c r="DDG60" s="64"/>
      <c r="DDH60" s="64"/>
      <c r="DDI60" s="64"/>
      <c r="DDJ60" s="64"/>
      <c r="DDK60" s="64"/>
      <c r="DDL60" s="64"/>
      <c r="DDM60" s="64"/>
      <c r="DDN60" s="64"/>
      <c r="DDO60" s="64"/>
      <c r="DDP60" s="64"/>
      <c r="DDQ60" s="64"/>
      <c r="DDR60" s="64"/>
      <c r="DDS60" s="64"/>
      <c r="DDT60" s="64"/>
      <c r="DDU60" s="64"/>
      <c r="DDV60" s="64"/>
      <c r="DDW60" s="64"/>
      <c r="DDX60" s="64"/>
      <c r="DDY60" s="64"/>
      <c r="DDZ60" s="64"/>
      <c r="DEA60" s="64"/>
      <c r="DEB60" s="64"/>
      <c r="DEC60" s="64"/>
      <c r="DED60" s="64"/>
      <c r="DEE60" s="64"/>
      <c r="DEF60" s="64"/>
      <c r="DEG60" s="64"/>
      <c r="DEH60" s="64"/>
      <c r="DEI60" s="64"/>
      <c r="DEJ60" s="64"/>
      <c r="DEK60" s="64"/>
      <c r="DEL60" s="64"/>
      <c r="DEM60" s="64"/>
      <c r="DEN60" s="64"/>
      <c r="DEO60" s="64"/>
      <c r="DEP60" s="64"/>
      <c r="DEQ60" s="64"/>
      <c r="DER60" s="64"/>
      <c r="DES60" s="64"/>
      <c r="DET60" s="64"/>
      <c r="DEU60" s="64"/>
      <c r="DEV60" s="64"/>
      <c r="DEW60" s="64"/>
      <c r="DEX60" s="64"/>
      <c r="DEY60" s="64"/>
      <c r="DEZ60" s="64"/>
      <c r="DFA60" s="64"/>
      <c r="DFB60" s="64"/>
      <c r="DFC60" s="64"/>
      <c r="DFD60" s="64"/>
      <c r="DFE60" s="64"/>
      <c r="DFF60" s="64"/>
      <c r="DFG60" s="64"/>
      <c r="DFH60" s="64"/>
      <c r="DFI60" s="64"/>
      <c r="DFJ60" s="64"/>
      <c r="DFK60" s="64"/>
      <c r="DFL60" s="64"/>
      <c r="DFM60" s="64"/>
      <c r="DFN60" s="64"/>
      <c r="DFO60" s="64"/>
      <c r="DFP60" s="64"/>
      <c r="DFQ60" s="64"/>
      <c r="DFR60" s="64"/>
      <c r="DFS60" s="64"/>
      <c r="DFT60" s="64"/>
      <c r="DFU60" s="64"/>
      <c r="DFV60" s="64"/>
      <c r="DFW60" s="64"/>
      <c r="DFX60" s="64"/>
      <c r="DFY60" s="64"/>
      <c r="DFZ60" s="64"/>
      <c r="DGA60" s="64"/>
      <c r="DGB60" s="64"/>
      <c r="DGC60" s="64"/>
      <c r="DGD60" s="64"/>
      <c r="DGE60" s="64"/>
      <c r="DGF60" s="64"/>
      <c r="DGG60" s="64"/>
      <c r="DGH60" s="64"/>
      <c r="DGI60" s="64"/>
      <c r="DGJ60" s="64"/>
      <c r="DGK60" s="64"/>
      <c r="DGL60" s="64"/>
      <c r="DGM60" s="64"/>
      <c r="DGN60" s="64"/>
      <c r="DGO60" s="64"/>
      <c r="DGP60" s="64"/>
      <c r="DGQ60" s="64"/>
      <c r="DGR60" s="64"/>
      <c r="DGS60" s="64"/>
      <c r="DGT60" s="64"/>
      <c r="DGU60" s="64"/>
      <c r="DGV60" s="64"/>
      <c r="DGW60" s="64"/>
      <c r="DGX60" s="64"/>
      <c r="DGY60" s="64"/>
      <c r="DGZ60" s="64"/>
      <c r="DHA60" s="64"/>
      <c r="DHB60" s="64"/>
      <c r="DHC60" s="64"/>
      <c r="DHD60" s="64"/>
      <c r="DHE60" s="64"/>
      <c r="DHF60" s="64"/>
      <c r="DHG60" s="64"/>
      <c r="DHH60" s="64"/>
      <c r="DHI60" s="64"/>
      <c r="DHJ60" s="64"/>
      <c r="DHK60" s="64"/>
      <c r="DHL60" s="64"/>
      <c r="DHM60" s="64"/>
      <c r="DHN60" s="64"/>
      <c r="DHO60" s="64"/>
      <c r="DHP60" s="64"/>
      <c r="DHQ60" s="64"/>
      <c r="DHR60" s="64"/>
      <c r="DHS60" s="64"/>
      <c r="DHT60" s="64"/>
      <c r="DHU60" s="64"/>
      <c r="DHV60" s="64"/>
      <c r="DHW60" s="64"/>
      <c r="DHX60" s="64"/>
      <c r="DHY60" s="64"/>
      <c r="DHZ60" s="64"/>
      <c r="DIA60" s="64"/>
      <c r="DIB60" s="64"/>
      <c r="DIC60" s="64"/>
      <c r="DID60" s="64"/>
      <c r="DIE60" s="64"/>
      <c r="DIF60" s="64"/>
      <c r="DIG60" s="64"/>
      <c r="DIH60" s="64"/>
      <c r="DII60" s="64"/>
      <c r="DIJ60" s="64"/>
      <c r="DIK60" s="64"/>
      <c r="DIL60" s="64"/>
      <c r="DIM60" s="64"/>
      <c r="DIN60" s="64"/>
      <c r="DIO60" s="64"/>
      <c r="DIP60" s="64"/>
      <c r="DIQ60" s="64"/>
      <c r="DIR60" s="64"/>
      <c r="DIS60" s="64"/>
      <c r="DIT60" s="64"/>
      <c r="DIU60" s="64"/>
      <c r="DIV60" s="64"/>
      <c r="DIW60" s="64"/>
      <c r="DIX60" s="64"/>
      <c r="DIY60" s="64"/>
      <c r="DIZ60" s="64"/>
      <c r="DJA60" s="64"/>
      <c r="DJB60" s="64"/>
      <c r="DJC60" s="64"/>
      <c r="DJD60" s="64"/>
      <c r="DJE60" s="64"/>
      <c r="DJF60" s="64"/>
      <c r="DJG60" s="64"/>
      <c r="DJH60" s="64"/>
      <c r="DJI60" s="64"/>
      <c r="DJJ60" s="64"/>
      <c r="DJK60" s="64"/>
      <c r="DJL60" s="64"/>
      <c r="DJM60" s="64"/>
      <c r="DJN60" s="64"/>
      <c r="DJO60" s="64"/>
      <c r="DJP60" s="64"/>
      <c r="DJQ60" s="64"/>
      <c r="DJR60" s="64"/>
      <c r="DJS60" s="64"/>
      <c r="DJT60" s="64"/>
      <c r="DJU60" s="64"/>
      <c r="DJV60" s="64"/>
      <c r="DJW60" s="64"/>
      <c r="DJX60" s="64"/>
      <c r="DJY60" s="64"/>
      <c r="DJZ60" s="64"/>
      <c r="DKA60" s="64"/>
      <c r="DKB60" s="64"/>
      <c r="DKC60" s="64"/>
      <c r="DKD60" s="64"/>
      <c r="DKE60" s="64"/>
      <c r="DKF60" s="64"/>
      <c r="DKG60" s="64"/>
      <c r="DKH60" s="64"/>
      <c r="DKI60" s="64"/>
      <c r="DKJ60" s="64"/>
      <c r="DKK60" s="64"/>
      <c r="DKL60" s="64"/>
      <c r="DKM60" s="64"/>
      <c r="DKN60" s="64"/>
      <c r="DKO60" s="64"/>
      <c r="DKP60" s="64"/>
      <c r="DKQ60" s="64"/>
      <c r="DKR60" s="64"/>
      <c r="DKS60" s="64"/>
      <c r="DKT60" s="64"/>
      <c r="DKU60" s="64"/>
      <c r="DKV60" s="64"/>
      <c r="DKW60" s="64"/>
      <c r="DKX60" s="64"/>
      <c r="DKY60" s="64"/>
      <c r="DKZ60" s="64"/>
      <c r="DLA60" s="64"/>
      <c r="DLB60" s="64"/>
      <c r="DLC60" s="64"/>
      <c r="DLD60" s="64"/>
      <c r="DLE60" s="64"/>
      <c r="DLF60" s="64"/>
      <c r="DLG60" s="64"/>
      <c r="DLH60" s="64"/>
      <c r="DLI60" s="64"/>
      <c r="DLJ60" s="64"/>
      <c r="DLK60" s="64"/>
      <c r="DLL60" s="64"/>
      <c r="DLM60" s="64"/>
      <c r="DLN60" s="64"/>
      <c r="DLO60" s="64"/>
      <c r="DLP60" s="64"/>
      <c r="DLQ60" s="64"/>
      <c r="DLR60" s="64"/>
      <c r="DLS60" s="64"/>
      <c r="DLT60" s="64"/>
      <c r="DLU60" s="64"/>
      <c r="DLV60" s="64"/>
      <c r="DLW60" s="64"/>
      <c r="DLX60" s="64"/>
      <c r="DLY60" s="64"/>
      <c r="DLZ60" s="64"/>
      <c r="DMA60" s="64"/>
      <c r="DMB60" s="64"/>
      <c r="DMC60" s="64"/>
      <c r="DMD60" s="64"/>
      <c r="DME60" s="64"/>
      <c r="DMF60" s="64"/>
      <c r="DMG60" s="64"/>
      <c r="DMH60" s="64"/>
      <c r="DMI60" s="64"/>
      <c r="DMJ60" s="64"/>
      <c r="DMK60" s="64"/>
      <c r="DML60" s="64"/>
      <c r="DMM60" s="64"/>
      <c r="DMN60" s="64"/>
      <c r="DMO60" s="64"/>
      <c r="DMP60" s="64"/>
      <c r="DMQ60" s="64"/>
      <c r="DMR60" s="64"/>
      <c r="DMS60" s="64"/>
      <c r="DMT60" s="64"/>
      <c r="DMU60" s="64"/>
      <c r="DMV60" s="64"/>
      <c r="DMW60" s="64"/>
      <c r="DMX60" s="64"/>
      <c r="DMY60" s="64"/>
      <c r="DMZ60" s="64"/>
      <c r="DNA60" s="64"/>
      <c r="DNB60" s="64"/>
      <c r="DNC60" s="64"/>
      <c r="DND60" s="64"/>
      <c r="DNE60" s="64"/>
      <c r="DNF60" s="64"/>
      <c r="DNG60" s="64"/>
      <c r="DNH60" s="64"/>
      <c r="DNI60" s="64"/>
      <c r="DNJ60" s="64"/>
      <c r="DNK60" s="64"/>
      <c r="DNL60" s="64"/>
      <c r="DNM60" s="64"/>
      <c r="DNN60" s="64"/>
      <c r="DNO60" s="64"/>
      <c r="DNP60" s="64"/>
      <c r="DNQ60" s="64"/>
      <c r="DNR60" s="64"/>
      <c r="DNS60" s="64"/>
      <c r="DNT60" s="64"/>
      <c r="DNU60" s="64"/>
      <c r="DNV60" s="64"/>
      <c r="DNW60" s="64"/>
      <c r="DNX60" s="64"/>
      <c r="DNY60" s="64"/>
      <c r="DNZ60" s="64"/>
      <c r="DOA60" s="64"/>
      <c r="DOB60" s="64"/>
      <c r="DOC60" s="64"/>
      <c r="DOD60" s="64"/>
      <c r="DOE60" s="64"/>
      <c r="DOF60" s="64"/>
      <c r="DOG60" s="64"/>
      <c r="DOH60" s="64"/>
      <c r="DOI60" s="64"/>
      <c r="DOJ60" s="64"/>
      <c r="DOK60" s="64"/>
      <c r="DOL60" s="64"/>
      <c r="DOM60" s="64"/>
      <c r="DON60" s="64"/>
      <c r="DOO60" s="64"/>
      <c r="DOP60" s="64"/>
      <c r="DOQ60" s="64"/>
      <c r="DOR60" s="64"/>
      <c r="DOS60" s="64"/>
      <c r="DOT60" s="64"/>
      <c r="DOU60" s="64"/>
      <c r="DOV60" s="64"/>
      <c r="DOW60" s="64"/>
      <c r="DOX60" s="64"/>
      <c r="DOY60" s="64"/>
      <c r="DOZ60" s="64"/>
      <c r="DPA60" s="64"/>
      <c r="DPB60" s="64"/>
      <c r="DPC60" s="64"/>
      <c r="DPD60" s="64"/>
      <c r="DPE60" s="64"/>
      <c r="DPF60" s="64"/>
      <c r="DPG60" s="64"/>
      <c r="DPH60" s="64"/>
      <c r="DPI60" s="64"/>
      <c r="DPJ60" s="64"/>
      <c r="DPK60" s="64"/>
      <c r="DPL60" s="64"/>
      <c r="DPM60" s="64"/>
      <c r="DPN60" s="64"/>
      <c r="DPO60" s="64"/>
      <c r="DPP60" s="64"/>
      <c r="DPQ60" s="64"/>
      <c r="DPR60" s="64"/>
      <c r="DPS60" s="64"/>
      <c r="DPT60" s="64"/>
      <c r="DPU60" s="64"/>
      <c r="DPV60" s="64"/>
      <c r="DPW60" s="64"/>
      <c r="DPX60" s="64"/>
      <c r="DPY60" s="64"/>
      <c r="DPZ60" s="64"/>
      <c r="DQA60" s="64"/>
      <c r="DQB60" s="64"/>
      <c r="DQC60" s="64"/>
      <c r="DQD60" s="64"/>
      <c r="DQE60" s="64"/>
      <c r="DQF60" s="64"/>
      <c r="DQG60" s="64"/>
      <c r="DQH60" s="64"/>
      <c r="DQI60" s="64"/>
      <c r="DQJ60" s="64"/>
      <c r="DQK60" s="64"/>
      <c r="DQL60" s="64"/>
      <c r="DQM60" s="64"/>
      <c r="DQN60" s="64"/>
      <c r="DQO60" s="64"/>
      <c r="DQP60" s="64"/>
      <c r="DQQ60" s="64"/>
      <c r="DQR60" s="64"/>
      <c r="DQS60" s="64"/>
      <c r="DQT60" s="64"/>
      <c r="DQU60" s="64"/>
      <c r="DQV60" s="64"/>
      <c r="DQW60" s="64"/>
      <c r="DQX60" s="64"/>
      <c r="DQY60" s="64"/>
      <c r="DQZ60" s="64"/>
      <c r="DRA60" s="64"/>
      <c r="DRB60" s="64"/>
      <c r="DRC60" s="64"/>
      <c r="DRD60" s="64"/>
      <c r="DRE60" s="64"/>
      <c r="DRF60" s="64"/>
      <c r="DRG60" s="64"/>
      <c r="DRH60" s="64"/>
      <c r="DRI60" s="64"/>
      <c r="DRJ60" s="64"/>
      <c r="DRK60" s="64"/>
      <c r="DRL60" s="64"/>
      <c r="DRM60" s="64"/>
      <c r="DRN60" s="64"/>
      <c r="DRO60" s="64"/>
      <c r="DRP60" s="64"/>
      <c r="DRQ60" s="64"/>
      <c r="DRR60" s="64"/>
      <c r="DRS60" s="64"/>
      <c r="DRT60" s="64"/>
      <c r="DRU60" s="64"/>
      <c r="DRV60" s="64"/>
      <c r="DRW60" s="64"/>
      <c r="DRX60" s="64"/>
      <c r="DRY60" s="64"/>
      <c r="DRZ60" s="64"/>
      <c r="DSA60" s="64"/>
      <c r="DSB60" s="64"/>
      <c r="DSC60" s="64"/>
      <c r="DSD60" s="64"/>
      <c r="DSE60" s="64"/>
      <c r="DSF60" s="64"/>
      <c r="DSG60" s="64"/>
      <c r="DSH60" s="64"/>
      <c r="DSI60" s="64"/>
      <c r="DSJ60" s="64"/>
      <c r="DSK60" s="64"/>
      <c r="DSL60" s="64"/>
      <c r="DSM60" s="64"/>
      <c r="DSN60" s="64"/>
      <c r="DSO60" s="64"/>
      <c r="DSP60" s="64"/>
      <c r="DSQ60" s="64"/>
      <c r="DSR60" s="64"/>
      <c r="DSS60" s="64"/>
      <c r="DST60" s="64"/>
      <c r="DSU60" s="64"/>
      <c r="DSV60" s="64"/>
      <c r="DSW60" s="64"/>
      <c r="DSX60" s="64"/>
      <c r="DSY60" s="64"/>
      <c r="DSZ60" s="64"/>
      <c r="DTA60" s="64"/>
      <c r="DTB60" s="64"/>
      <c r="DTC60" s="64"/>
      <c r="DTD60" s="64"/>
      <c r="DTE60" s="64"/>
      <c r="DTF60" s="64"/>
      <c r="DTG60" s="64"/>
      <c r="DTH60" s="64"/>
      <c r="DTI60" s="64"/>
      <c r="DTJ60" s="64"/>
      <c r="DTK60" s="64"/>
      <c r="DTL60" s="64"/>
      <c r="DTM60" s="64"/>
      <c r="DTN60" s="64"/>
      <c r="DTO60" s="64"/>
      <c r="DTP60" s="64"/>
      <c r="DTQ60" s="64"/>
      <c r="DTR60" s="64"/>
      <c r="DTS60" s="64"/>
      <c r="DTT60" s="64"/>
      <c r="DTU60" s="64"/>
      <c r="DTV60" s="64"/>
      <c r="DTW60" s="64"/>
      <c r="DTX60" s="64"/>
      <c r="DTY60" s="64"/>
      <c r="DTZ60" s="64"/>
      <c r="DUA60" s="64"/>
      <c r="DUB60" s="64"/>
      <c r="DUC60" s="64"/>
      <c r="DUD60" s="64"/>
      <c r="DUE60" s="64"/>
      <c r="DUF60" s="64"/>
      <c r="DUG60" s="64"/>
      <c r="DUH60" s="64"/>
      <c r="DUI60" s="64"/>
      <c r="DUJ60" s="64"/>
      <c r="DUK60" s="64"/>
      <c r="DUL60" s="64"/>
      <c r="DUM60" s="64"/>
      <c r="DUN60" s="64"/>
      <c r="DUO60" s="64"/>
      <c r="DUP60" s="64"/>
      <c r="DUQ60" s="64"/>
      <c r="DUR60" s="64"/>
      <c r="DUS60" s="64"/>
      <c r="DUT60" s="64"/>
      <c r="DUU60" s="64"/>
      <c r="DUV60" s="64"/>
      <c r="DUW60" s="64"/>
      <c r="DUX60" s="64"/>
      <c r="DUY60" s="64"/>
      <c r="DUZ60" s="64"/>
      <c r="DVA60" s="64"/>
      <c r="DVB60" s="64"/>
      <c r="DVC60" s="64"/>
      <c r="DVD60" s="64"/>
      <c r="DVE60" s="64"/>
      <c r="DVF60" s="64"/>
      <c r="DVG60" s="64"/>
      <c r="DVH60" s="64"/>
      <c r="DVI60" s="64"/>
      <c r="DVJ60" s="64"/>
      <c r="DVK60" s="64"/>
      <c r="DVL60" s="64"/>
      <c r="DVM60" s="64"/>
      <c r="DVN60" s="64"/>
      <c r="DVO60" s="64"/>
      <c r="DVP60" s="64"/>
      <c r="DVQ60" s="64"/>
      <c r="DVR60" s="64"/>
      <c r="DVS60" s="64"/>
      <c r="DVT60" s="64"/>
      <c r="DVU60" s="64"/>
      <c r="DVV60" s="64"/>
      <c r="DVW60" s="64"/>
      <c r="DVX60" s="64"/>
      <c r="DVY60" s="64"/>
      <c r="DVZ60" s="64"/>
      <c r="DWA60" s="64"/>
      <c r="DWB60" s="64"/>
      <c r="DWC60" s="64"/>
      <c r="DWD60" s="64"/>
      <c r="DWE60" s="64"/>
      <c r="DWF60" s="64"/>
      <c r="DWG60" s="64"/>
      <c r="DWH60" s="64"/>
      <c r="DWI60" s="64"/>
      <c r="DWJ60" s="64"/>
      <c r="DWK60" s="64"/>
      <c r="DWL60" s="64"/>
      <c r="DWM60" s="64"/>
      <c r="DWN60" s="64"/>
      <c r="DWO60" s="64"/>
      <c r="DWP60" s="64"/>
      <c r="DWQ60" s="64"/>
      <c r="DWR60" s="64"/>
      <c r="DWS60" s="64"/>
      <c r="DWT60" s="64"/>
      <c r="DWU60" s="64"/>
      <c r="DWV60" s="64"/>
      <c r="DWW60" s="64"/>
      <c r="DWX60" s="64"/>
      <c r="DWY60" s="64"/>
      <c r="DWZ60" s="64"/>
      <c r="DXA60" s="64"/>
      <c r="DXB60" s="64"/>
      <c r="DXC60" s="64"/>
      <c r="DXD60" s="64"/>
      <c r="DXE60" s="64"/>
      <c r="DXF60" s="64"/>
      <c r="DXG60" s="64"/>
      <c r="DXH60" s="64"/>
      <c r="DXI60" s="64"/>
      <c r="DXJ60" s="64"/>
      <c r="DXK60" s="64"/>
      <c r="DXL60" s="64"/>
      <c r="DXM60" s="64"/>
      <c r="DXN60" s="64"/>
      <c r="DXO60" s="64"/>
      <c r="DXP60" s="64"/>
      <c r="DXQ60" s="64"/>
      <c r="DXR60" s="64"/>
      <c r="DXS60" s="64"/>
      <c r="DXT60" s="64"/>
      <c r="DXU60" s="64"/>
      <c r="DXV60" s="64"/>
      <c r="DXW60" s="64"/>
      <c r="DXX60" s="64"/>
      <c r="DXY60" s="64"/>
      <c r="DXZ60" s="64"/>
      <c r="DYA60" s="64"/>
      <c r="DYB60" s="64"/>
      <c r="DYC60" s="64"/>
      <c r="DYD60" s="64"/>
      <c r="DYE60" s="64"/>
      <c r="DYF60" s="64"/>
      <c r="DYG60" s="64"/>
      <c r="DYH60" s="64"/>
      <c r="DYI60" s="64"/>
      <c r="DYJ60" s="64"/>
      <c r="DYK60" s="64"/>
      <c r="DYL60" s="64"/>
      <c r="DYM60" s="64"/>
      <c r="DYN60" s="64"/>
      <c r="DYO60" s="64"/>
      <c r="DYP60" s="64"/>
      <c r="DYQ60" s="64"/>
      <c r="DYR60" s="64"/>
      <c r="DYS60" s="64"/>
      <c r="DYT60" s="64"/>
      <c r="DYU60" s="64"/>
      <c r="DYV60" s="64"/>
      <c r="DYW60" s="64"/>
      <c r="DYX60" s="64"/>
      <c r="DYY60" s="64"/>
      <c r="DYZ60" s="64"/>
      <c r="DZA60" s="64"/>
      <c r="DZB60" s="64"/>
      <c r="DZC60" s="64"/>
      <c r="DZD60" s="64"/>
      <c r="DZE60" s="64"/>
      <c r="DZF60" s="64"/>
      <c r="DZG60" s="64"/>
      <c r="DZH60" s="64"/>
      <c r="DZI60" s="64"/>
      <c r="DZJ60" s="64"/>
      <c r="DZK60" s="64"/>
      <c r="DZL60" s="64"/>
      <c r="DZM60" s="64"/>
      <c r="DZN60" s="64"/>
      <c r="DZO60" s="64"/>
      <c r="DZP60" s="64"/>
      <c r="DZQ60" s="64"/>
      <c r="DZR60" s="64"/>
      <c r="DZS60" s="64"/>
      <c r="DZT60" s="64"/>
      <c r="DZU60" s="64"/>
      <c r="DZV60" s="64"/>
      <c r="DZW60" s="64"/>
      <c r="DZX60" s="64"/>
      <c r="DZY60" s="64"/>
      <c r="DZZ60" s="64"/>
      <c r="EAA60" s="64"/>
      <c r="EAB60" s="64"/>
      <c r="EAC60" s="64"/>
      <c r="EAD60" s="64"/>
      <c r="EAE60" s="64"/>
      <c r="EAF60" s="64"/>
      <c r="EAG60" s="64"/>
      <c r="EAH60" s="64"/>
      <c r="EAI60" s="64"/>
      <c r="EAJ60" s="64"/>
      <c r="EAK60" s="64"/>
      <c r="EAL60" s="64"/>
      <c r="EAM60" s="64"/>
      <c r="EAN60" s="64"/>
      <c r="EAO60" s="64"/>
      <c r="EAP60" s="64"/>
      <c r="EAQ60" s="64"/>
      <c r="EAR60" s="64"/>
      <c r="EAS60" s="64"/>
      <c r="EAT60" s="64"/>
      <c r="EAU60" s="64"/>
      <c r="EAV60" s="64"/>
      <c r="EAW60" s="64"/>
      <c r="EAX60" s="64"/>
      <c r="EAY60" s="64"/>
      <c r="EAZ60" s="64"/>
      <c r="EBA60" s="64"/>
      <c r="EBB60" s="64"/>
      <c r="EBC60" s="64"/>
      <c r="EBD60" s="64"/>
      <c r="EBE60" s="64"/>
      <c r="EBF60" s="64"/>
      <c r="EBG60" s="64"/>
      <c r="EBH60" s="64"/>
      <c r="EBI60" s="64"/>
      <c r="EBJ60" s="64"/>
      <c r="EBK60" s="64"/>
      <c r="EBL60" s="64"/>
      <c r="EBM60" s="64"/>
      <c r="EBN60" s="64"/>
      <c r="EBO60" s="64"/>
      <c r="EBP60" s="64"/>
      <c r="EBQ60" s="64"/>
      <c r="EBR60" s="64"/>
      <c r="EBS60" s="64"/>
      <c r="EBT60" s="64"/>
      <c r="EBU60" s="64"/>
      <c r="EBV60" s="64"/>
      <c r="EBW60" s="64"/>
      <c r="EBX60" s="64"/>
      <c r="EBY60" s="64"/>
      <c r="EBZ60" s="64"/>
      <c r="ECA60" s="64"/>
      <c r="ECB60" s="64"/>
      <c r="ECC60" s="64"/>
      <c r="ECD60" s="64"/>
      <c r="ECE60" s="64"/>
      <c r="ECF60" s="64"/>
      <c r="ECG60" s="64"/>
      <c r="ECH60" s="64"/>
      <c r="ECI60" s="64"/>
      <c r="ECJ60" s="64"/>
      <c r="ECK60" s="64"/>
      <c r="ECL60" s="64"/>
      <c r="ECM60" s="64"/>
      <c r="ECN60" s="64"/>
      <c r="ECO60" s="64"/>
      <c r="ECP60" s="64"/>
      <c r="ECQ60" s="64"/>
      <c r="ECR60" s="64"/>
      <c r="ECS60" s="64"/>
      <c r="ECT60" s="64"/>
      <c r="ECU60" s="64"/>
      <c r="ECV60" s="64"/>
      <c r="ECW60" s="64"/>
      <c r="ECX60" s="64"/>
      <c r="ECY60" s="64"/>
      <c r="ECZ60" s="64"/>
      <c r="EDA60" s="64"/>
      <c r="EDB60" s="64"/>
      <c r="EDC60" s="64"/>
      <c r="EDD60" s="64"/>
      <c r="EDE60" s="64"/>
      <c r="EDF60" s="64"/>
      <c r="EDG60" s="64"/>
      <c r="EDH60" s="64"/>
      <c r="EDI60" s="64"/>
      <c r="EDJ60" s="64"/>
      <c r="EDK60" s="64"/>
      <c r="EDL60" s="64"/>
      <c r="EDM60" s="64"/>
      <c r="EDN60" s="64"/>
      <c r="EDO60" s="64"/>
      <c r="EDP60" s="64"/>
      <c r="EDQ60" s="64"/>
      <c r="EDR60" s="64"/>
      <c r="EDS60" s="64"/>
      <c r="EDT60" s="64"/>
      <c r="EDU60" s="64"/>
      <c r="EDV60" s="64"/>
      <c r="EDW60" s="64"/>
      <c r="EDX60" s="64"/>
      <c r="EDY60" s="64"/>
      <c r="EDZ60" s="64"/>
      <c r="EEA60" s="64"/>
      <c r="EEB60" s="64"/>
      <c r="EEC60" s="64"/>
      <c r="EED60" s="64"/>
      <c r="EEE60" s="64"/>
      <c r="EEF60" s="64"/>
      <c r="EEG60" s="64"/>
      <c r="EEH60" s="64"/>
      <c r="EEI60" s="64"/>
      <c r="EEJ60" s="64"/>
      <c r="EEK60" s="64"/>
      <c r="EEL60" s="64"/>
      <c r="EEM60" s="64"/>
      <c r="EEN60" s="64"/>
      <c r="EEO60" s="64"/>
      <c r="EEP60" s="64"/>
      <c r="EEQ60" s="64"/>
      <c r="EER60" s="64"/>
      <c r="EES60" s="64"/>
      <c r="EET60" s="64"/>
      <c r="EEU60" s="64"/>
      <c r="EEV60" s="64"/>
      <c r="EEW60" s="64"/>
      <c r="EEX60" s="64"/>
      <c r="EEY60" s="64"/>
      <c r="EEZ60" s="64"/>
      <c r="EFA60" s="64"/>
      <c r="EFB60" s="64"/>
      <c r="EFC60" s="64"/>
      <c r="EFD60" s="64"/>
      <c r="EFE60" s="64"/>
      <c r="EFF60" s="64"/>
      <c r="EFG60" s="64"/>
      <c r="EFH60" s="64"/>
      <c r="EFI60" s="64"/>
      <c r="EFJ60" s="64"/>
      <c r="EFK60" s="64"/>
      <c r="EFL60" s="64"/>
      <c r="EFM60" s="64"/>
      <c r="EFN60" s="64"/>
      <c r="EFO60" s="64"/>
      <c r="EFP60" s="64"/>
      <c r="EFQ60" s="64"/>
      <c r="EFR60" s="64"/>
      <c r="EFS60" s="64"/>
      <c r="EFT60" s="64"/>
      <c r="EFU60" s="64"/>
      <c r="EFV60" s="64"/>
      <c r="EFW60" s="64"/>
      <c r="EFX60" s="64"/>
      <c r="EFY60" s="64"/>
      <c r="EFZ60" s="64"/>
      <c r="EGA60" s="64"/>
      <c r="EGB60" s="64"/>
      <c r="EGC60" s="64"/>
      <c r="EGD60" s="64"/>
      <c r="EGE60" s="64"/>
      <c r="EGF60" s="64"/>
      <c r="EGG60" s="64"/>
      <c r="EGH60" s="64"/>
      <c r="EGI60" s="64"/>
      <c r="EGJ60" s="64"/>
      <c r="EGK60" s="64"/>
      <c r="EGL60" s="64"/>
      <c r="EGM60" s="64"/>
      <c r="EGN60" s="64"/>
      <c r="EGO60" s="64"/>
      <c r="EGP60" s="64"/>
      <c r="EGQ60" s="64"/>
      <c r="EGR60" s="64"/>
      <c r="EGS60" s="64"/>
      <c r="EGT60" s="64"/>
      <c r="EGU60" s="64"/>
      <c r="EGV60" s="64"/>
      <c r="EGW60" s="64"/>
      <c r="EGX60" s="64"/>
      <c r="EGY60" s="64"/>
      <c r="EGZ60" s="64"/>
      <c r="EHA60" s="64"/>
      <c r="EHB60" s="64"/>
      <c r="EHC60" s="64"/>
      <c r="EHD60" s="64"/>
      <c r="EHE60" s="64"/>
      <c r="EHF60" s="64"/>
      <c r="EHG60" s="64"/>
      <c r="EHH60" s="64"/>
      <c r="EHI60" s="64"/>
      <c r="EHJ60" s="64"/>
      <c r="EHK60" s="64"/>
      <c r="EHL60" s="64"/>
      <c r="EHM60" s="64"/>
      <c r="EHN60" s="64"/>
      <c r="EHO60" s="64"/>
      <c r="EHP60" s="64"/>
      <c r="EHQ60" s="64"/>
      <c r="EHR60" s="64"/>
      <c r="EHS60" s="64"/>
      <c r="EHT60" s="64"/>
      <c r="EHU60" s="64"/>
      <c r="EHV60" s="64"/>
      <c r="EHW60" s="64"/>
      <c r="EHX60" s="64"/>
      <c r="EHY60" s="64"/>
      <c r="EHZ60" s="64"/>
      <c r="EIA60" s="64"/>
      <c r="EIB60" s="64"/>
      <c r="EIC60" s="64"/>
      <c r="EID60" s="64"/>
      <c r="EIE60" s="64"/>
      <c r="EIF60" s="64"/>
      <c r="EIG60" s="64"/>
      <c r="EIH60" s="64"/>
      <c r="EII60" s="64"/>
      <c r="EIJ60" s="64"/>
      <c r="EIK60" s="64"/>
      <c r="EIL60" s="64"/>
      <c r="EIM60" s="64"/>
      <c r="EIN60" s="64"/>
      <c r="EIO60" s="64"/>
      <c r="EIP60" s="64"/>
      <c r="EIQ60" s="64"/>
      <c r="EIR60" s="64"/>
      <c r="EIS60" s="64"/>
      <c r="EIT60" s="64"/>
      <c r="EIU60" s="64"/>
      <c r="EIV60" s="64"/>
      <c r="EIW60" s="64"/>
      <c r="EIX60" s="64"/>
      <c r="EIY60" s="64"/>
      <c r="EIZ60" s="64"/>
      <c r="EJA60" s="64"/>
      <c r="EJB60" s="64"/>
      <c r="EJC60" s="64"/>
      <c r="EJD60" s="64"/>
      <c r="EJE60" s="64"/>
      <c r="EJF60" s="64"/>
      <c r="EJG60" s="64"/>
      <c r="EJH60" s="64"/>
      <c r="EJI60" s="64"/>
      <c r="EJJ60" s="64"/>
      <c r="EJK60" s="64"/>
      <c r="EJL60" s="64"/>
      <c r="EJM60" s="64"/>
      <c r="EJN60" s="64"/>
      <c r="EJO60" s="64"/>
      <c r="EJP60" s="64"/>
      <c r="EJQ60" s="64"/>
      <c r="EJR60" s="64"/>
      <c r="EJS60" s="64"/>
      <c r="EJT60" s="64"/>
      <c r="EJU60" s="64"/>
      <c r="EJV60" s="64"/>
      <c r="EJW60" s="64"/>
      <c r="EJX60" s="64"/>
      <c r="EJY60" s="64"/>
      <c r="EJZ60" s="64"/>
      <c r="EKA60" s="64"/>
      <c r="EKB60" s="64"/>
      <c r="EKC60" s="64"/>
      <c r="EKD60" s="64"/>
      <c r="EKE60" s="64"/>
      <c r="EKF60" s="64"/>
      <c r="EKG60" s="64"/>
      <c r="EKH60" s="64"/>
      <c r="EKI60" s="64"/>
      <c r="EKJ60" s="64"/>
      <c r="EKK60" s="64"/>
      <c r="EKL60" s="64"/>
      <c r="EKM60" s="64"/>
      <c r="EKN60" s="64"/>
      <c r="EKO60" s="64"/>
      <c r="EKP60" s="64"/>
      <c r="EKQ60" s="64"/>
      <c r="EKR60" s="64"/>
      <c r="EKS60" s="64"/>
      <c r="EKT60" s="64"/>
      <c r="EKU60" s="64"/>
      <c r="EKV60" s="64"/>
      <c r="EKW60" s="64"/>
      <c r="EKX60" s="64"/>
      <c r="EKY60" s="64"/>
      <c r="EKZ60" s="64"/>
      <c r="ELA60" s="64"/>
      <c r="ELB60" s="64"/>
      <c r="ELC60" s="64"/>
      <c r="ELD60" s="64"/>
      <c r="ELE60" s="64"/>
      <c r="ELF60" s="64"/>
      <c r="ELG60" s="64"/>
      <c r="ELH60" s="64"/>
      <c r="ELI60" s="64"/>
      <c r="ELJ60" s="64"/>
      <c r="ELK60" s="64"/>
      <c r="ELL60" s="64"/>
      <c r="ELM60" s="64"/>
      <c r="ELN60" s="64"/>
      <c r="ELO60" s="64"/>
      <c r="ELP60" s="64"/>
      <c r="ELQ60" s="64"/>
      <c r="ELR60" s="64"/>
      <c r="ELS60" s="64"/>
      <c r="ELT60" s="64"/>
      <c r="ELU60" s="64"/>
      <c r="ELV60" s="64"/>
      <c r="ELW60" s="64"/>
      <c r="ELX60" s="64"/>
      <c r="ELY60" s="64"/>
      <c r="ELZ60" s="64"/>
      <c r="EMA60" s="64"/>
      <c r="EMB60" s="64"/>
      <c r="EMC60" s="64"/>
      <c r="EMD60" s="64"/>
      <c r="EME60" s="64"/>
      <c r="EMF60" s="64"/>
      <c r="EMG60" s="64"/>
      <c r="EMH60" s="64"/>
      <c r="EMI60" s="64"/>
      <c r="EMJ60" s="64"/>
      <c r="EMK60" s="64"/>
      <c r="EML60" s="64"/>
      <c r="EMM60" s="64"/>
      <c r="EMN60" s="64"/>
      <c r="EMO60" s="64"/>
      <c r="EMP60" s="64"/>
      <c r="EMQ60" s="64"/>
      <c r="EMR60" s="64"/>
      <c r="EMS60" s="64"/>
      <c r="EMT60" s="64"/>
      <c r="EMU60" s="64"/>
      <c r="EMV60" s="64"/>
      <c r="EMW60" s="64"/>
      <c r="EMX60" s="64"/>
      <c r="EMY60" s="64"/>
      <c r="EMZ60" s="64"/>
      <c r="ENA60" s="64"/>
      <c r="ENB60" s="64"/>
      <c r="ENC60" s="64"/>
      <c r="END60" s="64"/>
      <c r="ENE60" s="64"/>
      <c r="ENF60" s="64"/>
      <c r="ENG60" s="64"/>
      <c r="ENH60" s="64"/>
      <c r="ENI60" s="64"/>
      <c r="ENJ60" s="64"/>
      <c r="ENK60" s="64"/>
      <c r="ENL60" s="64"/>
      <c r="ENM60" s="64"/>
      <c r="ENN60" s="64"/>
      <c r="ENO60" s="64"/>
      <c r="ENP60" s="64"/>
      <c r="ENQ60" s="64"/>
      <c r="ENR60" s="64"/>
      <c r="ENS60" s="64"/>
      <c r="ENT60" s="64"/>
      <c r="ENU60" s="64"/>
      <c r="ENV60" s="64"/>
      <c r="ENW60" s="64"/>
      <c r="ENX60" s="64"/>
      <c r="ENY60" s="64"/>
      <c r="ENZ60" s="64"/>
      <c r="EOA60" s="64"/>
      <c r="EOB60" s="64"/>
      <c r="EOC60" s="64"/>
      <c r="EOD60" s="64"/>
      <c r="EOE60" s="64"/>
      <c r="EOF60" s="64"/>
      <c r="EOG60" s="64"/>
      <c r="EOH60" s="64"/>
      <c r="EOI60" s="64"/>
      <c r="EOJ60" s="64"/>
      <c r="EOK60" s="64"/>
      <c r="EOL60" s="64"/>
      <c r="EOM60" s="64"/>
      <c r="EON60" s="64"/>
      <c r="EOO60" s="64"/>
      <c r="EOP60" s="64"/>
      <c r="EOQ60" s="64"/>
      <c r="EOR60" s="64"/>
      <c r="EOS60" s="64"/>
      <c r="EOT60" s="64"/>
      <c r="EOU60" s="64"/>
      <c r="EOV60" s="64"/>
      <c r="EOW60" s="64"/>
      <c r="EOX60" s="64"/>
      <c r="EOY60" s="64"/>
      <c r="EOZ60" s="64"/>
      <c r="EPA60" s="64"/>
      <c r="EPB60" s="64"/>
      <c r="EPC60" s="64"/>
      <c r="EPD60" s="64"/>
      <c r="EPE60" s="64"/>
      <c r="EPF60" s="64"/>
      <c r="EPG60" s="64"/>
      <c r="EPH60" s="64"/>
      <c r="EPI60" s="64"/>
      <c r="EPJ60" s="64"/>
      <c r="EPK60" s="64"/>
      <c r="EPL60" s="64"/>
      <c r="EPM60" s="64"/>
      <c r="EPN60" s="64"/>
      <c r="EPO60" s="64"/>
      <c r="EPP60" s="64"/>
      <c r="EPQ60" s="64"/>
      <c r="EPR60" s="64"/>
      <c r="EPS60" s="64"/>
      <c r="EPT60" s="64"/>
      <c r="EPU60" s="64"/>
      <c r="EPV60" s="64"/>
      <c r="EPW60" s="64"/>
      <c r="EPX60" s="64"/>
      <c r="EPY60" s="64"/>
      <c r="EPZ60" s="64"/>
      <c r="EQA60" s="64"/>
      <c r="EQB60" s="64"/>
      <c r="EQC60" s="64"/>
      <c r="EQD60" s="64"/>
      <c r="EQE60" s="64"/>
      <c r="EQF60" s="64"/>
      <c r="EQG60" s="64"/>
      <c r="EQH60" s="64"/>
      <c r="EQI60" s="64"/>
      <c r="EQJ60" s="64"/>
      <c r="EQK60" s="64"/>
      <c r="EQL60" s="64"/>
      <c r="EQM60" s="64"/>
      <c r="EQN60" s="64"/>
      <c r="EQO60" s="64"/>
      <c r="EQP60" s="64"/>
      <c r="EQQ60" s="64"/>
      <c r="EQR60" s="64"/>
      <c r="EQS60" s="64"/>
      <c r="EQT60" s="64"/>
      <c r="EQU60" s="64"/>
      <c r="EQV60" s="64"/>
      <c r="EQW60" s="64"/>
      <c r="EQX60" s="64"/>
      <c r="EQY60" s="64"/>
      <c r="EQZ60" s="64"/>
      <c r="ERA60" s="64"/>
      <c r="ERB60" s="64"/>
      <c r="ERC60" s="64"/>
      <c r="ERD60" s="64"/>
      <c r="ERE60" s="64"/>
      <c r="ERF60" s="64"/>
      <c r="ERG60" s="64"/>
      <c r="ERH60" s="64"/>
      <c r="ERI60" s="64"/>
      <c r="ERJ60" s="64"/>
      <c r="ERK60" s="64"/>
      <c r="ERL60" s="64"/>
      <c r="ERM60" s="64"/>
      <c r="ERN60" s="64"/>
      <c r="ERO60" s="64"/>
      <c r="ERP60" s="64"/>
      <c r="ERQ60" s="64"/>
      <c r="ERR60" s="64"/>
      <c r="ERS60" s="64"/>
      <c r="ERT60" s="64"/>
      <c r="ERU60" s="64"/>
      <c r="ERV60" s="64"/>
      <c r="ERW60" s="64"/>
      <c r="ERX60" s="64"/>
      <c r="ERY60" s="64"/>
      <c r="ERZ60" s="64"/>
      <c r="ESA60" s="64"/>
      <c r="ESB60" s="64"/>
      <c r="ESC60" s="64"/>
      <c r="ESD60" s="64"/>
      <c r="ESE60" s="64"/>
      <c r="ESF60" s="64"/>
      <c r="ESG60" s="64"/>
      <c r="ESH60" s="64"/>
      <c r="ESI60" s="64"/>
      <c r="ESJ60" s="64"/>
      <c r="ESK60" s="64"/>
      <c r="ESL60" s="64"/>
      <c r="ESM60" s="64"/>
      <c r="ESN60" s="64"/>
      <c r="ESO60" s="64"/>
      <c r="ESP60" s="64"/>
      <c r="ESQ60" s="64"/>
      <c r="ESR60" s="64"/>
      <c r="ESS60" s="64"/>
      <c r="EST60" s="64"/>
      <c r="ESU60" s="64"/>
      <c r="ESV60" s="64"/>
      <c r="ESW60" s="64"/>
      <c r="ESX60" s="64"/>
      <c r="ESY60" s="64"/>
      <c r="ESZ60" s="64"/>
      <c r="ETA60" s="64"/>
      <c r="ETB60" s="64"/>
      <c r="ETC60" s="64"/>
      <c r="ETD60" s="64"/>
      <c r="ETE60" s="64"/>
      <c r="ETF60" s="64"/>
      <c r="ETG60" s="64"/>
      <c r="ETH60" s="64"/>
      <c r="ETI60" s="64"/>
      <c r="ETJ60" s="64"/>
      <c r="ETK60" s="64"/>
      <c r="ETL60" s="64"/>
      <c r="ETM60" s="64"/>
      <c r="ETN60" s="64"/>
      <c r="ETO60" s="64"/>
      <c r="ETP60" s="64"/>
      <c r="ETQ60" s="64"/>
      <c r="ETR60" s="64"/>
      <c r="ETS60" s="64"/>
      <c r="ETT60" s="64"/>
      <c r="ETU60" s="64"/>
      <c r="ETV60" s="64"/>
      <c r="ETW60" s="64"/>
      <c r="ETX60" s="64"/>
      <c r="ETY60" s="64"/>
      <c r="ETZ60" s="64"/>
      <c r="EUA60" s="64"/>
      <c r="EUB60" s="64"/>
      <c r="EUC60" s="64"/>
      <c r="EUD60" s="64"/>
      <c r="EUE60" s="64"/>
      <c r="EUF60" s="64"/>
      <c r="EUG60" s="64"/>
      <c r="EUH60" s="64"/>
      <c r="EUI60" s="64"/>
      <c r="EUJ60" s="64"/>
      <c r="EUK60" s="64"/>
      <c r="EUL60" s="64"/>
      <c r="EUM60" s="64"/>
      <c r="EUN60" s="64"/>
      <c r="EUO60" s="64"/>
      <c r="EUP60" s="64"/>
      <c r="EUQ60" s="64"/>
      <c r="EUR60" s="64"/>
      <c r="EUS60" s="64"/>
      <c r="EUT60" s="64"/>
      <c r="EUU60" s="64"/>
      <c r="EUV60" s="64"/>
      <c r="EUW60" s="64"/>
      <c r="EUX60" s="64"/>
      <c r="EUY60" s="64"/>
      <c r="EUZ60" s="64"/>
      <c r="EVA60" s="64"/>
      <c r="EVB60" s="64"/>
      <c r="EVC60" s="64"/>
      <c r="EVD60" s="64"/>
      <c r="EVE60" s="64"/>
      <c r="EVF60" s="64"/>
      <c r="EVG60" s="64"/>
      <c r="EVH60" s="64"/>
      <c r="EVI60" s="64"/>
      <c r="EVJ60" s="64"/>
      <c r="EVK60" s="64"/>
      <c r="EVL60" s="64"/>
      <c r="EVM60" s="64"/>
      <c r="EVN60" s="64"/>
      <c r="EVO60" s="64"/>
      <c r="EVP60" s="64"/>
      <c r="EVQ60" s="64"/>
      <c r="EVR60" s="64"/>
      <c r="EVS60" s="64"/>
      <c r="EVT60" s="64"/>
      <c r="EVU60" s="64"/>
      <c r="EVV60" s="64"/>
      <c r="EVW60" s="64"/>
      <c r="EVX60" s="64"/>
      <c r="EVY60" s="64"/>
      <c r="EVZ60" s="64"/>
      <c r="EWA60" s="64"/>
      <c r="EWB60" s="64"/>
      <c r="EWC60" s="64"/>
      <c r="EWD60" s="64"/>
      <c r="EWE60" s="64"/>
      <c r="EWF60" s="64"/>
      <c r="EWG60" s="64"/>
      <c r="EWH60" s="64"/>
      <c r="EWI60" s="64"/>
      <c r="EWJ60" s="64"/>
      <c r="EWK60" s="64"/>
      <c r="EWL60" s="64"/>
      <c r="EWM60" s="64"/>
      <c r="EWN60" s="64"/>
      <c r="EWO60" s="64"/>
      <c r="EWP60" s="64"/>
      <c r="EWQ60" s="64"/>
      <c r="EWR60" s="64"/>
      <c r="EWS60" s="64"/>
      <c r="EWT60" s="64"/>
      <c r="EWU60" s="64"/>
      <c r="EWV60" s="64"/>
      <c r="EWW60" s="64"/>
      <c r="EWX60" s="64"/>
      <c r="EWY60" s="64"/>
      <c r="EWZ60" s="64"/>
      <c r="EXA60" s="64"/>
      <c r="EXB60" s="64"/>
      <c r="EXC60" s="64"/>
      <c r="EXD60" s="64"/>
      <c r="EXE60" s="64"/>
      <c r="EXF60" s="64"/>
      <c r="EXG60" s="64"/>
      <c r="EXH60" s="64"/>
      <c r="EXI60" s="64"/>
      <c r="EXJ60" s="64"/>
      <c r="EXK60" s="64"/>
      <c r="EXL60" s="64"/>
      <c r="EXM60" s="64"/>
      <c r="EXN60" s="64"/>
      <c r="EXO60" s="64"/>
      <c r="EXP60" s="64"/>
      <c r="EXQ60" s="64"/>
      <c r="EXR60" s="64"/>
      <c r="EXS60" s="64"/>
      <c r="EXT60" s="64"/>
      <c r="EXU60" s="64"/>
      <c r="EXV60" s="64"/>
      <c r="EXW60" s="64"/>
      <c r="EXX60" s="64"/>
      <c r="EXY60" s="64"/>
      <c r="EXZ60" s="64"/>
      <c r="EYA60" s="64"/>
      <c r="EYB60" s="64"/>
      <c r="EYC60" s="64"/>
      <c r="EYD60" s="64"/>
      <c r="EYE60" s="64"/>
      <c r="EYF60" s="64"/>
      <c r="EYG60" s="64"/>
      <c r="EYH60" s="64"/>
      <c r="EYI60" s="64"/>
      <c r="EYJ60" s="64"/>
      <c r="EYK60" s="64"/>
      <c r="EYL60" s="64"/>
      <c r="EYM60" s="64"/>
      <c r="EYN60" s="64"/>
      <c r="EYO60" s="64"/>
      <c r="EYP60" s="64"/>
      <c r="EYQ60" s="64"/>
      <c r="EYR60" s="64"/>
      <c r="EYS60" s="64"/>
      <c r="EYT60" s="64"/>
      <c r="EYU60" s="64"/>
      <c r="EYV60" s="64"/>
      <c r="EYW60" s="64"/>
      <c r="EYX60" s="64"/>
      <c r="EYY60" s="64"/>
      <c r="EYZ60" s="64"/>
      <c r="EZA60" s="64"/>
      <c r="EZB60" s="64"/>
      <c r="EZC60" s="64"/>
      <c r="EZD60" s="64"/>
      <c r="EZE60" s="64"/>
      <c r="EZF60" s="64"/>
      <c r="EZG60" s="64"/>
      <c r="EZH60" s="64"/>
      <c r="EZI60" s="64"/>
      <c r="EZJ60" s="64"/>
      <c r="EZK60" s="64"/>
      <c r="EZL60" s="64"/>
      <c r="EZM60" s="64"/>
      <c r="EZN60" s="64"/>
      <c r="EZO60" s="64"/>
      <c r="EZP60" s="64"/>
      <c r="EZQ60" s="64"/>
      <c r="EZR60" s="64"/>
      <c r="EZS60" s="64"/>
      <c r="EZT60" s="64"/>
      <c r="EZU60" s="64"/>
      <c r="EZV60" s="64"/>
      <c r="EZW60" s="64"/>
      <c r="EZX60" s="64"/>
      <c r="EZY60" s="64"/>
      <c r="EZZ60" s="64"/>
      <c r="FAA60" s="64"/>
      <c r="FAB60" s="64"/>
      <c r="FAC60" s="64"/>
      <c r="FAD60" s="64"/>
      <c r="FAE60" s="64"/>
      <c r="FAF60" s="64"/>
      <c r="FAG60" s="64"/>
      <c r="FAH60" s="64"/>
      <c r="FAI60" s="64"/>
      <c r="FAJ60" s="64"/>
      <c r="FAK60" s="64"/>
      <c r="FAL60" s="64"/>
      <c r="FAM60" s="64"/>
      <c r="FAN60" s="64"/>
      <c r="FAO60" s="64"/>
      <c r="FAP60" s="64"/>
      <c r="FAQ60" s="64"/>
      <c r="FAR60" s="64"/>
      <c r="FAS60" s="64"/>
      <c r="FAT60" s="64"/>
      <c r="FAU60" s="64"/>
      <c r="FAV60" s="64"/>
      <c r="FAW60" s="64"/>
      <c r="FAX60" s="64"/>
      <c r="FAY60" s="64"/>
      <c r="FAZ60" s="64"/>
      <c r="FBA60" s="64"/>
      <c r="FBB60" s="64"/>
      <c r="FBC60" s="64"/>
      <c r="FBD60" s="64"/>
      <c r="FBE60" s="64"/>
      <c r="FBF60" s="64"/>
      <c r="FBG60" s="64"/>
      <c r="FBH60" s="64"/>
      <c r="FBI60" s="64"/>
      <c r="FBJ60" s="64"/>
      <c r="FBK60" s="64"/>
      <c r="FBL60" s="64"/>
      <c r="FBM60" s="64"/>
      <c r="FBN60" s="64"/>
      <c r="FBO60" s="64"/>
      <c r="FBP60" s="64"/>
      <c r="FBQ60" s="64"/>
      <c r="FBR60" s="64"/>
      <c r="FBS60" s="64"/>
      <c r="FBT60" s="64"/>
      <c r="FBU60" s="64"/>
      <c r="FBV60" s="64"/>
      <c r="FBW60" s="64"/>
      <c r="FBX60" s="64"/>
      <c r="FBY60" s="64"/>
      <c r="FBZ60" s="64"/>
      <c r="FCA60" s="64"/>
      <c r="FCB60" s="64"/>
      <c r="FCC60" s="64"/>
      <c r="FCD60" s="64"/>
      <c r="FCE60" s="64"/>
      <c r="FCF60" s="64"/>
      <c r="FCG60" s="64"/>
      <c r="FCH60" s="64"/>
      <c r="FCI60" s="64"/>
      <c r="FCJ60" s="64"/>
      <c r="FCK60" s="64"/>
      <c r="FCL60" s="64"/>
      <c r="FCM60" s="64"/>
      <c r="FCN60" s="64"/>
      <c r="FCO60" s="64"/>
      <c r="FCP60" s="64"/>
      <c r="FCQ60" s="64"/>
      <c r="FCR60" s="64"/>
      <c r="FCS60" s="64"/>
      <c r="FCT60" s="64"/>
      <c r="FCU60" s="64"/>
      <c r="FCV60" s="64"/>
      <c r="FCW60" s="64"/>
      <c r="FCX60" s="64"/>
      <c r="FCY60" s="64"/>
      <c r="FCZ60" s="64"/>
      <c r="FDA60" s="64"/>
      <c r="FDB60" s="64"/>
      <c r="FDC60" s="64"/>
      <c r="FDD60" s="64"/>
      <c r="FDE60" s="64"/>
      <c r="FDF60" s="64"/>
      <c r="FDG60" s="64"/>
      <c r="FDH60" s="64"/>
      <c r="FDI60" s="64"/>
      <c r="FDJ60" s="64"/>
      <c r="FDK60" s="64"/>
      <c r="FDL60" s="64"/>
      <c r="FDM60" s="64"/>
      <c r="FDN60" s="64"/>
      <c r="FDO60" s="64"/>
      <c r="FDP60" s="64"/>
      <c r="FDQ60" s="64"/>
      <c r="FDR60" s="64"/>
      <c r="FDS60" s="64"/>
      <c r="FDT60" s="64"/>
      <c r="FDU60" s="64"/>
      <c r="FDV60" s="64"/>
      <c r="FDW60" s="64"/>
      <c r="FDX60" s="64"/>
      <c r="FDY60" s="64"/>
      <c r="FDZ60" s="64"/>
      <c r="FEA60" s="64"/>
      <c r="FEB60" s="64"/>
      <c r="FEC60" s="64"/>
      <c r="FED60" s="64"/>
      <c r="FEE60" s="64"/>
      <c r="FEF60" s="64"/>
      <c r="FEG60" s="64"/>
      <c r="FEH60" s="64"/>
      <c r="FEI60" s="64"/>
      <c r="FEJ60" s="64"/>
      <c r="FEK60" s="64"/>
      <c r="FEL60" s="64"/>
      <c r="FEM60" s="64"/>
      <c r="FEN60" s="64"/>
      <c r="FEO60" s="64"/>
      <c r="FEP60" s="64"/>
      <c r="FEQ60" s="64"/>
      <c r="FER60" s="64"/>
      <c r="FES60" s="64"/>
      <c r="FET60" s="64"/>
      <c r="FEU60" s="64"/>
      <c r="FEV60" s="64"/>
      <c r="FEW60" s="64"/>
      <c r="FEX60" s="64"/>
      <c r="FEY60" s="64"/>
      <c r="FEZ60" s="64"/>
      <c r="FFA60" s="64"/>
      <c r="FFB60" s="64"/>
      <c r="FFC60" s="64"/>
      <c r="FFD60" s="64"/>
      <c r="FFE60" s="64"/>
      <c r="FFF60" s="64"/>
      <c r="FFG60" s="64"/>
      <c r="FFH60" s="64"/>
      <c r="FFI60" s="64"/>
      <c r="FFJ60" s="64"/>
      <c r="FFK60" s="64"/>
      <c r="FFL60" s="64"/>
      <c r="FFM60" s="64"/>
      <c r="FFN60" s="64"/>
      <c r="FFO60" s="64"/>
      <c r="FFP60" s="64"/>
      <c r="FFQ60" s="64"/>
      <c r="FFR60" s="64"/>
      <c r="FFS60" s="64"/>
      <c r="FFT60" s="64"/>
      <c r="FFU60" s="64"/>
      <c r="FFV60" s="64"/>
      <c r="FFW60" s="64"/>
      <c r="FFX60" s="64"/>
      <c r="FFY60" s="64"/>
      <c r="FFZ60" s="64"/>
      <c r="FGA60" s="64"/>
      <c r="FGB60" s="64"/>
      <c r="FGC60" s="64"/>
      <c r="FGD60" s="64"/>
      <c r="FGE60" s="64"/>
      <c r="FGF60" s="64"/>
      <c r="FGG60" s="64"/>
      <c r="FGH60" s="64"/>
      <c r="FGI60" s="64"/>
      <c r="FGJ60" s="64"/>
      <c r="FGK60" s="64"/>
      <c r="FGL60" s="64"/>
      <c r="FGM60" s="64"/>
      <c r="FGN60" s="64"/>
      <c r="FGO60" s="64"/>
      <c r="FGP60" s="64"/>
      <c r="FGQ60" s="64"/>
      <c r="FGR60" s="64"/>
      <c r="FGS60" s="64"/>
      <c r="FGT60" s="64"/>
      <c r="FGU60" s="64"/>
      <c r="FGV60" s="64"/>
      <c r="FGW60" s="64"/>
      <c r="FGX60" s="64"/>
      <c r="FGY60" s="64"/>
      <c r="FGZ60" s="64"/>
      <c r="FHA60" s="64"/>
      <c r="FHB60" s="64"/>
      <c r="FHC60" s="64"/>
      <c r="FHD60" s="64"/>
      <c r="FHE60" s="64"/>
      <c r="FHF60" s="64"/>
      <c r="FHG60" s="64"/>
      <c r="FHH60" s="64"/>
      <c r="FHI60" s="64"/>
      <c r="FHJ60" s="64"/>
      <c r="FHK60" s="64"/>
      <c r="FHL60" s="64"/>
      <c r="FHM60" s="64"/>
      <c r="FHN60" s="64"/>
      <c r="FHO60" s="64"/>
      <c r="FHP60" s="64"/>
      <c r="FHQ60" s="64"/>
      <c r="FHR60" s="64"/>
      <c r="FHS60" s="64"/>
      <c r="FHT60" s="64"/>
      <c r="FHU60" s="64"/>
      <c r="FHV60" s="64"/>
      <c r="FHW60" s="64"/>
      <c r="FHX60" s="64"/>
      <c r="FHY60" s="64"/>
      <c r="FHZ60" s="64"/>
      <c r="FIA60" s="64"/>
      <c r="FIB60" s="64"/>
      <c r="FIC60" s="64"/>
      <c r="FID60" s="64"/>
      <c r="FIE60" s="64"/>
      <c r="FIF60" s="64"/>
      <c r="FIG60" s="64"/>
      <c r="FIH60" s="64"/>
      <c r="FII60" s="64"/>
      <c r="FIJ60" s="64"/>
      <c r="FIK60" s="64"/>
      <c r="FIL60" s="64"/>
      <c r="FIM60" s="64"/>
      <c r="FIN60" s="64"/>
      <c r="FIO60" s="64"/>
      <c r="FIP60" s="64"/>
      <c r="FIQ60" s="64"/>
      <c r="FIR60" s="64"/>
      <c r="FIS60" s="64"/>
      <c r="FIT60" s="64"/>
      <c r="FIU60" s="64"/>
      <c r="FIV60" s="64"/>
      <c r="FIW60" s="64"/>
      <c r="FIX60" s="64"/>
      <c r="FIY60" s="64"/>
      <c r="FIZ60" s="64"/>
      <c r="FJA60" s="64"/>
      <c r="FJB60" s="64"/>
      <c r="FJC60" s="64"/>
      <c r="FJD60" s="64"/>
      <c r="FJE60" s="64"/>
      <c r="FJF60" s="64"/>
      <c r="FJG60" s="64"/>
      <c r="FJH60" s="64"/>
      <c r="FJI60" s="64"/>
      <c r="FJJ60" s="64"/>
      <c r="FJK60" s="64"/>
      <c r="FJL60" s="64"/>
      <c r="FJM60" s="64"/>
      <c r="FJN60" s="64"/>
      <c r="FJO60" s="64"/>
      <c r="FJP60" s="64"/>
      <c r="FJQ60" s="64"/>
      <c r="FJR60" s="64"/>
      <c r="FJS60" s="64"/>
      <c r="FJT60" s="64"/>
      <c r="FJU60" s="64"/>
      <c r="FJV60" s="64"/>
      <c r="FJW60" s="64"/>
      <c r="FJX60" s="64"/>
      <c r="FJY60" s="64"/>
      <c r="FJZ60" s="64"/>
      <c r="FKA60" s="64"/>
      <c r="FKB60" s="64"/>
      <c r="FKC60" s="64"/>
      <c r="FKD60" s="64"/>
      <c r="FKE60" s="64"/>
      <c r="FKF60" s="64"/>
      <c r="FKG60" s="64"/>
      <c r="FKH60" s="64"/>
      <c r="FKI60" s="64"/>
      <c r="FKJ60" s="64"/>
      <c r="FKK60" s="64"/>
      <c r="FKL60" s="64"/>
      <c r="FKM60" s="64"/>
      <c r="FKN60" s="64"/>
      <c r="FKO60" s="64"/>
      <c r="FKP60" s="64"/>
      <c r="FKQ60" s="64"/>
      <c r="FKR60" s="64"/>
      <c r="FKS60" s="64"/>
      <c r="FKT60" s="64"/>
      <c r="FKU60" s="64"/>
      <c r="FKV60" s="64"/>
      <c r="FKW60" s="64"/>
      <c r="FKX60" s="64"/>
      <c r="FKY60" s="64"/>
      <c r="FKZ60" s="64"/>
      <c r="FLA60" s="64"/>
      <c r="FLB60" s="64"/>
      <c r="FLC60" s="64"/>
      <c r="FLD60" s="64"/>
      <c r="FLE60" s="64"/>
      <c r="FLF60" s="64"/>
      <c r="FLG60" s="64"/>
      <c r="FLH60" s="64"/>
      <c r="FLI60" s="64"/>
      <c r="FLJ60" s="64"/>
      <c r="FLK60" s="64"/>
      <c r="FLL60" s="64"/>
      <c r="FLM60" s="64"/>
      <c r="FLN60" s="64"/>
      <c r="FLO60" s="64"/>
      <c r="FLP60" s="64"/>
      <c r="FLQ60" s="64"/>
      <c r="FLR60" s="64"/>
      <c r="FLS60" s="64"/>
      <c r="FLT60" s="64"/>
      <c r="FLU60" s="64"/>
      <c r="FLV60" s="64"/>
      <c r="FLW60" s="64"/>
      <c r="FLX60" s="64"/>
      <c r="FLY60" s="64"/>
      <c r="FLZ60" s="64"/>
      <c r="FMA60" s="64"/>
      <c r="FMB60" s="64"/>
      <c r="FMC60" s="64"/>
      <c r="FMD60" s="64"/>
      <c r="FME60" s="64"/>
      <c r="FMF60" s="64"/>
      <c r="FMG60" s="64"/>
      <c r="FMH60" s="64"/>
      <c r="FMI60" s="64"/>
      <c r="FMJ60" s="64"/>
      <c r="FMK60" s="64"/>
      <c r="FML60" s="64"/>
      <c r="FMM60" s="64"/>
      <c r="FMN60" s="64"/>
      <c r="FMO60" s="64"/>
      <c r="FMP60" s="64"/>
      <c r="FMQ60" s="64"/>
      <c r="FMR60" s="64"/>
      <c r="FMS60" s="64"/>
      <c r="FMT60" s="64"/>
      <c r="FMU60" s="64"/>
      <c r="FMV60" s="64"/>
      <c r="FMW60" s="64"/>
      <c r="FMX60" s="64"/>
      <c r="FMY60" s="64"/>
      <c r="FMZ60" s="64"/>
      <c r="FNA60" s="64"/>
      <c r="FNB60" s="64"/>
      <c r="FNC60" s="64"/>
      <c r="FND60" s="64"/>
      <c r="FNE60" s="64"/>
      <c r="FNF60" s="64"/>
      <c r="FNG60" s="64"/>
      <c r="FNH60" s="64"/>
      <c r="FNI60" s="64"/>
      <c r="FNJ60" s="64"/>
      <c r="FNK60" s="64"/>
      <c r="FNL60" s="64"/>
      <c r="FNM60" s="64"/>
      <c r="FNN60" s="64"/>
      <c r="FNO60" s="64"/>
      <c r="FNP60" s="64"/>
      <c r="FNQ60" s="64"/>
      <c r="FNR60" s="64"/>
      <c r="FNS60" s="64"/>
      <c r="FNT60" s="64"/>
      <c r="FNU60" s="64"/>
      <c r="FNV60" s="64"/>
      <c r="FNW60" s="64"/>
      <c r="FNX60" s="64"/>
      <c r="FNY60" s="64"/>
      <c r="FNZ60" s="64"/>
      <c r="FOA60" s="64"/>
      <c r="FOB60" s="64"/>
      <c r="FOC60" s="64"/>
      <c r="FOD60" s="64"/>
      <c r="FOE60" s="64"/>
      <c r="FOF60" s="64"/>
      <c r="FOG60" s="64"/>
      <c r="FOH60" s="64"/>
      <c r="FOI60" s="64"/>
      <c r="FOJ60" s="64"/>
      <c r="FOK60" s="64"/>
      <c r="FOL60" s="64"/>
      <c r="FOM60" s="64"/>
      <c r="FON60" s="64"/>
      <c r="FOO60" s="64"/>
      <c r="FOP60" s="64"/>
      <c r="FOQ60" s="64"/>
      <c r="FOR60" s="64"/>
      <c r="FOS60" s="64"/>
      <c r="FOT60" s="64"/>
      <c r="FOU60" s="64"/>
      <c r="FOV60" s="64"/>
      <c r="FOW60" s="64"/>
      <c r="FOX60" s="64"/>
      <c r="FOY60" s="64"/>
      <c r="FOZ60" s="64"/>
      <c r="FPA60" s="64"/>
      <c r="FPB60" s="64"/>
      <c r="FPC60" s="64"/>
      <c r="FPD60" s="64"/>
      <c r="FPE60" s="64"/>
      <c r="FPF60" s="64"/>
      <c r="FPG60" s="64"/>
      <c r="FPH60" s="64"/>
      <c r="FPI60" s="64"/>
      <c r="FPJ60" s="64"/>
      <c r="FPK60" s="64"/>
      <c r="FPL60" s="64"/>
      <c r="FPM60" s="64"/>
      <c r="FPN60" s="64"/>
      <c r="FPO60" s="64"/>
      <c r="FPP60" s="64"/>
      <c r="FPQ60" s="64"/>
      <c r="FPR60" s="64"/>
      <c r="FPS60" s="64"/>
      <c r="FPT60" s="64"/>
      <c r="FPU60" s="64"/>
      <c r="FPV60" s="64"/>
      <c r="FPW60" s="64"/>
      <c r="FPX60" s="64"/>
      <c r="FPY60" s="64"/>
      <c r="FPZ60" s="64"/>
      <c r="FQA60" s="64"/>
      <c r="FQB60" s="64"/>
      <c r="FQC60" s="64"/>
      <c r="FQD60" s="64"/>
      <c r="FQE60" s="64"/>
      <c r="FQF60" s="64"/>
      <c r="FQG60" s="64"/>
      <c r="FQH60" s="64"/>
      <c r="FQI60" s="64"/>
      <c r="FQJ60" s="64"/>
      <c r="FQK60" s="64"/>
      <c r="FQL60" s="64"/>
      <c r="FQM60" s="64"/>
      <c r="FQN60" s="64"/>
      <c r="FQO60" s="64"/>
      <c r="FQP60" s="64"/>
      <c r="FQQ60" s="64"/>
      <c r="FQR60" s="64"/>
      <c r="FQS60" s="64"/>
      <c r="FQT60" s="64"/>
      <c r="FQU60" s="64"/>
      <c r="FQV60" s="64"/>
      <c r="FQW60" s="64"/>
      <c r="FQX60" s="64"/>
      <c r="FQY60" s="64"/>
      <c r="FQZ60" s="64"/>
      <c r="FRA60" s="64"/>
      <c r="FRB60" s="64"/>
      <c r="FRC60" s="64"/>
      <c r="FRD60" s="64"/>
      <c r="FRE60" s="64"/>
      <c r="FRF60" s="64"/>
      <c r="FRG60" s="64"/>
      <c r="FRH60" s="64"/>
      <c r="FRI60" s="64"/>
      <c r="FRJ60" s="64"/>
      <c r="FRK60" s="64"/>
      <c r="FRL60" s="64"/>
      <c r="FRM60" s="64"/>
      <c r="FRN60" s="64"/>
      <c r="FRO60" s="64"/>
      <c r="FRP60" s="64"/>
      <c r="FRQ60" s="64"/>
      <c r="FRR60" s="64"/>
      <c r="FRS60" s="64"/>
      <c r="FRT60" s="64"/>
      <c r="FRU60" s="64"/>
      <c r="FRV60" s="64"/>
      <c r="FRW60" s="64"/>
      <c r="FRX60" s="64"/>
      <c r="FRY60" s="64"/>
      <c r="FRZ60" s="64"/>
      <c r="FSA60" s="64"/>
      <c r="FSB60" s="64"/>
      <c r="FSC60" s="64"/>
      <c r="FSD60" s="64"/>
      <c r="FSE60" s="64"/>
      <c r="FSF60" s="64"/>
      <c r="FSG60" s="64"/>
      <c r="FSH60" s="64"/>
      <c r="FSI60" s="64"/>
      <c r="FSJ60" s="64"/>
      <c r="FSK60" s="64"/>
      <c r="FSL60" s="64"/>
      <c r="FSM60" s="64"/>
      <c r="FSN60" s="64"/>
      <c r="FSO60" s="64"/>
      <c r="FSP60" s="64"/>
      <c r="FSQ60" s="64"/>
      <c r="FSR60" s="64"/>
      <c r="FSS60" s="64"/>
      <c r="FST60" s="64"/>
      <c r="FSU60" s="64"/>
      <c r="FSV60" s="64"/>
      <c r="FSW60" s="64"/>
      <c r="FSX60" s="64"/>
      <c r="FSY60" s="64"/>
      <c r="FSZ60" s="64"/>
      <c r="FTA60" s="64"/>
      <c r="FTB60" s="64"/>
      <c r="FTC60" s="64"/>
      <c r="FTD60" s="64"/>
      <c r="FTE60" s="64"/>
      <c r="FTF60" s="64"/>
      <c r="FTG60" s="64"/>
      <c r="FTH60" s="64"/>
      <c r="FTI60" s="64"/>
      <c r="FTJ60" s="64"/>
      <c r="FTK60" s="64"/>
      <c r="FTL60" s="64"/>
      <c r="FTM60" s="64"/>
      <c r="FTN60" s="64"/>
      <c r="FTO60" s="64"/>
      <c r="FTP60" s="64"/>
      <c r="FTQ60" s="64"/>
      <c r="FTR60" s="64"/>
      <c r="FTS60" s="64"/>
      <c r="FTT60" s="64"/>
      <c r="FTU60" s="64"/>
      <c r="FTV60" s="64"/>
      <c r="FTW60" s="64"/>
      <c r="FTX60" s="64"/>
      <c r="FTY60" s="64"/>
      <c r="FTZ60" s="64"/>
      <c r="FUA60" s="64"/>
      <c r="FUB60" s="64"/>
      <c r="FUC60" s="64"/>
      <c r="FUD60" s="64"/>
      <c r="FUE60" s="64"/>
      <c r="FUF60" s="64"/>
      <c r="FUG60" s="64"/>
      <c r="FUH60" s="64"/>
      <c r="FUI60" s="64"/>
      <c r="FUJ60" s="64"/>
      <c r="FUK60" s="64"/>
      <c r="FUL60" s="64"/>
      <c r="FUM60" s="64"/>
      <c r="FUN60" s="64"/>
      <c r="FUO60" s="64"/>
      <c r="FUP60" s="64"/>
      <c r="FUQ60" s="64"/>
      <c r="FUR60" s="64"/>
      <c r="FUS60" s="64"/>
      <c r="FUT60" s="64"/>
      <c r="FUU60" s="64"/>
      <c r="FUV60" s="64"/>
      <c r="FUW60" s="64"/>
      <c r="FUX60" s="64"/>
      <c r="FUY60" s="64"/>
      <c r="FUZ60" s="64"/>
      <c r="FVA60" s="64"/>
      <c r="FVB60" s="64"/>
      <c r="FVC60" s="64"/>
      <c r="FVD60" s="64"/>
      <c r="FVE60" s="64"/>
      <c r="FVF60" s="64"/>
      <c r="FVG60" s="64"/>
      <c r="FVH60" s="64"/>
      <c r="FVI60" s="64"/>
      <c r="FVJ60" s="64"/>
      <c r="FVK60" s="64"/>
      <c r="FVL60" s="64"/>
      <c r="FVM60" s="64"/>
      <c r="FVN60" s="64"/>
      <c r="FVO60" s="64"/>
      <c r="FVP60" s="64"/>
      <c r="FVQ60" s="64"/>
      <c r="FVR60" s="64"/>
      <c r="FVS60" s="64"/>
      <c r="FVT60" s="64"/>
      <c r="FVU60" s="64"/>
      <c r="FVV60" s="64"/>
      <c r="FVW60" s="64"/>
      <c r="FVX60" s="64"/>
      <c r="FVY60" s="64"/>
      <c r="FVZ60" s="64"/>
      <c r="FWA60" s="64"/>
      <c r="FWB60" s="64"/>
      <c r="FWC60" s="64"/>
      <c r="FWD60" s="64"/>
      <c r="FWE60" s="64"/>
      <c r="FWF60" s="64"/>
      <c r="FWG60" s="64"/>
      <c r="FWH60" s="64"/>
      <c r="FWI60" s="64"/>
      <c r="FWJ60" s="64"/>
      <c r="FWK60" s="64"/>
      <c r="FWL60" s="64"/>
      <c r="FWM60" s="64"/>
      <c r="FWN60" s="64"/>
      <c r="FWO60" s="64"/>
      <c r="FWP60" s="64"/>
      <c r="FWQ60" s="64"/>
      <c r="FWR60" s="64"/>
      <c r="FWS60" s="64"/>
      <c r="FWT60" s="64"/>
      <c r="FWU60" s="64"/>
      <c r="FWV60" s="64"/>
      <c r="FWW60" s="64"/>
      <c r="FWX60" s="64"/>
      <c r="FWY60" s="64"/>
      <c r="FWZ60" s="64"/>
      <c r="FXA60" s="64"/>
      <c r="FXB60" s="64"/>
      <c r="FXC60" s="64"/>
      <c r="FXD60" s="64"/>
      <c r="FXE60" s="64"/>
      <c r="FXF60" s="64"/>
      <c r="FXG60" s="64"/>
      <c r="FXH60" s="64"/>
      <c r="FXI60" s="64"/>
      <c r="FXJ60" s="64"/>
      <c r="FXK60" s="64"/>
      <c r="FXL60" s="64"/>
      <c r="FXM60" s="64"/>
      <c r="FXN60" s="64"/>
      <c r="FXO60" s="64"/>
      <c r="FXP60" s="64"/>
      <c r="FXQ60" s="64"/>
      <c r="FXR60" s="64"/>
      <c r="FXS60" s="64"/>
      <c r="FXT60" s="64"/>
      <c r="FXU60" s="64"/>
      <c r="FXV60" s="64"/>
      <c r="FXW60" s="64"/>
      <c r="FXX60" s="64"/>
      <c r="FXY60" s="64"/>
      <c r="FXZ60" s="64"/>
      <c r="FYA60" s="64"/>
      <c r="FYB60" s="64"/>
      <c r="FYC60" s="64"/>
      <c r="FYD60" s="64"/>
      <c r="FYE60" s="64"/>
      <c r="FYF60" s="64"/>
      <c r="FYG60" s="64"/>
      <c r="FYH60" s="64"/>
      <c r="FYI60" s="64"/>
      <c r="FYJ60" s="64"/>
      <c r="FYK60" s="64"/>
      <c r="FYL60" s="64"/>
      <c r="FYM60" s="64"/>
      <c r="FYN60" s="64"/>
      <c r="FYO60" s="64"/>
      <c r="FYP60" s="64"/>
      <c r="FYQ60" s="64"/>
      <c r="FYR60" s="64"/>
      <c r="FYS60" s="64"/>
      <c r="FYT60" s="64"/>
      <c r="FYU60" s="64"/>
      <c r="FYV60" s="64"/>
      <c r="FYW60" s="64"/>
      <c r="FYX60" s="64"/>
      <c r="FYY60" s="64"/>
      <c r="FYZ60" s="64"/>
      <c r="FZA60" s="64"/>
      <c r="FZB60" s="64"/>
      <c r="FZC60" s="64"/>
      <c r="FZD60" s="64"/>
      <c r="FZE60" s="64"/>
      <c r="FZF60" s="64"/>
      <c r="FZG60" s="64"/>
      <c r="FZH60" s="64"/>
      <c r="FZI60" s="64"/>
      <c r="FZJ60" s="64"/>
      <c r="FZK60" s="64"/>
      <c r="FZL60" s="64"/>
      <c r="FZM60" s="64"/>
      <c r="FZN60" s="64"/>
      <c r="FZO60" s="64"/>
      <c r="FZP60" s="64"/>
      <c r="FZQ60" s="64"/>
      <c r="FZR60" s="64"/>
      <c r="FZS60" s="64"/>
      <c r="FZT60" s="64"/>
      <c r="FZU60" s="64"/>
      <c r="FZV60" s="64"/>
      <c r="FZW60" s="64"/>
      <c r="FZX60" s="64"/>
      <c r="FZY60" s="64"/>
      <c r="FZZ60" s="64"/>
      <c r="GAA60" s="64"/>
      <c r="GAB60" s="64"/>
      <c r="GAC60" s="64"/>
      <c r="GAD60" s="64"/>
      <c r="GAE60" s="64"/>
      <c r="GAF60" s="64"/>
      <c r="GAG60" s="64"/>
      <c r="GAH60" s="64"/>
      <c r="GAI60" s="64"/>
      <c r="GAJ60" s="64"/>
      <c r="GAK60" s="64"/>
      <c r="GAL60" s="64"/>
      <c r="GAM60" s="64"/>
      <c r="GAN60" s="64"/>
      <c r="GAO60" s="64"/>
      <c r="GAP60" s="64"/>
      <c r="GAQ60" s="64"/>
      <c r="GAR60" s="64"/>
      <c r="GAS60" s="64"/>
      <c r="GAT60" s="64"/>
      <c r="GAU60" s="64"/>
      <c r="GAV60" s="64"/>
      <c r="GAW60" s="64"/>
      <c r="GAX60" s="64"/>
      <c r="GAY60" s="64"/>
      <c r="GAZ60" s="64"/>
      <c r="GBA60" s="64"/>
      <c r="GBB60" s="64"/>
      <c r="GBC60" s="64"/>
      <c r="GBD60" s="64"/>
      <c r="GBE60" s="64"/>
      <c r="GBF60" s="64"/>
      <c r="GBG60" s="64"/>
      <c r="GBH60" s="64"/>
      <c r="GBI60" s="64"/>
      <c r="GBJ60" s="64"/>
      <c r="GBK60" s="64"/>
      <c r="GBL60" s="64"/>
      <c r="GBM60" s="64"/>
      <c r="GBN60" s="64"/>
      <c r="GBO60" s="64"/>
      <c r="GBP60" s="64"/>
      <c r="GBQ60" s="64"/>
      <c r="GBR60" s="64"/>
      <c r="GBS60" s="64"/>
      <c r="GBT60" s="64"/>
      <c r="GBU60" s="64"/>
      <c r="GBV60" s="64"/>
      <c r="GBW60" s="64"/>
      <c r="GBX60" s="64"/>
      <c r="GBY60" s="64"/>
      <c r="GBZ60" s="64"/>
      <c r="GCA60" s="64"/>
      <c r="GCB60" s="64"/>
      <c r="GCC60" s="64"/>
      <c r="GCD60" s="64"/>
      <c r="GCE60" s="64"/>
      <c r="GCF60" s="64"/>
      <c r="GCG60" s="64"/>
      <c r="GCH60" s="64"/>
      <c r="GCI60" s="64"/>
      <c r="GCJ60" s="64"/>
      <c r="GCK60" s="64"/>
      <c r="GCL60" s="64"/>
      <c r="GCM60" s="64"/>
      <c r="GCN60" s="64"/>
      <c r="GCO60" s="64"/>
      <c r="GCP60" s="64"/>
      <c r="GCQ60" s="64"/>
      <c r="GCR60" s="64"/>
      <c r="GCS60" s="64"/>
      <c r="GCT60" s="64"/>
      <c r="GCU60" s="64"/>
      <c r="GCV60" s="64"/>
      <c r="GCW60" s="64"/>
      <c r="GCX60" s="64"/>
      <c r="GCY60" s="64"/>
      <c r="GCZ60" s="64"/>
      <c r="GDA60" s="64"/>
      <c r="GDB60" s="64"/>
      <c r="GDC60" s="64"/>
      <c r="GDD60" s="64"/>
      <c r="GDE60" s="64"/>
      <c r="GDF60" s="64"/>
      <c r="GDG60" s="64"/>
      <c r="GDH60" s="64"/>
      <c r="GDI60" s="64"/>
      <c r="GDJ60" s="64"/>
      <c r="GDK60" s="64"/>
      <c r="GDL60" s="64"/>
      <c r="GDM60" s="64"/>
      <c r="GDN60" s="64"/>
      <c r="GDO60" s="64"/>
      <c r="GDP60" s="64"/>
      <c r="GDQ60" s="64"/>
      <c r="GDR60" s="64"/>
      <c r="GDS60" s="64"/>
      <c r="GDT60" s="64"/>
      <c r="GDU60" s="64"/>
      <c r="GDV60" s="64"/>
      <c r="GDW60" s="64"/>
      <c r="GDX60" s="64"/>
      <c r="GDY60" s="64"/>
      <c r="GDZ60" s="64"/>
      <c r="GEA60" s="64"/>
      <c r="GEB60" s="64"/>
      <c r="GEC60" s="64"/>
      <c r="GED60" s="64"/>
      <c r="GEE60" s="64"/>
      <c r="GEF60" s="64"/>
      <c r="GEG60" s="64"/>
      <c r="GEH60" s="64"/>
      <c r="GEI60" s="64"/>
      <c r="GEJ60" s="64"/>
      <c r="GEK60" s="64"/>
      <c r="GEL60" s="64"/>
      <c r="GEM60" s="64"/>
      <c r="GEN60" s="64"/>
      <c r="GEO60" s="64"/>
      <c r="GEP60" s="64"/>
      <c r="GEQ60" s="64"/>
      <c r="GER60" s="64"/>
      <c r="GES60" s="64"/>
      <c r="GET60" s="64"/>
      <c r="GEU60" s="64"/>
      <c r="GEV60" s="64"/>
      <c r="GEW60" s="64"/>
      <c r="GEX60" s="64"/>
      <c r="GEY60" s="64"/>
      <c r="GEZ60" s="64"/>
      <c r="GFA60" s="64"/>
      <c r="GFB60" s="64"/>
      <c r="GFC60" s="64"/>
      <c r="GFD60" s="64"/>
      <c r="GFE60" s="64"/>
      <c r="GFF60" s="64"/>
      <c r="GFG60" s="64"/>
      <c r="GFH60" s="64"/>
      <c r="GFI60" s="64"/>
      <c r="GFJ60" s="64"/>
      <c r="GFK60" s="64"/>
      <c r="GFL60" s="64"/>
      <c r="GFM60" s="64"/>
      <c r="GFN60" s="64"/>
      <c r="GFO60" s="64"/>
      <c r="GFP60" s="64"/>
      <c r="GFQ60" s="64"/>
      <c r="GFR60" s="64"/>
      <c r="GFS60" s="64"/>
      <c r="GFT60" s="64"/>
      <c r="GFU60" s="64"/>
      <c r="GFV60" s="64"/>
      <c r="GFW60" s="64"/>
      <c r="GFX60" s="64"/>
      <c r="GFY60" s="64"/>
      <c r="GFZ60" s="64"/>
      <c r="GGA60" s="64"/>
      <c r="GGB60" s="64"/>
      <c r="GGC60" s="64"/>
      <c r="GGD60" s="64"/>
      <c r="GGE60" s="64"/>
      <c r="GGF60" s="64"/>
      <c r="GGG60" s="64"/>
      <c r="GGH60" s="64"/>
      <c r="GGI60" s="64"/>
      <c r="GGJ60" s="64"/>
      <c r="GGK60" s="64"/>
      <c r="GGL60" s="64"/>
      <c r="GGM60" s="64"/>
      <c r="GGN60" s="64"/>
      <c r="GGO60" s="64"/>
      <c r="GGP60" s="64"/>
      <c r="GGQ60" s="64"/>
      <c r="GGR60" s="64"/>
      <c r="GGS60" s="64"/>
      <c r="GGT60" s="64"/>
      <c r="GGU60" s="64"/>
      <c r="GGV60" s="64"/>
      <c r="GGW60" s="64"/>
      <c r="GGX60" s="64"/>
      <c r="GGY60" s="64"/>
      <c r="GGZ60" s="64"/>
      <c r="GHA60" s="64"/>
      <c r="GHB60" s="64"/>
      <c r="GHC60" s="64"/>
      <c r="GHD60" s="64"/>
      <c r="GHE60" s="64"/>
      <c r="GHF60" s="64"/>
      <c r="GHG60" s="64"/>
      <c r="GHH60" s="64"/>
      <c r="GHI60" s="64"/>
      <c r="GHJ60" s="64"/>
      <c r="GHK60" s="64"/>
      <c r="GHL60" s="64"/>
      <c r="GHM60" s="64"/>
      <c r="GHN60" s="64"/>
      <c r="GHO60" s="64"/>
      <c r="GHP60" s="64"/>
      <c r="GHQ60" s="64"/>
      <c r="GHR60" s="64"/>
      <c r="GHS60" s="64"/>
      <c r="GHT60" s="64"/>
      <c r="GHU60" s="64"/>
      <c r="GHV60" s="64"/>
      <c r="GHW60" s="64"/>
      <c r="GHX60" s="64"/>
      <c r="GHY60" s="64"/>
      <c r="GHZ60" s="64"/>
      <c r="GIA60" s="64"/>
      <c r="GIB60" s="64"/>
      <c r="GIC60" s="64"/>
      <c r="GID60" s="64"/>
      <c r="GIE60" s="64"/>
      <c r="GIF60" s="64"/>
      <c r="GIG60" s="64"/>
      <c r="GIH60" s="64"/>
      <c r="GII60" s="64"/>
      <c r="GIJ60" s="64"/>
      <c r="GIK60" s="64"/>
      <c r="GIL60" s="64"/>
      <c r="GIM60" s="64"/>
      <c r="GIN60" s="64"/>
      <c r="GIO60" s="64"/>
      <c r="GIP60" s="64"/>
      <c r="GIQ60" s="64"/>
      <c r="GIR60" s="64"/>
      <c r="GIS60" s="64"/>
      <c r="GIT60" s="64"/>
      <c r="GIU60" s="64"/>
      <c r="GIV60" s="64"/>
      <c r="GIW60" s="64"/>
      <c r="GIX60" s="64"/>
      <c r="GIY60" s="64"/>
      <c r="GIZ60" s="64"/>
      <c r="GJA60" s="64"/>
      <c r="GJB60" s="64"/>
      <c r="GJC60" s="64"/>
      <c r="GJD60" s="64"/>
      <c r="GJE60" s="64"/>
      <c r="GJF60" s="64"/>
      <c r="GJG60" s="64"/>
      <c r="GJH60" s="64"/>
      <c r="GJI60" s="64"/>
      <c r="GJJ60" s="64"/>
      <c r="GJK60" s="64"/>
      <c r="GJL60" s="64"/>
      <c r="GJM60" s="64"/>
      <c r="GJN60" s="64"/>
      <c r="GJO60" s="64"/>
      <c r="GJP60" s="64"/>
      <c r="GJQ60" s="64"/>
      <c r="GJR60" s="64"/>
      <c r="GJS60" s="64"/>
      <c r="GJT60" s="64"/>
      <c r="GJU60" s="64"/>
      <c r="GJV60" s="64"/>
      <c r="GJW60" s="64"/>
      <c r="GJX60" s="64"/>
      <c r="GJY60" s="64"/>
      <c r="GJZ60" s="64"/>
      <c r="GKA60" s="64"/>
      <c r="GKB60" s="64"/>
      <c r="GKC60" s="64"/>
      <c r="GKD60" s="64"/>
      <c r="GKE60" s="64"/>
      <c r="GKF60" s="64"/>
      <c r="GKG60" s="64"/>
      <c r="GKH60" s="64"/>
      <c r="GKI60" s="64"/>
      <c r="GKJ60" s="64"/>
      <c r="GKK60" s="64"/>
      <c r="GKL60" s="64"/>
      <c r="GKM60" s="64"/>
      <c r="GKN60" s="64"/>
      <c r="GKO60" s="64"/>
      <c r="GKP60" s="64"/>
      <c r="GKQ60" s="64"/>
      <c r="GKR60" s="64"/>
      <c r="GKS60" s="64"/>
      <c r="GKT60" s="64"/>
      <c r="GKU60" s="64"/>
      <c r="GKV60" s="64"/>
      <c r="GKW60" s="64"/>
      <c r="GKX60" s="64"/>
      <c r="GKY60" s="64"/>
      <c r="GKZ60" s="64"/>
      <c r="GLA60" s="64"/>
      <c r="GLB60" s="64"/>
      <c r="GLC60" s="64"/>
      <c r="GLD60" s="64"/>
      <c r="GLE60" s="64"/>
      <c r="GLF60" s="64"/>
      <c r="GLG60" s="64"/>
      <c r="GLH60" s="64"/>
      <c r="GLI60" s="64"/>
      <c r="GLJ60" s="64"/>
      <c r="GLK60" s="64"/>
      <c r="GLL60" s="64"/>
      <c r="GLM60" s="64"/>
      <c r="GLN60" s="64"/>
      <c r="GLO60" s="64"/>
      <c r="GLP60" s="64"/>
      <c r="GLQ60" s="64"/>
      <c r="GLR60" s="64"/>
      <c r="GLS60" s="64"/>
      <c r="GLT60" s="64"/>
      <c r="GLU60" s="64"/>
      <c r="GLV60" s="64"/>
      <c r="GLW60" s="64"/>
      <c r="GLX60" s="64"/>
      <c r="GLY60" s="64"/>
      <c r="GLZ60" s="64"/>
      <c r="GMA60" s="64"/>
      <c r="GMB60" s="64"/>
      <c r="GMC60" s="64"/>
      <c r="GMD60" s="64"/>
      <c r="GME60" s="64"/>
      <c r="GMF60" s="64"/>
      <c r="GMG60" s="64"/>
      <c r="GMH60" s="64"/>
      <c r="GMI60" s="64"/>
      <c r="GMJ60" s="64"/>
      <c r="GMK60" s="64"/>
      <c r="GML60" s="64"/>
      <c r="GMM60" s="64"/>
      <c r="GMN60" s="64"/>
      <c r="GMO60" s="64"/>
      <c r="GMP60" s="64"/>
      <c r="GMQ60" s="64"/>
      <c r="GMR60" s="64"/>
      <c r="GMS60" s="64"/>
      <c r="GMT60" s="64"/>
      <c r="GMU60" s="64"/>
      <c r="GMV60" s="64"/>
      <c r="GMW60" s="64"/>
      <c r="GMX60" s="64"/>
      <c r="GMY60" s="64"/>
      <c r="GMZ60" s="64"/>
      <c r="GNA60" s="64"/>
      <c r="GNB60" s="64"/>
      <c r="GNC60" s="64"/>
      <c r="GND60" s="64"/>
      <c r="GNE60" s="64"/>
      <c r="GNF60" s="64"/>
      <c r="GNG60" s="64"/>
      <c r="GNH60" s="64"/>
      <c r="GNI60" s="64"/>
      <c r="GNJ60" s="64"/>
      <c r="GNK60" s="64"/>
      <c r="GNL60" s="64"/>
      <c r="GNM60" s="64"/>
      <c r="GNN60" s="64"/>
      <c r="GNO60" s="64"/>
      <c r="GNP60" s="64"/>
      <c r="GNQ60" s="64"/>
      <c r="GNR60" s="64"/>
      <c r="GNS60" s="64"/>
      <c r="GNT60" s="64"/>
      <c r="GNU60" s="64"/>
      <c r="GNV60" s="64"/>
      <c r="GNW60" s="64"/>
      <c r="GNX60" s="64"/>
      <c r="GNY60" s="64"/>
      <c r="GNZ60" s="64"/>
      <c r="GOA60" s="64"/>
      <c r="GOB60" s="64"/>
      <c r="GOC60" s="64"/>
      <c r="GOD60" s="64"/>
      <c r="GOE60" s="64"/>
      <c r="GOF60" s="64"/>
      <c r="GOG60" s="64"/>
      <c r="GOH60" s="64"/>
      <c r="GOI60" s="64"/>
      <c r="GOJ60" s="64"/>
      <c r="GOK60" s="64"/>
      <c r="GOL60" s="64"/>
      <c r="GOM60" s="64"/>
      <c r="GON60" s="64"/>
      <c r="GOO60" s="64"/>
      <c r="GOP60" s="64"/>
      <c r="GOQ60" s="64"/>
      <c r="GOR60" s="64"/>
      <c r="GOS60" s="64"/>
      <c r="GOT60" s="64"/>
      <c r="GOU60" s="64"/>
      <c r="GOV60" s="64"/>
      <c r="GOW60" s="64"/>
      <c r="GOX60" s="64"/>
      <c r="GOY60" s="64"/>
      <c r="GOZ60" s="64"/>
      <c r="GPA60" s="64"/>
      <c r="GPB60" s="64"/>
      <c r="GPC60" s="64"/>
      <c r="GPD60" s="64"/>
      <c r="GPE60" s="64"/>
      <c r="GPF60" s="64"/>
      <c r="GPG60" s="64"/>
      <c r="GPH60" s="64"/>
      <c r="GPI60" s="64"/>
      <c r="GPJ60" s="64"/>
      <c r="GPK60" s="64"/>
      <c r="GPL60" s="64"/>
      <c r="GPM60" s="64"/>
      <c r="GPN60" s="64"/>
      <c r="GPO60" s="64"/>
      <c r="GPP60" s="64"/>
      <c r="GPQ60" s="64"/>
      <c r="GPR60" s="64"/>
      <c r="GPS60" s="64"/>
      <c r="GPT60" s="64"/>
      <c r="GPU60" s="64"/>
      <c r="GPV60" s="64"/>
      <c r="GPW60" s="64"/>
      <c r="GPX60" s="64"/>
      <c r="GPY60" s="64"/>
      <c r="GPZ60" s="64"/>
      <c r="GQA60" s="64"/>
      <c r="GQB60" s="64"/>
      <c r="GQC60" s="64"/>
      <c r="GQD60" s="64"/>
      <c r="GQE60" s="64"/>
      <c r="GQF60" s="64"/>
      <c r="GQG60" s="64"/>
      <c r="GQH60" s="64"/>
      <c r="GQI60" s="64"/>
      <c r="GQJ60" s="64"/>
      <c r="GQK60" s="64"/>
      <c r="GQL60" s="64"/>
      <c r="GQM60" s="64"/>
      <c r="GQN60" s="64"/>
      <c r="GQO60" s="64"/>
      <c r="GQP60" s="64"/>
      <c r="GQQ60" s="64"/>
      <c r="GQR60" s="64"/>
      <c r="GQS60" s="64"/>
      <c r="GQT60" s="64"/>
      <c r="GQU60" s="64"/>
      <c r="GQV60" s="64"/>
      <c r="GQW60" s="64"/>
      <c r="GQX60" s="64"/>
      <c r="GQY60" s="64"/>
      <c r="GQZ60" s="64"/>
      <c r="GRA60" s="64"/>
      <c r="GRB60" s="64"/>
      <c r="GRC60" s="64"/>
      <c r="GRD60" s="64"/>
      <c r="GRE60" s="64"/>
      <c r="GRF60" s="64"/>
      <c r="GRG60" s="64"/>
      <c r="GRH60" s="64"/>
      <c r="GRI60" s="64"/>
      <c r="GRJ60" s="64"/>
      <c r="GRK60" s="64"/>
      <c r="GRL60" s="64"/>
      <c r="GRM60" s="64"/>
      <c r="GRN60" s="64"/>
      <c r="GRO60" s="64"/>
      <c r="GRP60" s="64"/>
      <c r="GRQ60" s="64"/>
      <c r="GRR60" s="64"/>
      <c r="GRS60" s="64"/>
      <c r="GRT60" s="64"/>
      <c r="GRU60" s="64"/>
      <c r="GRV60" s="64"/>
      <c r="GRW60" s="64"/>
      <c r="GRX60" s="64"/>
      <c r="GRY60" s="64"/>
      <c r="GRZ60" s="64"/>
      <c r="GSA60" s="64"/>
      <c r="GSB60" s="64"/>
      <c r="GSC60" s="64"/>
      <c r="GSD60" s="64"/>
      <c r="GSE60" s="64"/>
      <c r="GSF60" s="64"/>
      <c r="GSG60" s="64"/>
      <c r="GSH60" s="64"/>
      <c r="GSI60" s="64"/>
      <c r="GSJ60" s="64"/>
      <c r="GSK60" s="64"/>
      <c r="GSL60" s="64"/>
      <c r="GSM60" s="64"/>
      <c r="GSN60" s="64"/>
      <c r="GSO60" s="64"/>
      <c r="GSP60" s="64"/>
      <c r="GSQ60" s="64"/>
      <c r="GSR60" s="64"/>
      <c r="GSS60" s="64"/>
      <c r="GST60" s="64"/>
      <c r="GSU60" s="64"/>
      <c r="GSV60" s="64"/>
      <c r="GSW60" s="64"/>
      <c r="GSX60" s="64"/>
      <c r="GSY60" s="64"/>
      <c r="GSZ60" s="64"/>
      <c r="GTA60" s="64"/>
      <c r="GTB60" s="64"/>
      <c r="GTC60" s="64"/>
      <c r="GTD60" s="64"/>
      <c r="GTE60" s="64"/>
      <c r="GTF60" s="64"/>
      <c r="GTG60" s="64"/>
      <c r="GTH60" s="64"/>
      <c r="GTI60" s="64"/>
      <c r="GTJ60" s="64"/>
      <c r="GTK60" s="64"/>
      <c r="GTL60" s="64"/>
      <c r="GTM60" s="64"/>
      <c r="GTN60" s="64"/>
      <c r="GTO60" s="64"/>
      <c r="GTP60" s="64"/>
      <c r="GTQ60" s="64"/>
      <c r="GTR60" s="64"/>
      <c r="GTS60" s="64"/>
      <c r="GTT60" s="64"/>
      <c r="GTU60" s="64"/>
      <c r="GTV60" s="64"/>
      <c r="GTW60" s="64"/>
      <c r="GTX60" s="64"/>
      <c r="GTY60" s="64"/>
      <c r="GTZ60" s="64"/>
      <c r="GUA60" s="64"/>
      <c r="GUB60" s="64"/>
      <c r="GUC60" s="64"/>
      <c r="GUD60" s="64"/>
      <c r="GUE60" s="64"/>
      <c r="GUF60" s="64"/>
      <c r="GUG60" s="64"/>
      <c r="GUH60" s="64"/>
      <c r="GUI60" s="64"/>
      <c r="GUJ60" s="64"/>
      <c r="GUK60" s="64"/>
      <c r="GUL60" s="64"/>
      <c r="GUM60" s="64"/>
      <c r="GUN60" s="64"/>
      <c r="GUO60" s="64"/>
      <c r="GUP60" s="64"/>
      <c r="GUQ60" s="64"/>
      <c r="GUR60" s="64"/>
      <c r="GUS60" s="64"/>
      <c r="GUT60" s="64"/>
      <c r="GUU60" s="64"/>
      <c r="GUV60" s="64"/>
      <c r="GUW60" s="64"/>
      <c r="GUX60" s="64"/>
      <c r="GUY60" s="64"/>
      <c r="GUZ60" s="64"/>
      <c r="GVA60" s="64"/>
      <c r="GVB60" s="64"/>
      <c r="GVC60" s="64"/>
      <c r="GVD60" s="64"/>
      <c r="GVE60" s="64"/>
      <c r="GVF60" s="64"/>
      <c r="GVG60" s="64"/>
      <c r="GVH60" s="64"/>
      <c r="GVI60" s="64"/>
      <c r="GVJ60" s="64"/>
      <c r="GVK60" s="64"/>
      <c r="GVL60" s="64"/>
      <c r="GVM60" s="64"/>
      <c r="GVN60" s="64"/>
      <c r="GVO60" s="64"/>
      <c r="GVP60" s="64"/>
      <c r="GVQ60" s="64"/>
      <c r="GVR60" s="64"/>
      <c r="GVS60" s="64"/>
      <c r="GVT60" s="64"/>
      <c r="GVU60" s="64"/>
      <c r="GVV60" s="64"/>
      <c r="GVW60" s="64"/>
      <c r="GVX60" s="64"/>
      <c r="GVY60" s="64"/>
      <c r="GVZ60" s="64"/>
      <c r="GWA60" s="64"/>
      <c r="GWB60" s="64"/>
      <c r="GWC60" s="64"/>
      <c r="GWD60" s="64"/>
      <c r="GWE60" s="64"/>
      <c r="GWF60" s="64"/>
      <c r="GWG60" s="64"/>
      <c r="GWH60" s="64"/>
      <c r="GWI60" s="64"/>
      <c r="GWJ60" s="64"/>
      <c r="GWK60" s="64"/>
      <c r="GWL60" s="64"/>
      <c r="GWM60" s="64"/>
      <c r="GWN60" s="64"/>
      <c r="GWO60" s="64"/>
      <c r="GWP60" s="64"/>
      <c r="GWQ60" s="64"/>
      <c r="GWR60" s="64"/>
      <c r="GWS60" s="64"/>
      <c r="GWT60" s="64"/>
      <c r="GWU60" s="64"/>
      <c r="GWV60" s="64"/>
      <c r="GWW60" s="64"/>
      <c r="GWX60" s="64"/>
      <c r="GWY60" s="64"/>
      <c r="GWZ60" s="64"/>
      <c r="GXA60" s="64"/>
      <c r="GXB60" s="64"/>
      <c r="GXC60" s="64"/>
      <c r="GXD60" s="64"/>
      <c r="GXE60" s="64"/>
      <c r="GXF60" s="64"/>
      <c r="GXG60" s="64"/>
      <c r="GXH60" s="64"/>
      <c r="GXI60" s="64"/>
      <c r="GXJ60" s="64"/>
      <c r="GXK60" s="64"/>
      <c r="GXL60" s="64"/>
      <c r="GXM60" s="64"/>
      <c r="GXN60" s="64"/>
      <c r="GXO60" s="64"/>
      <c r="GXP60" s="64"/>
      <c r="GXQ60" s="64"/>
      <c r="GXR60" s="64"/>
      <c r="GXS60" s="64"/>
      <c r="GXT60" s="64"/>
      <c r="GXU60" s="64"/>
      <c r="GXV60" s="64"/>
      <c r="GXW60" s="64"/>
      <c r="GXX60" s="64"/>
      <c r="GXY60" s="64"/>
      <c r="GXZ60" s="64"/>
      <c r="GYA60" s="64"/>
      <c r="GYB60" s="64"/>
      <c r="GYC60" s="64"/>
      <c r="GYD60" s="64"/>
      <c r="GYE60" s="64"/>
      <c r="GYF60" s="64"/>
      <c r="GYG60" s="64"/>
      <c r="GYH60" s="64"/>
      <c r="GYI60" s="64"/>
      <c r="GYJ60" s="64"/>
      <c r="GYK60" s="64"/>
      <c r="GYL60" s="64"/>
      <c r="GYM60" s="64"/>
      <c r="GYN60" s="64"/>
      <c r="GYO60" s="64"/>
      <c r="GYP60" s="64"/>
      <c r="GYQ60" s="64"/>
      <c r="GYR60" s="64"/>
      <c r="GYS60" s="64"/>
      <c r="GYT60" s="64"/>
      <c r="GYU60" s="64"/>
      <c r="GYV60" s="64"/>
      <c r="GYW60" s="64"/>
      <c r="GYX60" s="64"/>
      <c r="GYY60" s="64"/>
      <c r="GYZ60" s="64"/>
      <c r="GZA60" s="64"/>
      <c r="GZB60" s="64"/>
      <c r="GZC60" s="64"/>
      <c r="GZD60" s="64"/>
      <c r="GZE60" s="64"/>
      <c r="GZF60" s="64"/>
      <c r="GZG60" s="64"/>
      <c r="GZH60" s="64"/>
      <c r="GZI60" s="64"/>
      <c r="GZJ60" s="64"/>
      <c r="GZK60" s="64"/>
      <c r="GZL60" s="64"/>
      <c r="GZM60" s="64"/>
      <c r="GZN60" s="64"/>
      <c r="GZO60" s="64"/>
      <c r="GZP60" s="64"/>
      <c r="GZQ60" s="64"/>
      <c r="GZR60" s="64"/>
      <c r="GZS60" s="64"/>
      <c r="GZT60" s="64"/>
      <c r="GZU60" s="64"/>
      <c r="GZV60" s="64"/>
      <c r="GZW60" s="64"/>
      <c r="GZX60" s="64"/>
      <c r="GZY60" s="64"/>
      <c r="GZZ60" s="64"/>
      <c r="HAA60" s="64"/>
      <c r="HAB60" s="64"/>
      <c r="HAC60" s="64"/>
      <c r="HAD60" s="64"/>
      <c r="HAE60" s="64"/>
      <c r="HAF60" s="64"/>
      <c r="HAG60" s="64"/>
      <c r="HAH60" s="64"/>
      <c r="HAI60" s="64"/>
      <c r="HAJ60" s="64"/>
      <c r="HAK60" s="64"/>
      <c r="HAL60" s="64"/>
      <c r="HAM60" s="64"/>
      <c r="HAN60" s="64"/>
      <c r="HAO60" s="64"/>
      <c r="HAP60" s="64"/>
      <c r="HAQ60" s="64"/>
      <c r="HAR60" s="64"/>
      <c r="HAS60" s="64"/>
      <c r="HAT60" s="64"/>
      <c r="HAU60" s="64"/>
      <c r="HAV60" s="64"/>
      <c r="HAW60" s="64"/>
      <c r="HAX60" s="64"/>
      <c r="HAY60" s="64"/>
      <c r="HAZ60" s="64"/>
      <c r="HBA60" s="64"/>
      <c r="HBB60" s="64"/>
      <c r="HBC60" s="64"/>
      <c r="HBD60" s="64"/>
      <c r="HBE60" s="64"/>
      <c r="HBF60" s="64"/>
      <c r="HBG60" s="64"/>
      <c r="HBH60" s="64"/>
      <c r="HBI60" s="64"/>
      <c r="HBJ60" s="64"/>
      <c r="HBK60" s="64"/>
      <c r="HBL60" s="64"/>
      <c r="HBM60" s="64"/>
      <c r="HBN60" s="64"/>
      <c r="HBO60" s="64"/>
      <c r="HBP60" s="64"/>
      <c r="HBQ60" s="64"/>
      <c r="HBR60" s="64"/>
      <c r="HBS60" s="64"/>
      <c r="HBT60" s="64"/>
      <c r="HBU60" s="64"/>
      <c r="HBV60" s="64"/>
      <c r="HBW60" s="64"/>
      <c r="HBX60" s="64"/>
      <c r="HBY60" s="64"/>
      <c r="HBZ60" s="64"/>
      <c r="HCA60" s="64"/>
      <c r="HCB60" s="64"/>
      <c r="HCC60" s="64"/>
      <c r="HCD60" s="64"/>
      <c r="HCE60" s="64"/>
      <c r="HCF60" s="64"/>
      <c r="HCG60" s="64"/>
      <c r="HCH60" s="64"/>
      <c r="HCI60" s="64"/>
      <c r="HCJ60" s="64"/>
      <c r="HCK60" s="64"/>
      <c r="HCL60" s="64"/>
      <c r="HCM60" s="64"/>
      <c r="HCN60" s="64"/>
      <c r="HCO60" s="64"/>
      <c r="HCP60" s="64"/>
      <c r="HCQ60" s="64"/>
      <c r="HCR60" s="64"/>
      <c r="HCS60" s="64"/>
      <c r="HCT60" s="64"/>
      <c r="HCU60" s="64"/>
      <c r="HCV60" s="64"/>
      <c r="HCW60" s="64"/>
      <c r="HCX60" s="64"/>
      <c r="HCY60" s="64"/>
      <c r="HCZ60" s="64"/>
      <c r="HDA60" s="64"/>
      <c r="HDB60" s="64"/>
      <c r="HDC60" s="64"/>
      <c r="HDD60" s="64"/>
      <c r="HDE60" s="64"/>
      <c r="HDF60" s="64"/>
      <c r="HDG60" s="64"/>
      <c r="HDH60" s="64"/>
      <c r="HDI60" s="64"/>
      <c r="HDJ60" s="64"/>
      <c r="HDK60" s="64"/>
      <c r="HDL60" s="64"/>
      <c r="HDM60" s="64"/>
      <c r="HDN60" s="64"/>
      <c r="HDO60" s="64"/>
      <c r="HDP60" s="64"/>
      <c r="HDQ60" s="64"/>
      <c r="HDR60" s="64"/>
      <c r="HDS60" s="64"/>
      <c r="HDT60" s="64"/>
      <c r="HDU60" s="64"/>
      <c r="HDV60" s="64"/>
      <c r="HDW60" s="64"/>
      <c r="HDX60" s="64"/>
      <c r="HDY60" s="64"/>
      <c r="HDZ60" s="64"/>
      <c r="HEA60" s="64"/>
      <c r="HEB60" s="64"/>
      <c r="HEC60" s="64"/>
      <c r="HED60" s="64"/>
      <c r="HEE60" s="64"/>
      <c r="HEF60" s="64"/>
      <c r="HEG60" s="64"/>
      <c r="HEH60" s="64"/>
      <c r="HEI60" s="64"/>
      <c r="HEJ60" s="64"/>
      <c r="HEK60" s="64"/>
      <c r="HEL60" s="64"/>
      <c r="HEM60" s="64"/>
      <c r="HEN60" s="64"/>
      <c r="HEO60" s="64"/>
      <c r="HEP60" s="64"/>
      <c r="HEQ60" s="64"/>
      <c r="HER60" s="64"/>
      <c r="HES60" s="64"/>
      <c r="HET60" s="64"/>
      <c r="HEU60" s="64"/>
      <c r="HEV60" s="64"/>
      <c r="HEW60" s="64"/>
      <c r="HEX60" s="64"/>
      <c r="HEY60" s="64"/>
      <c r="HEZ60" s="64"/>
      <c r="HFA60" s="64"/>
      <c r="HFB60" s="64"/>
      <c r="HFC60" s="64"/>
      <c r="HFD60" s="64"/>
      <c r="HFE60" s="64"/>
      <c r="HFF60" s="64"/>
      <c r="HFG60" s="64"/>
      <c r="HFH60" s="64"/>
      <c r="HFI60" s="64"/>
      <c r="HFJ60" s="64"/>
      <c r="HFK60" s="64"/>
      <c r="HFL60" s="64"/>
      <c r="HFM60" s="64"/>
      <c r="HFN60" s="64"/>
      <c r="HFO60" s="64"/>
      <c r="HFP60" s="64"/>
      <c r="HFQ60" s="64"/>
      <c r="HFR60" s="64"/>
      <c r="HFS60" s="64"/>
      <c r="HFT60" s="64"/>
      <c r="HFU60" s="64"/>
      <c r="HFV60" s="64"/>
      <c r="HFW60" s="64"/>
      <c r="HFX60" s="64"/>
      <c r="HFY60" s="64"/>
      <c r="HFZ60" s="64"/>
      <c r="HGA60" s="64"/>
      <c r="HGB60" s="64"/>
      <c r="HGC60" s="64"/>
      <c r="HGD60" s="64"/>
      <c r="HGE60" s="64"/>
      <c r="HGF60" s="64"/>
      <c r="HGG60" s="64"/>
      <c r="HGH60" s="64"/>
      <c r="HGI60" s="64"/>
      <c r="HGJ60" s="64"/>
      <c r="HGK60" s="64"/>
      <c r="HGL60" s="64"/>
      <c r="HGM60" s="64"/>
      <c r="HGN60" s="64"/>
      <c r="HGO60" s="64"/>
      <c r="HGP60" s="64"/>
      <c r="HGQ60" s="64"/>
      <c r="HGR60" s="64"/>
      <c r="HGS60" s="64"/>
      <c r="HGT60" s="64"/>
      <c r="HGU60" s="64"/>
      <c r="HGV60" s="64"/>
      <c r="HGW60" s="64"/>
      <c r="HGX60" s="64"/>
      <c r="HGY60" s="64"/>
      <c r="HGZ60" s="64"/>
      <c r="HHA60" s="64"/>
      <c r="HHB60" s="64"/>
      <c r="HHC60" s="64"/>
      <c r="HHD60" s="64"/>
      <c r="HHE60" s="64"/>
      <c r="HHF60" s="64"/>
      <c r="HHG60" s="64"/>
      <c r="HHH60" s="64"/>
      <c r="HHI60" s="64"/>
      <c r="HHJ60" s="64"/>
      <c r="HHK60" s="64"/>
      <c r="HHL60" s="64"/>
      <c r="HHM60" s="64"/>
      <c r="HHN60" s="64"/>
      <c r="HHO60" s="64"/>
      <c r="HHP60" s="64"/>
      <c r="HHQ60" s="64"/>
      <c r="HHR60" s="64"/>
      <c r="HHS60" s="64"/>
      <c r="HHT60" s="64"/>
      <c r="HHU60" s="64"/>
      <c r="HHV60" s="64"/>
      <c r="HHW60" s="64"/>
      <c r="HHX60" s="64"/>
      <c r="HHY60" s="64"/>
      <c r="HHZ60" s="64"/>
      <c r="HIA60" s="64"/>
      <c r="HIB60" s="64"/>
      <c r="HIC60" s="64"/>
      <c r="HID60" s="64"/>
      <c r="HIE60" s="64"/>
      <c r="HIF60" s="64"/>
      <c r="HIG60" s="64"/>
      <c r="HIH60" s="64"/>
      <c r="HII60" s="64"/>
      <c r="HIJ60" s="64"/>
      <c r="HIK60" s="64"/>
      <c r="HIL60" s="64"/>
      <c r="HIM60" s="64"/>
      <c r="HIN60" s="64"/>
      <c r="HIO60" s="64"/>
      <c r="HIP60" s="64"/>
      <c r="HIQ60" s="64"/>
      <c r="HIR60" s="64"/>
      <c r="HIS60" s="64"/>
      <c r="HIT60" s="64"/>
      <c r="HIU60" s="64"/>
      <c r="HIV60" s="64"/>
      <c r="HIW60" s="64"/>
      <c r="HIX60" s="64"/>
      <c r="HIY60" s="64"/>
      <c r="HIZ60" s="64"/>
      <c r="HJA60" s="64"/>
      <c r="HJB60" s="64"/>
      <c r="HJC60" s="64"/>
      <c r="HJD60" s="64"/>
      <c r="HJE60" s="64"/>
      <c r="HJF60" s="64"/>
      <c r="HJG60" s="64"/>
      <c r="HJH60" s="64"/>
      <c r="HJI60" s="64"/>
      <c r="HJJ60" s="64"/>
      <c r="HJK60" s="64"/>
      <c r="HJL60" s="64"/>
      <c r="HJM60" s="64"/>
      <c r="HJN60" s="64"/>
      <c r="HJO60" s="64"/>
      <c r="HJP60" s="64"/>
      <c r="HJQ60" s="64"/>
      <c r="HJR60" s="64"/>
      <c r="HJS60" s="64"/>
      <c r="HJT60" s="64"/>
      <c r="HJU60" s="64"/>
      <c r="HJV60" s="64"/>
      <c r="HJW60" s="64"/>
      <c r="HJX60" s="64"/>
      <c r="HJY60" s="64"/>
      <c r="HJZ60" s="64"/>
      <c r="HKA60" s="64"/>
      <c r="HKB60" s="64"/>
      <c r="HKC60" s="64"/>
      <c r="HKD60" s="64"/>
      <c r="HKE60" s="64"/>
      <c r="HKF60" s="64"/>
      <c r="HKG60" s="64"/>
      <c r="HKH60" s="64"/>
      <c r="HKI60" s="64"/>
      <c r="HKJ60" s="64"/>
      <c r="HKK60" s="64"/>
      <c r="HKL60" s="64"/>
      <c r="HKM60" s="64"/>
      <c r="HKN60" s="64"/>
      <c r="HKO60" s="64"/>
      <c r="HKP60" s="64"/>
      <c r="HKQ60" s="64"/>
      <c r="HKR60" s="64"/>
      <c r="HKS60" s="64"/>
      <c r="HKT60" s="64"/>
      <c r="HKU60" s="64"/>
      <c r="HKV60" s="64"/>
      <c r="HKW60" s="64"/>
      <c r="HKX60" s="64"/>
      <c r="HKY60" s="64"/>
      <c r="HKZ60" s="64"/>
      <c r="HLA60" s="64"/>
      <c r="HLB60" s="64"/>
      <c r="HLC60" s="64"/>
      <c r="HLD60" s="64"/>
      <c r="HLE60" s="64"/>
      <c r="HLF60" s="64"/>
      <c r="HLG60" s="64"/>
      <c r="HLH60" s="64"/>
      <c r="HLI60" s="64"/>
      <c r="HLJ60" s="64"/>
      <c r="HLK60" s="64"/>
      <c r="HLL60" s="64"/>
      <c r="HLM60" s="64"/>
      <c r="HLN60" s="64"/>
      <c r="HLO60" s="64"/>
      <c r="HLP60" s="64"/>
      <c r="HLQ60" s="64"/>
      <c r="HLR60" s="64"/>
      <c r="HLS60" s="64"/>
      <c r="HLT60" s="64"/>
      <c r="HLU60" s="64"/>
      <c r="HLV60" s="64"/>
      <c r="HLW60" s="64"/>
      <c r="HLX60" s="64"/>
      <c r="HLY60" s="64"/>
      <c r="HLZ60" s="64"/>
      <c r="HMA60" s="64"/>
      <c r="HMB60" s="64"/>
      <c r="HMC60" s="64"/>
      <c r="HMD60" s="64"/>
      <c r="HME60" s="64"/>
      <c r="HMF60" s="64"/>
      <c r="HMG60" s="64"/>
      <c r="HMH60" s="64"/>
      <c r="HMI60" s="64"/>
      <c r="HMJ60" s="64"/>
      <c r="HMK60" s="64"/>
      <c r="HML60" s="64"/>
      <c r="HMM60" s="64"/>
      <c r="HMN60" s="64"/>
      <c r="HMO60" s="64"/>
      <c r="HMP60" s="64"/>
      <c r="HMQ60" s="64"/>
      <c r="HMR60" s="64"/>
      <c r="HMS60" s="64"/>
      <c r="HMT60" s="64"/>
      <c r="HMU60" s="64"/>
      <c r="HMV60" s="64"/>
      <c r="HMW60" s="64"/>
      <c r="HMX60" s="64"/>
      <c r="HMY60" s="64"/>
      <c r="HMZ60" s="64"/>
      <c r="HNA60" s="64"/>
      <c r="HNB60" s="64"/>
      <c r="HNC60" s="64"/>
      <c r="HND60" s="64"/>
      <c r="HNE60" s="64"/>
      <c r="HNF60" s="64"/>
      <c r="HNG60" s="64"/>
      <c r="HNH60" s="64"/>
      <c r="HNI60" s="64"/>
      <c r="HNJ60" s="64"/>
      <c r="HNK60" s="64"/>
      <c r="HNL60" s="64"/>
      <c r="HNM60" s="64"/>
      <c r="HNN60" s="64"/>
      <c r="HNO60" s="64"/>
      <c r="HNP60" s="64"/>
      <c r="HNQ60" s="64"/>
      <c r="HNR60" s="64"/>
      <c r="HNS60" s="64"/>
      <c r="HNT60" s="64"/>
      <c r="HNU60" s="64"/>
      <c r="HNV60" s="64"/>
      <c r="HNW60" s="64"/>
      <c r="HNX60" s="64"/>
      <c r="HNY60" s="64"/>
      <c r="HNZ60" s="64"/>
      <c r="HOA60" s="64"/>
      <c r="HOB60" s="64"/>
      <c r="HOC60" s="64"/>
      <c r="HOD60" s="64"/>
      <c r="HOE60" s="64"/>
      <c r="HOF60" s="64"/>
      <c r="HOG60" s="64"/>
      <c r="HOH60" s="64"/>
      <c r="HOI60" s="64"/>
      <c r="HOJ60" s="64"/>
      <c r="HOK60" s="64"/>
      <c r="HOL60" s="64"/>
      <c r="HOM60" s="64"/>
      <c r="HON60" s="64"/>
      <c r="HOO60" s="64"/>
      <c r="HOP60" s="64"/>
      <c r="HOQ60" s="64"/>
      <c r="HOR60" s="64"/>
      <c r="HOS60" s="64"/>
      <c r="HOT60" s="64"/>
      <c r="HOU60" s="64"/>
      <c r="HOV60" s="64"/>
      <c r="HOW60" s="64"/>
      <c r="HOX60" s="64"/>
      <c r="HOY60" s="64"/>
      <c r="HOZ60" s="64"/>
      <c r="HPA60" s="64"/>
      <c r="HPB60" s="64"/>
      <c r="HPC60" s="64"/>
      <c r="HPD60" s="64"/>
      <c r="HPE60" s="64"/>
      <c r="HPF60" s="64"/>
      <c r="HPG60" s="64"/>
      <c r="HPH60" s="64"/>
      <c r="HPI60" s="64"/>
      <c r="HPJ60" s="64"/>
      <c r="HPK60" s="64"/>
      <c r="HPL60" s="64"/>
      <c r="HPM60" s="64"/>
      <c r="HPN60" s="64"/>
      <c r="HPO60" s="64"/>
      <c r="HPP60" s="64"/>
      <c r="HPQ60" s="64"/>
      <c r="HPR60" s="64"/>
      <c r="HPS60" s="64"/>
      <c r="HPT60" s="64"/>
      <c r="HPU60" s="64"/>
      <c r="HPV60" s="64"/>
      <c r="HPW60" s="64"/>
      <c r="HPX60" s="64"/>
      <c r="HPY60" s="64"/>
      <c r="HPZ60" s="64"/>
      <c r="HQA60" s="64"/>
      <c r="HQB60" s="64"/>
      <c r="HQC60" s="64"/>
      <c r="HQD60" s="64"/>
      <c r="HQE60" s="64"/>
      <c r="HQF60" s="64"/>
      <c r="HQG60" s="64"/>
      <c r="HQH60" s="64"/>
      <c r="HQI60" s="64"/>
      <c r="HQJ60" s="64"/>
      <c r="HQK60" s="64"/>
      <c r="HQL60" s="64"/>
      <c r="HQM60" s="64"/>
      <c r="HQN60" s="64"/>
      <c r="HQO60" s="64"/>
      <c r="HQP60" s="64"/>
      <c r="HQQ60" s="64"/>
      <c r="HQR60" s="64"/>
      <c r="HQS60" s="64"/>
      <c r="HQT60" s="64"/>
      <c r="HQU60" s="64"/>
      <c r="HQV60" s="64"/>
      <c r="HQW60" s="64"/>
      <c r="HQX60" s="64"/>
      <c r="HQY60" s="64"/>
      <c r="HQZ60" s="64"/>
      <c r="HRA60" s="64"/>
      <c r="HRB60" s="64"/>
      <c r="HRC60" s="64"/>
      <c r="HRD60" s="64"/>
      <c r="HRE60" s="64"/>
      <c r="HRF60" s="64"/>
      <c r="HRG60" s="64"/>
      <c r="HRH60" s="64"/>
      <c r="HRI60" s="64"/>
      <c r="HRJ60" s="64"/>
      <c r="HRK60" s="64"/>
      <c r="HRL60" s="64"/>
      <c r="HRM60" s="64"/>
      <c r="HRN60" s="64"/>
      <c r="HRO60" s="64"/>
      <c r="HRP60" s="64"/>
      <c r="HRQ60" s="64"/>
      <c r="HRR60" s="64"/>
      <c r="HRS60" s="64"/>
      <c r="HRT60" s="64"/>
      <c r="HRU60" s="64"/>
      <c r="HRV60" s="64"/>
      <c r="HRW60" s="64"/>
      <c r="HRX60" s="64"/>
      <c r="HRY60" s="64"/>
      <c r="HRZ60" s="64"/>
      <c r="HSA60" s="64"/>
      <c r="HSB60" s="64"/>
      <c r="HSC60" s="64"/>
      <c r="HSD60" s="64"/>
      <c r="HSE60" s="64"/>
      <c r="HSF60" s="64"/>
      <c r="HSG60" s="64"/>
      <c r="HSH60" s="64"/>
      <c r="HSI60" s="64"/>
      <c r="HSJ60" s="64"/>
      <c r="HSK60" s="64"/>
      <c r="HSL60" s="64"/>
      <c r="HSM60" s="64"/>
      <c r="HSN60" s="64"/>
      <c r="HSO60" s="64"/>
      <c r="HSP60" s="64"/>
      <c r="HSQ60" s="64"/>
      <c r="HSR60" s="64"/>
      <c r="HSS60" s="64"/>
      <c r="HST60" s="64"/>
      <c r="HSU60" s="64"/>
      <c r="HSV60" s="64"/>
      <c r="HSW60" s="64"/>
      <c r="HSX60" s="64"/>
      <c r="HSY60" s="64"/>
      <c r="HSZ60" s="64"/>
      <c r="HTA60" s="64"/>
      <c r="HTB60" s="64"/>
      <c r="HTC60" s="64"/>
      <c r="HTD60" s="64"/>
      <c r="HTE60" s="64"/>
      <c r="HTF60" s="64"/>
      <c r="HTG60" s="64"/>
      <c r="HTH60" s="64"/>
      <c r="HTI60" s="64"/>
      <c r="HTJ60" s="64"/>
      <c r="HTK60" s="64"/>
      <c r="HTL60" s="64"/>
      <c r="HTM60" s="64"/>
      <c r="HTN60" s="64"/>
      <c r="HTO60" s="64"/>
      <c r="HTP60" s="64"/>
      <c r="HTQ60" s="64"/>
      <c r="HTR60" s="64"/>
      <c r="HTS60" s="64"/>
      <c r="HTT60" s="64"/>
      <c r="HTU60" s="64"/>
      <c r="HTV60" s="64"/>
      <c r="HTW60" s="64"/>
      <c r="HTX60" s="64"/>
      <c r="HTY60" s="64"/>
      <c r="HTZ60" s="64"/>
      <c r="HUA60" s="64"/>
      <c r="HUB60" s="64"/>
      <c r="HUC60" s="64"/>
      <c r="HUD60" s="64"/>
      <c r="HUE60" s="64"/>
      <c r="HUF60" s="64"/>
      <c r="HUG60" s="64"/>
      <c r="HUH60" s="64"/>
      <c r="HUI60" s="64"/>
      <c r="HUJ60" s="64"/>
      <c r="HUK60" s="64"/>
      <c r="HUL60" s="64"/>
      <c r="HUM60" s="64"/>
      <c r="HUN60" s="64"/>
      <c r="HUO60" s="64"/>
      <c r="HUP60" s="64"/>
      <c r="HUQ60" s="64"/>
      <c r="HUR60" s="64"/>
      <c r="HUS60" s="64"/>
      <c r="HUT60" s="64"/>
      <c r="HUU60" s="64"/>
      <c r="HUV60" s="64"/>
      <c r="HUW60" s="64"/>
      <c r="HUX60" s="64"/>
      <c r="HUY60" s="64"/>
      <c r="HUZ60" s="64"/>
      <c r="HVA60" s="64"/>
      <c r="HVB60" s="64"/>
      <c r="HVC60" s="64"/>
      <c r="HVD60" s="64"/>
      <c r="HVE60" s="64"/>
      <c r="HVF60" s="64"/>
      <c r="HVG60" s="64"/>
      <c r="HVH60" s="64"/>
      <c r="HVI60" s="64"/>
      <c r="HVJ60" s="64"/>
      <c r="HVK60" s="64"/>
      <c r="HVL60" s="64"/>
      <c r="HVM60" s="64"/>
      <c r="HVN60" s="64"/>
      <c r="HVO60" s="64"/>
      <c r="HVP60" s="64"/>
      <c r="HVQ60" s="64"/>
      <c r="HVR60" s="64"/>
      <c r="HVS60" s="64"/>
      <c r="HVT60" s="64"/>
      <c r="HVU60" s="64"/>
      <c r="HVV60" s="64"/>
      <c r="HVW60" s="64"/>
      <c r="HVX60" s="64"/>
      <c r="HVY60" s="64"/>
      <c r="HVZ60" s="64"/>
      <c r="HWA60" s="64"/>
      <c r="HWB60" s="64"/>
      <c r="HWC60" s="64"/>
      <c r="HWD60" s="64"/>
      <c r="HWE60" s="64"/>
      <c r="HWF60" s="64"/>
      <c r="HWG60" s="64"/>
      <c r="HWH60" s="64"/>
      <c r="HWI60" s="64"/>
      <c r="HWJ60" s="64"/>
      <c r="HWK60" s="64"/>
      <c r="HWL60" s="64"/>
      <c r="HWM60" s="64"/>
      <c r="HWN60" s="64"/>
      <c r="HWO60" s="64"/>
      <c r="HWP60" s="64"/>
      <c r="HWQ60" s="64"/>
      <c r="HWR60" s="64"/>
      <c r="HWS60" s="64"/>
      <c r="HWT60" s="64"/>
      <c r="HWU60" s="64"/>
      <c r="HWV60" s="64"/>
      <c r="HWW60" s="64"/>
      <c r="HWX60" s="64"/>
      <c r="HWY60" s="64"/>
      <c r="HWZ60" s="64"/>
      <c r="HXA60" s="64"/>
      <c r="HXB60" s="64"/>
      <c r="HXC60" s="64"/>
      <c r="HXD60" s="64"/>
      <c r="HXE60" s="64"/>
      <c r="HXF60" s="64"/>
      <c r="HXG60" s="64"/>
      <c r="HXH60" s="64"/>
      <c r="HXI60" s="64"/>
      <c r="HXJ60" s="64"/>
      <c r="HXK60" s="64"/>
      <c r="HXL60" s="64"/>
      <c r="HXM60" s="64"/>
      <c r="HXN60" s="64"/>
      <c r="HXO60" s="64"/>
      <c r="HXP60" s="64"/>
      <c r="HXQ60" s="64"/>
      <c r="HXR60" s="64"/>
      <c r="HXS60" s="64"/>
      <c r="HXT60" s="64"/>
      <c r="HXU60" s="64"/>
      <c r="HXV60" s="64"/>
      <c r="HXW60" s="64"/>
      <c r="HXX60" s="64"/>
      <c r="HXY60" s="64"/>
      <c r="HXZ60" s="64"/>
      <c r="HYA60" s="64"/>
      <c r="HYB60" s="64"/>
      <c r="HYC60" s="64"/>
      <c r="HYD60" s="64"/>
      <c r="HYE60" s="64"/>
      <c r="HYF60" s="64"/>
      <c r="HYG60" s="64"/>
      <c r="HYH60" s="64"/>
      <c r="HYI60" s="64"/>
      <c r="HYJ60" s="64"/>
      <c r="HYK60" s="64"/>
      <c r="HYL60" s="64"/>
      <c r="HYM60" s="64"/>
      <c r="HYN60" s="64"/>
      <c r="HYO60" s="64"/>
      <c r="HYP60" s="64"/>
      <c r="HYQ60" s="64"/>
      <c r="HYR60" s="64"/>
      <c r="HYS60" s="64"/>
      <c r="HYT60" s="64"/>
      <c r="HYU60" s="64"/>
      <c r="HYV60" s="64"/>
      <c r="HYW60" s="64"/>
      <c r="HYX60" s="64"/>
      <c r="HYY60" s="64"/>
      <c r="HYZ60" s="64"/>
      <c r="HZA60" s="64"/>
      <c r="HZB60" s="64"/>
      <c r="HZC60" s="64"/>
      <c r="HZD60" s="64"/>
      <c r="HZE60" s="64"/>
      <c r="HZF60" s="64"/>
      <c r="HZG60" s="64"/>
      <c r="HZH60" s="64"/>
      <c r="HZI60" s="64"/>
      <c r="HZJ60" s="64"/>
      <c r="HZK60" s="64"/>
      <c r="HZL60" s="64"/>
      <c r="HZM60" s="64"/>
      <c r="HZN60" s="64"/>
      <c r="HZO60" s="64"/>
      <c r="HZP60" s="64"/>
      <c r="HZQ60" s="64"/>
      <c r="HZR60" s="64"/>
      <c r="HZS60" s="64"/>
      <c r="HZT60" s="64"/>
      <c r="HZU60" s="64"/>
      <c r="HZV60" s="64"/>
      <c r="HZW60" s="64"/>
      <c r="HZX60" s="64"/>
      <c r="HZY60" s="64"/>
      <c r="HZZ60" s="64"/>
      <c r="IAA60" s="64"/>
      <c r="IAB60" s="64"/>
      <c r="IAC60" s="64"/>
      <c r="IAD60" s="64"/>
      <c r="IAE60" s="64"/>
      <c r="IAF60" s="64"/>
      <c r="IAG60" s="64"/>
      <c r="IAH60" s="64"/>
      <c r="IAI60" s="64"/>
      <c r="IAJ60" s="64"/>
      <c r="IAK60" s="64"/>
      <c r="IAL60" s="64"/>
      <c r="IAM60" s="64"/>
      <c r="IAN60" s="64"/>
      <c r="IAO60" s="64"/>
      <c r="IAP60" s="64"/>
      <c r="IAQ60" s="64"/>
      <c r="IAR60" s="64"/>
      <c r="IAS60" s="64"/>
      <c r="IAT60" s="64"/>
      <c r="IAU60" s="64"/>
      <c r="IAV60" s="64"/>
      <c r="IAW60" s="64"/>
      <c r="IAX60" s="64"/>
      <c r="IAY60" s="64"/>
      <c r="IAZ60" s="64"/>
      <c r="IBA60" s="64"/>
      <c r="IBB60" s="64"/>
      <c r="IBC60" s="64"/>
      <c r="IBD60" s="64"/>
      <c r="IBE60" s="64"/>
      <c r="IBF60" s="64"/>
      <c r="IBG60" s="64"/>
      <c r="IBH60" s="64"/>
      <c r="IBI60" s="64"/>
      <c r="IBJ60" s="64"/>
      <c r="IBK60" s="64"/>
      <c r="IBL60" s="64"/>
      <c r="IBM60" s="64"/>
      <c r="IBN60" s="64"/>
      <c r="IBO60" s="64"/>
      <c r="IBP60" s="64"/>
      <c r="IBQ60" s="64"/>
      <c r="IBR60" s="64"/>
      <c r="IBS60" s="64"/>
      <c r="IBT60" s="64"/>
      <c r="IBU60" s="64"/>
      <c r="IBV60" s="64"/>
      <c r="IBW60" s="64"/>
      <c r="IBX60" s="64"/>
      <c r="IBY60" s="64"/>
      <c r="IBZ60" s="64"/>
      <c r="ICA60" s="64"/>
      <c r="ICB60" s="64"/>
      <c r="ICC60" s="64"/>
      <c r="ICD60" s="64"/>
      <c r="ICE60" s="64"/>
      <c r="ICF60" s="64"/>
      <c r="ICG60" s="64"/>
      <c r="ICH60" s="64"/>
      <c r="ICI60" s="64"/>
      <c r="ICJ60" s="64"/>
      <c r="ICK60" s="64"/>
      <c r="ICL60" s="64"/>
      <c r="ICM60" s="64"/>
      <c r="ICN60" s="64"/>
      <c r="ICO60" s="64"/>
      <c r="ICP60" s="64"/>
      <c r="ICQ60" s="64"/>
      <c r="ICR60" s="64"/>
      <c r="ICS60" s="64"/>
      <c r="ICT60" s="64"/>
      <c r="ICU60" s="64"/>
      <c r="ICV60" s="64"/>
      <c r="ICW60" s="64"/>
      <c r="ICX60" s="64"/>
      <c r="ICY60" s="64"/>
      <c r="ICZ60" s="64"/>
      <c r="IDA60" s="64"/>
      <c r="IDB60" s="64"/>
      <c r="IDC60" s="64"/>
      <c r="IDD60" s="64"/>
      <c r="IDE60" s="64"/>
      <c r="IDF60" s="64"/>
      <c r="IDG60" s="64"/>
      <c r="IDH60" s="64"/>
      <c r="IDI60" s="64"/>
      <c r="IDJ60" s="64"/>
      <c r="IDK60" s="64"/>
      <c r="IDL60" s="64"/>
      <c r="IDM60" s="64"/>
      <c r="IDN60" s="64"/>
      <c r="IDO60" s="64"/>
      <c r="IDP60" s="64"/>
      <c r="IDQ60" s="64"/>
      <c r="IDR60" s="64"/>
      <c r="IDS60" s="64"/>
      <c r="IDT60" s="64"/>
      <c r="IDU60" s="64"/>
      <c r="IDV60" s="64"/>
      <c r="IDW60" s="64"/>
      <c r="IDX60" s="64"/>
      <c r="IDY60" s="64"/>
      <c r="IDZ60" s="64"/>
      <c r="IEA60" s="64"/>
      <c r="IEB60" s="64"/>
      <c r="IEC60" s="64"/>
      <c r="IED60" s="64"/>
      <c r="IEE60" s="64"/>
      <c r="IEF60" s="64"/>
      <c r="IEG60" s="64"/>
      <c r="IEH60" s="64"/>
      <c r="IEI60" s="64"/>
      <c r="IEJ60" s="64"/>
      <c r="IEK60" s="64"/>
      <c r="IEL60" s="64"/>
      <c r="IEM60" s="64"/>
      <c r="IEN60" s="64"/>
      <c r="IEO60" s="64"/>
      <c r="IEP60" s="64"/>
      <c r="IEQ60" s="64"/>
      <c r="IER60" s="64"/>
      <c r="IES60" s="64"/>
      <c r="IET60" s="64"/>
      <c r="IEU60" s="64"/>
      <c r="IEV60" s="64"/>
      <c r="IEW60" s="64"/>
      <c r="IEX60" s="64"/>
      <c r="IEY60" s="64"/>
      <c r="IEZ60" s="64"/>
      <c r="IFA60" s="64"/>
      <c r="IFB60" s="64"/>
      <c r="IFC60" s="64"/>
      <c r="IFD60" s="64"/>
      <c r="IFE60" s="64"/>
      <c r="IFF60" s="64"/>
      <c r="IFG60" s="64"/>
      <c r="IFH60" s="64"/>
      <c r="IFI60" s="64"/>
      <c r="IFJ60" s="64"/>
      <c r="IFK60" s="64"/>
      <c r="IFL60" s="64"/>
      <c r="IFM60" s="64"/>
      <c r="IFN60" s="64"/>
      <c r="IFO60" s="64"/>
      <c r="IFP60" s="64"/>
      <c r="IFQ60" s="64"/>
      <c r="IFR60" s="64"/>
      <c r="IFS60" s="64"/>
      <c r="IFT60" s="64"/>
      <c r="IFU60" s="64"/>
      <c r="IFV60" s="64"/>
      <c r="IFW60" s="64"/>
      <c r="IFX60" s="64"/>
      <c r="IFY60" s="64"/>
      <c r="IFZ60" s="64"/>
      <c r="IGA60" s="64"/>
      <c r="IGB60" s="64"/>
      <c r="IGC60" s="64"/>
      <c r="IGD60" s="64"/>
      <c r="IGE60" s="64"/>
      <c r="IGF60" s="64"/>
      <c r="IGG60" s="64"/>
      <c r="IGH60" s="64"/>
      <c r="IGI60" s="64"/>
      <c r="IGJ60" s="64"/>
      <c r="IGK60" s="64"/>
      <c r="IGL60" s="64"/>
      <c r="IGM60" s="64"/>
      <c r="IGN60" s="64"/>
      <c r="IGO60" s="64"/>
      <c r="IGP60" s="64"/>
      <c r="IGQ60" s="64"/>
      <c r="IGR60" s="64"/>
      <c r="IGS60" s="64"/>
      <c r="IGT60" s="64"/>
      <c r="IGU60" s="64"/>
      <c r="IGV60" s="64"/>
      <c r="IGW60" s="64"/>
      <c r="IGX60" s="64"/>
      <c r="IGY60" s="64"/>
      <c r="IGZ60" s="64"/>
      <c r="IHA60" s="64"/>
      <c r="IHB60" s="64"/>
      <c r="IHC60" s="64"/>
      <c r="IHD60" s="64"/>
      <c r="IHE60" s="64"/>
      <c r="IHF60" s="64"/>
      <c r="IHG60" s="64"/>
      <c r="IHH60" s="64"/>
      <c r="IHI60" s="64"/>
      <c r="IHJ60" s="64"/>
      <c r="IHK60" s="64"/>
      <c r="IHL60" s="64"/>
      <c r="IHM60" s="64"/>
      <c r="IHN60" s="64"/>
      <c r="IHO60" s="64"/>
      <c r="IHP60" s="64"/>
      <c r="IHQ60" s="64"/>
      <c r="IHR60" s="64"/>
      <c r="IHS60" s="64"/>
      <c r="IHT60" s="64"/>
      <c r="IHU60" s="64"/>
      <c r="IHV60" s="64"/>
      <c r="IHW60" s="64"/>
      <c r="IHX60" s="64"/>
      <c r="IHY60" s="64"/>
      <c r="IHZ60" s="64"/>
      <c r="IIA60" s="64"/>
      <c r="IIB60" s="64"/>
      <c r="IIC60" s="64"/>
      <c r="IID60" s="64"/>
      <c r="IIE60" s="64"/>
      <c r="IIF60" s="64"/>
      <c r="IIG60" s="64"/>
      <c r="IIH60" s="64"/>
      <c r="III60" s="64"/>
      <c r="IIJ60" s="64"/>
      <c r="IIK60" s="64"/>
      <c r="IIL60" s="64"/>
      <c r="IIM60" s="64"/>
      <c r="IIN60" s="64"/>
      <c r="IIO60" s="64"/>
      <c r="IIP60" s="64"/>
      <c r="IIQ60" s="64"/>
      <c r="IIR60" s="64"/>
      <c r="IIS60" s="64"/>
      <c r="IIT60" s="64"/>
      <c r="IIU60" s="64"/>
      <c r="IIV60" s="64"/>
      <c r="IIW60" s="64"/>
      <c r="IIX60" s="64"/>
      <c r="IIY60" s="64"/>
      <c r="IIZ60" s="64"/>
      <c r="IJA60" s="64"/>
      <c r="IJB60" s="64"/>
      <c r="IJC60" s="64"/>
      <c r="IJD60" s="64"/>
      <c r="IJE60" s="64"/>
      <c r="IJF60" s="64"/>
      <c r="IJG60" s="64"/>
      <c r="IJH60" s="64"/>
      <c r="IJI60" s="64"/>
      <c r="IJJ60" s="64"/>
      <c r="IJK60" s="64"/>
      <c r="IJL60" s="64"/>
      <c r="IJM60" s="64"/>
      <c r="IJN60" s="64"/>
      <c r="IJO60" s="64"/>
      <c r="IJP60" s="64"/>
      <c r="IJQ60" s="64"/>
      <c r="IJR60" s="64"/>
      <c r="IJS60" s="64"/>
      <c r="IJT60" s="64"/>
      <c r="IJU60" s="64"/>
      <c r="IJV60" s="64"/>
      <c r="IJW60" s="64"/>
      <c r="IJX60" s="64"/>
      <c r="IJY60" s="64"/>
      <c r="IJZ60" s="64"/>
      <c r="IKA60" s="64"/>
      <c r="IKB60" s="64"/>
      <c r="IKC60" s="64"/>
      <c r="IKD60" s="64"/>
      <c r="IKE60" s="64"/>
      <c r="IKF60" s="64"/>
      <c r="IKG60" s="64"/>
      <c r="IKH60" s="64"/>
      <c r="IKI60" s="64"/>
      <c r="IKJ60" s="64"/>
      <c r="IKK60" s="64"/>
      <c r="IKL60" s="64"/>
      <c r="IKM60" s="64"/>
      <c r="IKN60" s="64"/>
      <c r="IKO60" s="64"/>
      <c r="IKP60" s="64"/>
      <c r="IKQ60" s="64"/>
      <c r="IKR60" s="64"/>
      <c r="IKS60" s="64"/>
      <c r="IKT60" s="64"/>
      <c r="IKU60" s="64"/>
      <c r="IKV60" s="64"/>
      <c r="IKW60" s="64"/>
      <c r="IKX60" s="64"/>
      <c r="IKY60" s="64"/>
      <c r="IKZ60" s="64"/>
      <c r="ILA60" s="64"/>
      <c r="ILB60" s="64"/>
      <c r="ILC60" s="64"/>
      <c r="ILD60" s="64"/>
      <c r="ILE60" s="64"/>
      <c r="ILF60" s="64"/>
      <c r="ILG60" s="64"/>
      <c r="ILH60" s="64"/>
      <c r="ILI60" s="64"/>
      <c r="ILJ60" s="64"/>
      <c r="ILK60" s="64"/>
      <c r="ILL60" s="64"/>
      <c r="ILM60" s="64"/>
      <c r="ILN60" s="64"/>
      <c r="ILO60" s="64"/>
      <c r="ILP60" s="64"/>
      <c r="ILQ60" s="64"/>
      <c r="ILR60" s="64"/>
      <c r="ILS60" s="64"/>
      <c r="ILT60" s="64"/>
      <c r="ILU60" s="64"/>
      <c r="ILV60" s="64"/>
      <c r="ILW60" s="64"/>
      <c r="ILX60" s="64"/>
      <c r="ILY60" s="64"/>
      <c r="ILZ60" s="64"/>
      <c r="IMA60" s="64"/>
      <c r="IMB60" s="64"/>
      <c r="IMC60" s="64"/>
      <c r="IMD60" s="64"/>
      <c r="IME60" s="64"/>
      <c r="IMF60" s="64"/>
      <c r="IMG60" s="64"/>
      <c r="IMH60" s="64"/>
      <c r="IMI60" s="64"/>
      <c r="IMJ60" s="64"/>
      <c r="IMK60" s="64"/>
      <c r="IML60" s="64"/>
      <c r="IMM60" s="64"/>
      <c r="IMN60" s="64"/>
      <c r="IMO60" s="64"/>
      <c r="IMP60" s="64"/>
      <c r="IMQ60" s="64"/>
      <c r="IMR60" s="64"/>
      <c r="IMS60" s="64"/>
      <c r="IMT60" s="64"/>
      <c r="IMU60" s="64"/>
      <c r="IMV60" s="64"/>
      <c r="IMW60" s="64"/>
      <c r="IMX60" s="64"/>
      <c r="IMY60" s="64"/>
      <c r="IMZ60" s="64"/>
      <c r="INA60" s="64"/>
      <c r="INB60" s="64"/>
      <c r="INC60" s="64"/>
      <c r="IND60" s="64"/>
      <c r="INE60" s="64"/>
      <c r="INF60" s="64"/>
      <c r="ING60" s="64"/>
      <c r="INH60" s="64"/>
      <c r="INI60" s="64"/>
      <c r="INJ60" s="64"/>
      <c r="INK60" s="64"/>
      <c r="INL60" s="64"/>
      <c r="INM60" s="64"/>
      <c r="INN60" s="64"/>
      <c r="INO60" s="64"/>
      <c r="INP60" s="64"/>
      <c r="INQ60" s="64"/>
      <c r="INR60" s="64"/>
      <c r="INS60" s="64"/>
      <c r="INT60" s="64"/>
      <c r="INU60" s="64"/>
      <c r="INV60" s="64"/>
      <c r="INW60" s="64"/>
      <c r="INX60" s="64"/>
      <c r="INY60" s="64"/>
      <c r="INZ60" s="64"/>
      <c r="IOA60" s="64"/>
      <c r="IOB60" s="64"/>
      <c r="IOC60" s="64"/>
      <c r="IOD60" s="64"/>
      <c r="IOE60" s="64"/>
      <c r="IOF60" s="64"/>
      <c r="IOG60" s="64"/>
      <c r="IOH60" s="64"/>
      <c r="IOI60" s="64"/>
      <c r="IOJ60" s="64"/>
      <c r="IOK60" s="64"/>
      <c r="IOL60" s="64"/>
      <c r="IOM60" s="64"/>
      <c r="ION60" s="64"/>
      <c r="IOO60" s="64"/>
      <c r="IOP60" s="64"/>
      <c r="IOQ60" s="64"/>
      <c r="IOR60" s="64"/>
      <c r="IOS60" s="64"/>
      <c r="IOT60" s="64"/>
      <c r="IOU60" s="64"/>
      <c r="IOV60" s="64"/>
      <c r="IOW60" s="64"/>
      <c r="IOX60" s="64"/>
      <c r="IOY60" s="64"/>
      <c r="IOZ60" s="64"/>
      <c r="IPA60" s="64"/>
      <c r="IPB60" s="64"/>
      <c r="IPC60" s="64"/>
      <c r="IPD60" s="64"/>
      <c r="IPE60" s="64"/>
      <c r="IPF60" s="64"/>
      <c r="IPG60" s="64"/>
      <c r="IPH60" s="64"/>
      <c r="IPI60" s="64"/>
      <c r="IPJ60" s="64"/>
      <c r="IPK60" s="64"/>
      <c r="IPL60" s="64"/>
      <c r="IPM60" s="64"/>
      <c r="IPN60" s="64"/>
      <c r="IPO60" s="64"/>
      <c r="IPP60" s="64"/>
      <c r="IPQ60" s="64"/>
      <c r="IPR60" s="64"/>
      <c r="IPS60" s="64"/>
      <c r="IPT60" s="64"/>
      <c r="IPU60" s="64"/>
      <c r="IPV60" s="64"/>
      <c r="IPW60" s="64"/>
      <c r="IPX60" s="64"/>
      <c r="IPY60" s="64"/>
      <c r="IPZ60" s="64"/>
      <c r="IQA60" s="64"/>
      <c r="IQB60" s="64"/>
      <c r="IQC60" s="64"/>
      <c r="IQD60" s="64"/>
      <c r="IQE60" s="64"/>
      <c r="IQF60" s="64"/>
      <c r="IQG60" s="64"/>
      <c r="IQH60" s="64"/>
      <c r="IQI60" s="64"/>
      <c r="IQJ60" s="64"/>
      <c r="IQK60" s="64"/>
      <c r="IQL60" s="64"/>
      <c r="IQM60" s="64"/>
      <c r="IQN60" s="64"/>
      <c r="IQO60" s="64"/>
      <c r="IQP60" s="64"/>
      <c r="IQQ60" s="64"/>
      <c r="IQR60" s="64"/>
      <c r="IQS60" s="64"/>
      <c r="IQT60" s="64"/>
      <c r="IQU60" s="64"/>
      <c r="IQV60" s="64"/>
      <c r="IQW60" s="64"/>
      <c r="IQX60" s="64"/>
      <c r="IQY60" s="64"/>
      <c r="IQZ60" s="64"/>
      <c r="IRA60" s="64"/>
      <c r="IRB60" s="64"/>
      <c r="IRC60" s="64"/>
      <c r="IRD60" s="64"/>
      <c r="IRE60" s="64"/>
      <c r="IRF60" s="64"/>
      <c r="IRG60" s="64"/>
      <c r="IRH60" s="64"/>
      <c r="IRI60" s="64"/>
      <c r="IRJ60" s="64"/>
      <c r="IRK60" s="64"/>
      <c r="IRL60" s="64"/>
      <c r="IRM60" s="64"/>
      <c r="IRN60" s="64"/>
      <c r="IRO60" s="64"/>
      <c r="IRP60" s="64"/>
      <c r="IRQ60" s="64"/>
      <c r="IRR60" s="64"/>
      <c r="IRS60" s="64"/>
      <c r="IRT60" s="64"/>
      <c r="IRU60" s="64"/>
      <c r="IRV60" s="64"/>
      <c r="IRW60" s="64"/>
      <c r="IRX60" s="64"/>
      <c r="IRY60" s="64"/>
      <c r="IRZ60" s="64"/>
      <c r="ISA60" s="64"/>
      <c r="ISB60" s="64"/>
      <c r="ISC60" s="64"/>
      <c r="ISD60" s="64"/>
      <c r="ISE60" s="64"/>
      <c r="ISF60" s="64"/>
      <c r="ISG60" s="64"/>
      <c r="ISH60" s="64"/>
      <c r="ISI60" s="64"/>
      <c r="ISJ60" s="64"/>
      <c r="ISK60" s="64"/>
      <c r="ISL60" s="64"/>
      <c r="ISM60" s="64"/>
      <c r="ISN60" s="64"/>
      <c r="ISO60" s="64"/>
      <c r="ISP60" s="64"/>
      <c r="ISQ60" s="64"/>
      <c r="ISR60" s="64"/>
      <c r="ISS60" s="64"/>
      <c r="IST60" s="64"/>
      <c r="ISU60" s="64"/>
      <c r="ISV60" s="64"/>
      <c r="ISW60" s="64"/>
      <c r="ISX60" s="64"/>
      <c r="ISY60" s="64"/>
      <c r="ISZ60" s="64"/>
      <c r="ITA60" s="64"/>
      <c r="ITB60" s="64"/>
      <c r="ITC60" s="64"/>
      <c r="ITD60" s="64"/>
      <c r="ITE60" s="64"/>
      <c r="ITF60" s="64"/>
      <c r="ITG60" s="64"/>
      <c r="ITH60" s="64"/>
      <c r="ITI60" s="64"/>
      <c r="ITJ60" s="64"/>
      <c r="ITK60" s="64"/>
      <c r="ITL60" s="64"/>
      <c r="ITM60" s="64"/>
      <c r="ITN60" s="64"/>
      <c r="ITO60" s="64"/>
      <c r="ITP60" s="64"/>
      <c r="ITQ60" s="64"/>
      <c r="ITR60" s="64"/>
      <c r="ITS60" s="64"/>
      <c r="ITT60" s="64"/>
      <c r="ITU60" s="64"/>
      <c r="ITV60" s="64"/>
      <c r="ITW60" s="64"/>
      <c r="ITX60" s="64"/>
      <c r="ITY60" s="64"/>
      <c r="ITZ60" s="64"/>
      <c r="IUA60" s="64"/>
      <c r="IUB60" s="64"/>
      <c r="IUC60" s="64"/>
      <c r="IUD60" s="64"/>
      <c r="IUE60" s="64"/>
      <c r="IUF60" s="64"/>
      <c r="IUG60" s="64"/>
      <c r="IUH60" s="64"/>
      <c r="IUI60" s="64"/>
      <c r="IUJ60" s="64"/>
      <c r="IUK60" s="64"/>
      <c r="IUL60" s="64"/>
      <c r="IUM60" s="64"/>
      <c r="IUN60" s="64"/>
      <c r="IUO60" s="64"/>
      <c r="IUP60" s="64"/>
      <c r="IUQ60" s="64"/>
      <c r="IUR60" s="64"/>
      <c r="IUS60" s="64"/>
      <c r="IUT60" s="64"/>
      <c r="IUU60" s="64"/>
      <c r="IUV60" s="64"/>
      <c r="IUW60" s="64"/>
      <c r="IUX60" s="64"/>
      <c r="IUY60" s="64"/>
      <c r="IUZ60" s="64"/>
      <c r="IVA60" s="64"/>
      <c r="IVB60" s="64"/>
      <c r="IVC60" s="64"/>
      <c r="IVD60" s="64"/>
      <c r="IVE60" s="64"/>
      <c r="IVF60" s="64"/>
      <c r="IVG60" s="64"/>
      <c r="IVH60" s="64"/>
      <c r="IVI60" s="64"/>
      <c r="IVJ60" s="64"/>
      <c r="IVK60" s="64"/>
      <c r="IVL60" s="64"/>
      <c r="IVM60" s="64"/>
      <c r="IVN60" s="64"/>
      <c r="IVO60" s="64"/>
      <c r="IVP60" s="64"/>
      <c r="IVQ60" s="64"/>
      <c r="IVR60" s="64"/>
      <c r="IVS60" s="64"/>
      <c r="IVT60" s="64"/>
      <c r="IVU60" s="64"/>
      <c r="IVV60" s="64"/>
      <c r="IVW60" s="64"/>
      <c r="IVX60" s="64"/>
      <c r="IVY60" s="64"/>
      <c r="IVZ60" s="64"/>
      <c r="IWA60" s="64"/>
      <c r="IWB60" s="64"/>
      <c r="IWC60" s="64"/>
      <c r="IWD60" s="64"/>
      <c r="IWE60" s="64"/>
      <c r="IWF60" s="64"/>
      <c r="IWG60" s="64"/>
      <c r="IWH60" s="64"/>
      <c r="IWI60" s="64"/>
      <c r="IWJ60" s="64"/>
      <c r="IWK60" s="64"/>
      <c r="IWL60" s="64"/>
      <c r="IWM60" s="64"/>
      <c r="IWN60" s="64"/>
      <c r="IWO60" s="64"/>
      <c r="IWP60" s="64"/>
      <c r="IWQ60" s="64"/>
      <c r="IWR60" s="64"/>
      <c r="IWS60" s="64"/>
      <c r="IWT60" s="64"/>
      <c r="IWU60" s="64"/>
      <c r="IWV60" s="64"/>
      <c r="IWW60" s="64"/>
      <c r="IWX60" s="64"/>
      <c r="IWY60" s="64"/>
      <c r="IWZ60" s="64"/>
      <c r="IXA60" s="64"/>
      <c r="IXB60" s="64"/>
      <c r="IXC60" s="64"/>
      <c r="IXD60" s="64"/>
      <c r="IXE60" s="64"/>
      <c r="IXF60" s="64"/>
      <c r="IXG60" s="64"/>
      <c r="IXH60" s="64"/>
      <c r="IXI60" s="64"/>
      <c r="IXJ60" s="64"/>
      <c r="IXK60" s="64"/>
      <c r="IXL60" s="64"/>
      <c r="IXM60" s="64"/>
      <c r="IXN60" s="64"/>
      <c r="IXO60" s="64"/>
      <c r="IXP60" s="64"/>
      <c r="IXQ60" s="64"/>
      <c r="IXR60" s="64"/>
      <c r="IXS60" s="64"/>
      <c r="IXT60" s="64"/>
      <c r="IXU60" s="64"/>
      <c r="IXV60" s="64"/>
      <c r="IXW60" s="64"/>
      <c r="IXX60" s="64"/>
      <c r="IXY60" s="64"/>
      <c r="IXZ60" s="64"/>
      <c r="IYA60" s="64"/>
      <c r="IYB60" s="64"/>
      <c r="IYC60" s="64"/>
      <c r="IYD60" s="64"/>
      <c r="IYE60" s="64"/>
      <c r="IYF60" s="64"/>
      <c r="IYG60" s="64"/>
      <c r="IYH60" s="64"/>
      <c r="IYI60" s="64"/>
      <c r="IYJ60" s="64"/>
      <c r="IYK60" s="64"/>
      <c r="IYL60" s="64"/>
      <c r="IYM60" s="64"/>
      <c r="IYN60" s="64"/>
      <c r="IYO60" s="64"/>
      <c r="IYP60" s="64"/>
      <c r="IYQ60" s="64"/>
      <c r="IYR60" s="64"/>
      <c r="IYS60" s="64"/>
      <c r="IYT60" s="64"/>
      <c r="IYU60" s="64"/>
      <c r="IYV60" s="64"/>
      <c r="IYW60" s="64"/>
      <c r="IYX60" s="64"/>
      <c r="IYY60" s="64"/>
      <c r="IYZ60" s="64"/>
      <c r="IZA60" s="64"/>
      <c r="IZB60" s="64"/>
      <c r="IZC60" s="64"/>
      <c r="IZD60" s="64"/>
      <c r="IZE60" s="64"/>
      <c r="IZF60" s="64"/>
      <c r="IZG60" s="64"/>
      <c r="IZH60" s="64"/>
      <c r="IZI60" s="64"/>
      <c r="IZJ60" s="64"/>
      <c r="IZK60" s="64"/>
      <c r="IZL60" s="64"/>
      <c r="IZM60" s="64"/>
      <c r="IZN60" s="64"/>
      <c r="IZO60" s="64"/>
      <c r="IZP60" s="64"/>
      <c r="IZQ60" s="64"/>
      <c r="IZR60" s="64"/>
      <c r="IZS60" s="64"/>
      <c r="IZT60" s="64"/>
      <c r="IZU60" s="64"/>
      <c r="IZV60" s="64"/>
      <c r="IZW60" s="64"/>
      <c r="IZX60" s="64"/>
      <c r="IZY60" s="64"/>
      <c r="IZZ60" s="64"/>
      <c r="JAA60" s="64"/>
      <c r="JAB60" s="64"/>
      <c r="JAC60" s="64"/>
      <c r="JAD60" s="64"/>
      <c r="JAE60" s="64"/>
      <c r="JAF60" s="64"/>
      <c r="JAG60" s="64"/>
      <c r="JAH60" s="64"/>
      <c r="JAI60" s="64"/>
      <c r="JAJ60" s="64"/>
      <c r="JAK60" s="64"/>
      <c r="JAL60" s="64"/>
      <c r="JAM60" s="64"/>
      <c r="JAN60" s="64"/>
      <c r="JAO60" s="64"/>
      <c r="JAP60" s="64"/>
      <c r="JAQ60" s="64"/>
      <c r="JAR60" s="64"/>
      <c r="JAS60" s="64"/>
      <c r="JAT60" s="64"/>
      <c r="JAU60" s="64"/>
      <c r="JAV60" s="64"/>
      <c r="JAW60" s="64"/>
      <c r="JAX60" s="64"/>
      <c r="JAY60" s="64"/>
      <c r="JAZ60" s="64"/>
      <c r="JBA60" s="64"/>
      <c r="JBB60" s="64"/>
      <c r="JBC60" s="64"/>
      <c r="JBD60" s="64"/>
      <c r="JBE60" s="64"/>
      <c r="JBF60" s="64"/>
      <c r="JBG60" s="64"/>
      <c r="JBH60" s="64"/>
      <c r="JBI60" s="64"/>
      <c r="JBJ60" s="64"/>
      <c r="JBK60" s="64"/>
      <c r="JBL60" s="64"/>
      <c r="JBM60" s="64"/>
      <c r="JBN60" s="64"/>
      <c r="JBO60" s="64"/>
      <c r="JBP60" s="64"/>
      <c r="JBQ60" s="64"/>
      <c r="JBR60" s="64"/>
      <c r="JBS60" s="64"/>
      <c r="JBT60" s="64"/>
      <c r="JBU60" s="64"/>
      <c r="JBV60" s="64"/>
      <c r="JBW60" s="64"/>
      <c r="JBX60" s="64"/>
      <c r="JBY60" s="64"/>
      <c r="JBZ60" s="64"/>
      <c r="JCA60" s="64"/>
      <c r="JCB60" s="64"/>
      <c r="JCC60" s="64"/>
      <c r="JCD60" s="64"/>
      <c r="JCE60" s="64"/>
      <c r="JCF60" s="64"/>
      <c r="JCG60" s="64"/>
      <c r="JCH60" s="64"/>
      <c r="JCI60" s="64"/>
      <c r="JCJ60" s="64"/>
      <c r="JCK60" s="64"/>
      <c r="JCL60" s="64"/>
      <c r="JCM60" s="64"/>
      <c r="JCN60" s="64"/>
      <c r="JCO60" s="64"/>
      <c r="JCP60" s="64"/>
      <c r="JCQ60" s="64"/>
      <c r="JCR60" s="64"/>
      <c r="JCS60" s="64"/>
      <c r="JCT60" s="64"/>
      <c r="JCU60" s="64"/>
      <c r="JCV60" s="64"/>
      <c r="JCW60" s="64"/>
      <c r="JCX60" s="64"/>
      <c r="JCY60" s="64"/>
      <c r="JCZ60" s="64"/>
      <c r="JDA60" s="64"/>
      <c r="JDB60" s="64"/>
      <c r="JDC60" s="64"/>
      <c r="JDD60" s="64"/>
      <c r="JDE60" s="64"/>
      <c r="JDF60" s="64"/>
      <c r="JDG60" s="64"/>
      <c r="JDH60" s="64"/>
      <c r="JDI60" s="64"/>
      <c r="JDJ60" s="64"/>
      <c r="JDK60" s="64"/>
      <c r="JDL60" s="64"/>
      <c r="JDM60" s="64"/>
      <c r="JDN60" s="64"/>
      <c r="JDO60" s="64"/>
      <c r="JDP60" s="64"/>
      <c r="JDQ60" s="64"/>
      <c r="JDR60" s="64"/>
      <c r="JDS60" s="64"/>
      <c r="JDT60" s="64"/>
      <c r="JDU60" s="64"/>
      <c r="JDV60" s="64"/>
      <c r="JDW60" s="64"/>
      <c r="JDX60" s="64"/>
      <c r="JDY60" s="64"/>
      <c r="JDZ60" s="64"/>
      <c r="JEA60" s="64"/>
      <c r="JEB60" s="64"/>
      <c r="JEC60" s="64"/>
      <c r="JED60" s="64"/>
      <c r="JEE60" s="64"/>
      <c r="JEF60" s="64"/>
      <c r="JEG60" s="64"/>
      <c r="JEH60" s="64"/>
      <c r="JEI60" s="64"/>
      <c r="JEJ60" s="64"/>
      <c r="JEK60" s="64"/>
      <c r="JEL60" s="64"/>
      <c r="JEM60" s="64"/>
      <c r="JEN60" s="64"/>
      <c r="JEO60" s="64"/>
      <c r="JEP60" s="64"/>
      <c r="JEQ60" s="64"/>
      <c r="JER60" s="64"/>
      <c r="JES60" s="64"/>
      <c r="JET60" s="64"/>
      <c r="JEU60" s="64"/>
      <c r="JEV60" s="64"/>
      <c r="JEW60" s="64"/>
      <c r="JEX60" s="64"/>
      <c r="JEY60" s="64"/>
      <c r="JEZ60" s="64"/>
      <c r="JFA60" s="64"/>
      <c r="JFB60" s="64"/>
      <c r="JFC60" s="64"/>
      <c r="JFD60" s="64"/>
      <c r="JFE60" s="64"/>
      <c r="JFF60" s="64"/>
      <c r="JFG60" s="64"/>
      <c r="JFH60" s="64"/>
      <c r="JFI60" s="64"/>
      <c r="JFJ60" s="64"/>
      <c r="JFK60" s="64"/>
      <c r="JFL60" s="64"/>
      <c r="JFM60" s="64"/>
      <c r="JFN60" s="64"/>
      <c r="JFO60" s="64"/>
      <c r="JFP60" s="64"/>
      <c r="JFQ60" s="64"/>
      <c r="JFR60" s="64"/>
      <c r="JFS60" s="64"/>
      <c r="JFT60" s="64"/>
      <c r="JFU60" s="64"/>
      <c r="JFV60" s="64"/>
      <c r="JFW60" s="64"/>
      <c r="JFX60" s="64"/>
      <c r="JFY60" s="64"/>
      <c r="JFZ60" s="64"/>
      <c r="JGA60" s="64"/>
      <c r="JGB60" s="64"/>
      <c r="JGC60" s="64"/>
      <c r="JGD60" s="64"/>
      <c r="JGE60" s="64"/>
      <c r="JGF60" s="64"/>
      <c r="JGG60" s="64"/>
      <c r="JGH60" s="64"/>
      <c r="JGI60" s="64"/>
      <c r="JGJ60" s="64"/>
      <c r="JGK60" s="64"/>
      <c r="JGL60" s="64"/>
      <c r="JGM60" s="64"/>
      <c r="JGN60" s="64"/>
      <c r="JGO60" s="64"/>
      <c r="JGP60" s="64"/>
      <c r="JGQ60" s="64"/>
      <c r="JGR60" s="64"/>
      <c r="JGS60" s="64"/>
      <c r="JGT60" s="64"/>
      <c r="JGU60" s="64"/>
      <c r="JGV60" s="64"/>
      <c r="JGW60" s="64"/>
      <c r="JGX60" s="64"/>
      <c r="JGY60" s="64"/>
      <c r="JGZ60" s="64"/>
      <c r="JHA60" s="64"/>
      <c r="JHB60" s="64"/>
      <c r="JHC60" s="64"/>
      <c r="JHD60" s="64"/>
      <c r="JHE60" s="64"/>
      <c r="JHF60" s="64"/>
      <c r="JHG60" s="64"/>
      <c r="JHH60" s="64"/>
      <c r="JHI60" s="64"/>
      <c r="JHJ60" s="64"/>
      <c r="JHK60" s="64"/>
      <c r="JHL60" s="64"/>
      <c r="JHM60" s="64"/>
      <c r="JHN60" s="64"/>
      <c r="JHO60" s="64"/>
      <c r="JHP60" s="64"/>
      <c r="JHQ60" s="64"/>
      <c r="JHR60" s="64"/>
      <c r="JHS60" s="64"/>
      <c r="JHT60" s="64"/>
      <c r="JHU60" s="64"/>
      <c r="JHV60" s="64"/>
      <c r="JHW60" s="64"/>
      <c r="JHX60" s="64"/>
      <c r="JHY60" s="64"/>
      <c r="JHZ60" s="64"/>
      <c r="JIA60" s="64"/>
      <c r="JIB60" s="64"/>
      <c r="JIC60" s="64"/>
      <c r="JID60" s="64"/>
      <c r="JIE60" s="64"/>
      <c r="JIF60" s="64"/>
      <c r="JIG60" s="64"/>
      <c r="JIH60" s="64"/>
      <c r="JII60" s="64"/>
      <c r="JIJ60" s="64"/>
      <c r="JIK60" s="64"/>
      <c r="JIL60" s="64"/>
      <c r="JIM60" s="64"/>
      <c r="JIN60" s="64"/>
      <c r="JIO60" s="64"/>
      <c r="JIP60" s="64"/>
      <c r="JIQ60" s="64"/>
      <c r="JIR60" s="64"/>
      <c r="JIS60" s="64"/>
      <c r="JIT60" s="64"/>
      <c r="JIU60" s="64"/>
      <c r="JIV60" s="64"/>
      <c r="JIW60" s="64"/>
      <c r="JIX60" s="64"/>
      <c r="JIY60" s="64"/>
      <c r="JIZ60" s="64"/>
      <c r="JJA60" s="64"/>
      <c r="JJB60" s="64"/>
      <c r="JJC60" s="64"/>
      <c r="JJD60" s="64"/>
      <c r="JJE60" s="64"/>
      <c r="JJF60" s="64"/>
      <c r="JJG60" s="64"/>
      <c r="JJH60" s="64"/>
      <c r="JJI60" s="64"/>
      <c r="JJJ60" s="64"/>
      <c r="JJK60" s="64"/>
      <c r="JJL60" s="64"/>
      <c r="JJM60" s="64"/>
      <c r="JJN60" s="64"/>
      <c r="JJO60" s="64"/>
      <c r="JJP60" s="64"/>
      <c r="JJQ60" s="64"/>
      <c r="JJR60" s="64"/>
      <c r="JJS60" s="64"/>
      <c r="JJT60" s="64"/>
      <c r="JJU60" s="64"/>
      <c r="JJV60" s="64"/>
      <c r="JJW60" s="64"/>
      <c r="JJX60" s="64"/>
      <c r="JJY60" s="64"/>
      <c r="JJZ60" s="64"/>
      <c r="JKA60" s="64"/>
      <c r="JKB60" s="64"/>
      <c r="JKC60" s="64"/>
      <c r="JKD60" s="64"/>
      <c r="JKE60" s="64"/>
      <c r="JKF60" s="64"/>
      <c r="JKG60" s="64"/>
      <c r="JKH60" s="64"/>
      <c r="JKI60" s="64"/>
      <c r="JKJ60" s="64"/>
      <c r="JKK60" s="64"/>
      <c r="JKL60" s="64"/>
      <c r="JKM60" s="64"/>
      <c r="JKN60" s="64"/>
      <c r="JKO60" s="64"/>
      <c r="JKP60" s="64"/>
      <c r="JKQ60" s="64"/>
      <c r="JKR60" s="64"/>
      <c r="JKS60" s="64"/>
      <c r="JKT60" s="64"/>
      <c r="JKU60" s="64"/>
      <c r="JKV60" s="64"/>
      <c r="JKW60" s="64"/>
      <c r="JKX60" s="64"/>
      <c r="JKY60" s="64"/>
      <c r="JKZ60" s="64"/>
      <c r="JLA60" s="64"/>
      <c r="JLB60" s="64"/>
      <c r="JLC60" s="64"/>
      <c r="JLD60" s="64"/>
      <c r="JLE60" s="64"/>
      <c r="JLF60" s="64"/>
      <c r="JLG60" s="64"/>
      <c r="JLH60" s="64"/>
      <c r="JLI60" s="64"/>
      <c r="JLJ60" s="64"/>
      <c r="JLK60" s="64"/>
      <c r="JLL60" s="64"/>
      <c r="JLM60" s="64"/>
      <c r="JLN60" s="64"/>
      <c r="JLO60" s="64"/>
      <c r="JLP60" s="64"/>
      <c r="JLQ60" s="64"/>
      <c r="JLR60" s="64"/>
      <c r="JLS60" s="64"/>
      <c r="JLT60" s="64"/>
      <c r="JLU60" s="64"/>
      <c r="JLV60" s="64"/>
      <c r="JLW60" s="64"/>
      <c r="JLX60" s="64"/>
      <c r="JLY60" s="64"/>
      <c r="JLZ60" s="64"/>
      <c r="JMA60" s="64"/>
      <c r="JMB60" s="64"/>
      <c r="JMC60" s="64"/>
      <c r="JMD60" s="64"/>
      <c r="JME60" s="64"/>
      <c r="JMF60" s="64"/>
      <c r="JMG60" s="64"/>
      <c r="JMH60" s="64"/>
      <c r="JMI60" s="64"/>
      <c r="JMJ60" s="64"/>
      <c r="JMK60" s="64"/>
      <c r="JML60" s="64"/>
      <c r="JMM60" s="64"/>
      <c r="JMN60" s="64"/>
      <c r="JMO60" s="64"/>
      <c r="JMP60" s="64"/>
      <c r="JMQ60" s="64"/>
      <c r="JMR60" s="64"/>
      <c r="JMS60" s="64"/>
      <c r="JMT60" s="64"/>
      <c r="JMU60" s="64"/>
      <c r="JMV60" s="64"/>
      <c r="JMW60" s="64"/>
      <c r="JMX60" s="64"/>
      <c r="JMY60" s="64"/>
      <c r="JMZ60" s="64"/>
      <c r="JNA60" s="64"/>
      <c r="JNB60" s="64"/>
      <c r="JNC60" s="64"/>
      <c r="JND60" s="64"/>
      <c r="JNE60" s="64"/>
      <c r="JNF60" s="64"/>
      <c r="JNG60" s="64"/>
      <c r="JNH60" s="64"/>
      <c r="JNI60" s="64"/>
      <c r="JNJ60" s="64"/>
      <c r="JNK60" s="64"/>
      <c r="JNL60" s="64"/>
      <c r="JNM60" s="64"/>
      <c r="JNN60" s="64"/>
      <c r="JNO60" s="64"/>
      <c r="JNP60" s="64"/>
      <c r="JNQ60" s="64"/>
      <c r="JNR60" s="64"/>
      <c r="JNS60" s="64"/>
      <c r="JNT60" s="64"/>
      <c r="JNU60" s="64"/>
      <c r="JNV60" s="64"/>
      <c r="JNW60" s="64"/>
      <c r="JNX60" s="64"/>
      <c r="JNY60" s="64"/>
      <c r="JNZ60" s="64"/>
      <c r="JOA60" s="64"/>
      <c r="JOB60" s="64"/>
      <c r="JOC60" s="64"/>
      <c r="JOD60" s="64"/>
      <c r="JOE60" s="64"/>
      <c r="JOF60" s="64"/>
      <c r="JOG60" s="64"/>
      <c r="JOH60" s="64"/>
      <c r="JOI60" s="64"/>
      <c r="JOJ60" s="64"/>
      <c r="JOK60" s="64"/>
      <c r="JOL60" s="64"/>
      <c r="JOM60" s="64"/>
      <c r="JON60" s="64"/>
      <c r="JOO60" s="64"/>
      <c r="JOP60" s="64"/>
      <c r="JOQ60" s="64"/>
      <c r="JOR60" s="64"/>
      <c r="JOS60" s="64"/>
      <c r="JOT60" s="64"/>
      <c r="JOU60" s="64"/>
      <c r="JOV60" s="64"/>
      <c r="JOW60" s="64"/>
      <c r="JOX60" s="64"/>
      <c r="JOY60" s="64"/>
      <c r="JOZ60" s="64"/>
      <c r="JPA60" s="64"/>
      <c r="JPB60" s="64"/>
      <c r="JPC60" s="64"/>
      <c r="JPD60" s="64"/>
      <c r="JPE60" s="64"/>
      <c r="JPF60" s="64"/>
      <c r="JPG60" s="64"/>
      <c r="JPH60" s="64"/>
      <c r="JPI60" s="64"/>
      <c r="JPJ60" s="64"/>
      <c r="JPK60" s="64"/>
      <c r="JPL60" s="64"/>
      <c r="JPM60" s="64"/>
      <c r="JPN60" s="64"/>
      <c r="JPO60" s="64"/>
      <c r="JPP60" s="64"/>
      <c r="JPQ60" s="64"/>
      <c r="JPR60" s="64"/>
      <c r="JPS60" s="64"/>
      <c r="JPT60" s="64"/>
      <c r="JPU60" s="64"/>
      <c r="JPV60" s="64"/>
      <c r="JPW60" s="64"/>
      <c r="JPX60" s="64"/>
      <c r="JPY60" s="64"/>
      <c r="JPZ60" s="64"/>
      <c r="JQA60" s="64"/>
      <c r="JQB60" s="64"/>
      <c r="JQC60" s="64"/>
      <c r="JQD60" s="64"/>
      <c r="JQE60" s="64"/>
      <c r="JQF60" s="64"/>
      <c r="JQG60" s="64"/>
      <c r="JQH60" s="64"/>
      <c r="JQI60" s="64"/>
      <c r="JQJ60" s="64"/>
      <c r="JQK60" s="64"/>
      <c r="JQL60" s="64"/>
      <c r="JQM60" s="64"/>
      <c r="JQN60" s="64"/>
      <c r="JQO60" s="64"/>
      <c r="JQP60" s="64"/>
      <c r="JQQ60" s="64"/>
      <c r="JQR60" s="64"/>
      <c r="JQS60" s="64"/>
      <c r="JQT60" s="64"/>
      <c r="JQU60" s="64"/>
      <c r="JQV60" s="64"/>
      <c r="JQW60" s="64"/>
      <c r="JQX60" s="64"/>
      <c r="JQY60" s="64"/>
      <c r="JQZ60" s="64"/>
      <c r="JRA60" s="64"/>
      <c r="JRB60" s="64"/>
      <c r="JRC60" s="64"/>
      <c r="JRD60" s="64"/>
      <c r="JRE60" s="64"/>
      <c r="JRF60" s="64"/>
      <c r="JRG60" s="64"/>
      <c r="JRH60" s="64"/>
      <c r="JRI60" s="64"/>
      <c r="JRJ60" s="64"/>
      <c r="JRK60" s="64"/>
      <c r="JRL60" s="64"/>
      <c r="JRM60" s="64"/>
      <c r="JRN60" s="64"/>
      <c r="JRO60" s="64"/>
      <c r="JRP60" s="64"/>
      <c r="JRQ60" s="64"/>
      <c r="JRR60" s="64"/>
      <c r="JRS60" s="64"/>
      <c r="JRT60" s="64"/>
      <c r="JRU60" s="64"/>
      <c r="JRV60" s="64"/>
      <c r="JRW60" s="64"/>
      <c r="JRX60" s="64"/>
      <c r="JRY60" s="64"/>
      <c r="JRZ60" s="64"/>
      <c r="JSA60" s="64"/>
      <c r="JSB60" s="64"/>
      <c r="JSC60" s="64"/>
      <c r="JSD60" s="64"/>
      <c r="JSE60" s="64"/>
      <c r="JSF60" s="64"/>
      <c r="JSG60" s="64"/>
      <c r="JSH60" s="64"/>
      <c r="JSI60" s="64"/>
      <c r="JSJ60" s="64"/>
      <c r="JSK60" s="64"/>
      <c r="JSL60" s="64"/>
      <c r="JSM60" s="64"/>
      <c r="JSN60" s="64"/>
      <c r="JSO60" s="64"/>
      <c r="JSP60" s="64"/>
      <c r="JSQ60" s="64"/>
      <c r="JSR60" s="64"/>
      <c r="JSS60" s="64"/>
      <c r="JST60" s="64"/>
      <c r="JSU60" s="64"/>
      <c r="JSV60" s="64"/>
      <c r="JSW60" s="64"/>
      <c r="JSX60" s="64"/>
      <c r="JSY60" s="64"/>
      <c r="JSZ60" s="64"/>
      <c r="JTA60" s="64"/>
      <c r="JTB60" s="64"/>
      <c r="JTC60" s="64"/>
      <c r="JTD60" s="64"/>
      <c r="JTE60" s="64"/>
      <c r="JTF60" s="64"/>
      <c r="JTG60" s="64"/>
      <c r="JTH60" s="64"/>
      <c r="JTI60" s="64"/>
      <c r="JTJ60" s="64"/>
      <c r="JTK60" s="64"/>
      <c r="JTL60" s="64"/>
      <c r="JTM60" s="64"/>
      <c r="JTN60" s="64"/>
      <c r="JTO60" s="64"/>
      <c r="JTP60" s="64"/>
      <c r="JTQ60" s="64"/>
      <c r="JTR60" s="64"/>
      <c r="JTS60" s="64"/>
      <c r="JTT60" s="64"/>
      <c r="JTU60" s="64"/>
      <c r="JTV60" s="64"/>
      <c r="JTW60" s="64"/>
      <c r="JTX60" s="64"/>
      <c r="JTY60" s="64"/>
      <c r="JTZ60" s="64"/>
      <c r="JUA60" s="64"/>
      <c r="JUB60" s="64"/>
      <c r="JUC60" s="64"/>
      <c r="JUD60" s="64"/>
      <c r="JUE60" s="64"/>
      <c r="JUF60" s="64"/>
      <c r="JUG60" s="64"/>
      <c r="JUH60" s="64"/>
      <c r="JUI60" s="64"/>
      <c r="JUJ60" s="64"/>
      <c r="JUK60" s="64"/>
      <c r="JUL60" s="64"/>
      <c r="JUM60" s="64"/>
      <c r="JUN60" s="64"/>
      <c r="JUO60" s="64"/>
      <c r="JUP60" s="64"/>
      <c r="JUQ60" s="64"/>
      <c r="JUR60" s="64"/>
      <c r="JUS60" s="64"/>
      <c r="JUT60" s="64"/>
      <c r="JUU60" s="64"/>
      <c r="JUV60" s="64"/>
      <c r="JUW60" s="64"/>
      <c r="JUX60" s="64"/>
      <c r="JUY60" s="64"/>
      <c r="JUZ60" s="64"/>
      <c r="JVA60" s="64"/>
      <c r="JVB60" s="64"/>
      <c r="JVC60" s="64"/>
      <c r="JVD60" s="64"/>
      <c r="JVE60" s="64"/>
      <c r="JVF60" s="64"/>
      <c r="JVG60" s="64"/>
      <c r="JVH60" s="64"/>
      <c r="JVI60" s="64"/>
      <c r="JVJ60" s="64"/>
      <c r="JVK60" s="64"/>
      <c r="JVL60" s="64"/>
      <c r="JVM60" s="64"/>
      <c r="JVN60" s="64"/>
      <c r="JVO60" s="64"/>
      <c r="JVP60" s="64"/>
      <c r="JVQ60" s="64"/>
      <c r="JVR60" s="64"/>
      <c r="JVS60" s="64"/>
      <c r="JVT60" s="64"/>
      <c r="JVU60" s="64"/>
      <c r="JVV60" s="64"/>
      <c r="JVW60" s="64"/>
      <c r="JVX60" s="64"/>
      <c r="JVY60" s="64"/>
      <c r="JVZ60" s="64"/>
      <c r="JWA60" s="64"/>
      <c r="JWB60" s="64"/>
      <c r="JWC60" s="64"/>
      <c r="JWD60" s="64"/>
      <c r="JWE60" s="64"/>
      <c r="JWF60" s="64"/>
      <c r="JWG60" s="64"/>
      <c r="JWH60" s="64"/>
      <c r="JWI60" s="64"/>
      <c r="JWJ60" s="64"/>
      <c r="JWK60" s="64"/>
      <c r="JWL60" s="64"/>
      <c r="JWM60" s="64"/>
      <c r="JWN60" s="64"/>
      <c r="JWO60" s="64"/>
      <c r="JWP60" s="64"/>
      <c r="JWQ60" s="64"/>
      <c r="JWR60" s="64"/>
      <c r="JWS60" s="64"/>
      <c r="JWT60" s="64"/>
      <c r="JWU60" s="64"/>
      <c r="JWV60" s="64"/>
      <c r="JWW60" s="64"/>
      <c r="JWX60" s="64"/>
      <c r="JWY60" s="64"/>
      <c r="JWZ60" s="64"/>
      <c r="JXA60" s="64"/>
      <c r="JXB60" s="64"/>
      <c r="JXC60" s="64"/>
      <c r="JXD60" s="64"/>
      <c r="JXE60" s="64"/>
      <c r="JXF60" s="64"/>
      <c r="JXG60" s="64"/>
      <c r="JXH60" s="64"/>
      <c r="JXI60" s="64"/>
      <c r="JXJ60" s="64"/>
      <c r="JXK60" s="64"/>
      <c r="JXL60" s="64"/>
      <c r="JXM60" s="64"/>
      <c r="JXN60" s="64"/>
      <c r="JXO60" s="64"/>
      <c r="JXP60" s="64"/>
      <c r="JXQ60" s="64"/>
      <c r="JXR60" s="64"/>
      <c r="JXS60" s="64"/>
      <c r="JXT60" s="64"/>
      <c r="JXU60" s="64"/>
      <c r="JXV60" s="64"/>
      <c r="JXW60" s="64"/>
      <c r="JXX60" s="64"/>
      <c r="JXY60" s="64"/>
      <c r="JXZ60" s="64"/>
      <c r="JYA60" s="64"/>
      <c r="JYB60" s="64"/>
      <c r="JYC60" s="64"/>
      <c r="JYD60" s="64"/>
      <c r="JYE60" s="64"/>
      <c r="JYF60" s="64"/>
      <c r="JYG60" s="64"/>
      <c r="JYH60" s="64"/>
      <c r="JYI60" s="64"/>
      <c r="JYJ60" s="64"/>
      <c r="JYK60" s="64"/>
      <c r="JYL60" s="64"/>
      <c r="JYM60" s="64"/>
      <c r="JYN60" s="64"/>
      <c r="JYO60" s="64"/>
      <c r="JYP60" s="64"/>
      <c r="JYQ60" s="64"/>
      <c r="JYR60" s="64"/>
      <c r="JYS60" s="64"/>
      <c r="JYT60" s="64"/>
      <c r="JYU60" s="64"/>
      <c r="JYV60" s="64"/>
      <c r="JYW60" s="64"/>
      <c r="JYX60" s="64"/>
      <c r="JYY60" s="64"/>
      <c r="JYZ60" s="64"/>
      <c r="JZA60" s="64"/>
      <c r="JZB60" s="64"/>
      <c r="JZC60" s="64"/>
      <c r="JZD60" s="64"/>
      <c r="JZE60" s="64"/>
      <c r="JZF60" s="64"/>
      <c r="JZG60" s="64"/>
      <c r="JZH60" s="64"/>
      <c r="JZI60" s="64"/>
      <c r="JZJ60" s="64"/>
      <c r="JZK60" s="64"/>
      <c r="JZL60" s="64"/>
      <c r="JZM60" s="64"/>
      <c r="JZN60" s="64"/>
      <c r="JZO60" s="64"/>
      <c r="JZP60" s="64"/>
      <c r="JZQ60" s="64"/>
      <c r="JZR60" s="64"/>
      <c r="JZS60" s="64"/>
      <c r="JZT60" s="64"/>
      <c r="JZU60" s="64"/>
      <c r="JZV60" s="64"/>
      <c r="JZW60" s="64"/>
      <c r="JZX60" s="64"/>
      <c r="JZY60" s="64"/>
      <c r="JZZ60" s="64"/>
      <c r="KAA60" s="64"/>
      <c r="KAB60" s="64"/>
      <c r="KAC60" s="64"/>
      <c r="KAD60" s="64"/>
      <c r="KAE60" s="64"/>
      <c r="KAF60" s="64"/>
      <c r="KAG60" s="64"/>
      <c r="KAH60" s="64"/>
      <c r="KAI60" s="64"/>
      <c r="KAJ60" s="64"/>
      <c r="KAK60" s="64"/>
      <c r="KAL60" s="64"/>
      <c r="KAM60" s="64"/>
      <c r="KAN60" s="64"/>
      <c r="KAO60" s="64"/>
      <c r="KAP60" s="64"/>
      <c r="KAQ60" s="64"/>
      <c r="KAR60" s="64"/>
      <c r="KAS60" s="64"/>
      <c r="KAT60" s="64"/>
      <c r="KAU60" s="64"/>
      <c r="KAV60" s="64"/>
      <c r="KAW60" s="64"/>
      <c r="KAX60" s="64"/>
      <c r="KAY60" s="64"/>
      <c r="KAZ60" s="64"/>
      <c r="KBA60" s="64"/>
      <c r="KBB60" s="64"/>
      <c r="KBC60" s="64"/>
      <c r="KBD60" s="64"/>
      <c r="KBE60" s="64"/>
      <c r="KBF60" s="64"/>
      <c r="KBG60" s="64"/>
      <c r="KBH60" s="64"/>
      <c r="KBI60" s="64"/>
      <c r="KBJ60" s="64"/>
      <c r="KBK60" s="64"/>
      <c r="KBL60" s="64"/>
      <c r="KBM60" s="64"/>
      <c r="KBN60" s="64"/>
      <c r="KBO60" s="64"/>
      <c r="KBP60" s="64"/>
      <c r="KBQ60" s="64"/>
      <c r="KBR60" s="64"/>
      <c r="KBS60" s="64"/>
      <c r="KBT60" s="64"/>
      <c r="KBU60" s="64"/>
      <c r="KBV60" s="64"/>
      <c r="KBW60" s="64"/>
      <c r="KBX60" s="64"/>
      <c r="KBY60" s="64"/>
      <c r="KBZ60" s="64"/>
      <c r="KCA60" s="64"/>
      <c r="KCB60" s="64"/>
      <c r="KCC60" s="64"/>
      <c r="KCD60" s="64"/>
      <c r="KCE60" s="64"/>
      <c r="KCF60" s="64"/>
      <c r="KCG60" s="64"/>
      <c r="KCH60" s="64"/>
      <c r="KCI60" s="64"/>
      <c r="KCJ60" s="64"/>
      <c r="KCK60" s="64"/>
      <c r="KCL60" s="64"/>
      <c r="KCM60" s="64"/>
      <c r="KCN60" s="64"/>
      <c r="KCO60" s="64"/>
      <c r="KCP60" s="64"/>
      <c r="KCQ60" s="64"/>
      <c r="KCR60" s="64"/>
      <c r="KCS60" s="64"/>
      <c r="KCT60" s="64"/>
      <c r="KCU60" s="64"/>
      <c r="KCV60" s="64"/>
      <c r="KCW60" s="64"/>
      <c r="KCX60" s="64"/>
      <c r="KCY60" s="64"/>
      <c r="KCZ60" s="64"/>
      <c r="KDA60" s="64"/>
      <c r="KDB60" s="64"/>
      <c r="KDC60" s="64"/>
      <c r="KDD60" s="64"/>
      <c r="KDE60" s="64"/>
      <c r="KDF60" s="64"/>
      <c r="KDG60" s="64"/>
      <c r="KDH60" s="64"/>
      <c r="KDI60" s="64"/>
      <c r="KDJ60" s="64"/>
      <c r="KDK60" s="64"/>
      <c r="KDL60" s="64"/>
      <c r="KDM60" s="64"/>
      <c r="KDN60" s="64"/>
      <c r="KDO60" s="64"/>
      <c r="KDP60" s="64"/>
      <c r="KDQ60" s="64"/>
      <c r="KDR60" s="64"/>
      <c r="KDS60" s="64"/>
      <c r="KDT60" s="64"/>
      <c r="KDU60" s="64"/>
      <c r="KDV60" s="64"/>
      <c r="KDW60" s="64"/>
      <c r="KDX60" s="64"/>
      <c r="KDY60" s="64"/>
      <c r="KDZ60" s="64"/>
      <c r="KEA60" s="64"/>
      <c r="KEB60" s="64"/>
      <c r="KEC60" s="64"/>
      <c r="KED60" s="64"/>
      <c r="KEE60" s="64"/>
      <c r="KEF60" s="64"/>
      <c r="KEG60" s="64"/>
      <c r="KEH60" s="64"/>
      <c r="KEI60" s="64"/>
      <c r="KEJ60" s="64"/>
      <c r="KEK60" s="64"/>
      <c r="KEL60" s="64"/>
      <c r="KEM60" s="64"/>
      <c r="KEN60" s="64"/>
      <c r="KEO60" s="64"/>
      <c r="KEP60" s="64"/>
      <c r="KEQ60" s="64"/>
      <c r="KER60" s="64"/>
      <c r="KES60" s="64"/>
      <c r="KET60" s="64"/>
      <c r="KEU60" s="64"/>
      <c r="KEV60" s="64"/>
      <c r="KEW60" s="64"/>
      <c r="KEX60" s="64"/>
      <c r="KEY60" s="64"/>
      <c r="KEZ60" s="64"/>
      <c r="KFA60" s="64"/>
      <c r="KFB60" s="64"/>
      <c r="KFC60" s="64"/>
      <c r="KFD60" s="64"/>
      <c r="KFE60" s="64"/>
      <c r="KFF60" s="64"/>
      <c r="KFG60" s="64"/>
      <c r="KFH60" s="64"/>
      <c r="KFI60" s="64"/>
      <c r="KFJ60" s="64"/>
      <c r="KFK60" s="64"/>
      <c r="KFL60" s="64"/>
      <c r="KFM60" s="64"/>
      <c r="KFN60" s="64"/>
      <c r="KFO60" s="64"/>
      <c r="KFP60" s="64"/>
      <c r="KFQ60" s="64"/>
      <c r="KFR60" s="64"/>
      <c r="KFS60" s="64"/>
      <c r="KFT60" s="64"/>
      <c r="KFU60" s="64"/>
      <c r="KFV60" s="64"/>
      <c r="KFW60" s="64"/>
      <c r="KFX60" s="64"/>
      <c r="KFY60" s="64"/>
      <c r="KFZ60" s="64"/>
      <c r="KGA60" s="64"/>
      <c r="KGB60" s="64"/>
      <c r="KGC60" s="64"/>
      <c r="KGD60" s="64"/>
      <c r="KGE60" s="64"/>
      <c r="KGF60" s="64"/>
      <c r="KGG60" s="64"/>
      <c r="KGH60" s="64"/>
      <c r="KGI60" s="64"/>
      <c r="KGJ60" s="64"/>
      <c r="KGK60" s="64"/>
      <c r="KGL60" s="64"/>
      <c r="KGM60" s="64"/>
      <c r="KGN60" s="64"/>
      <c r="KGO60" s="64"/>
      <c r="KGP60" s="64"/>
      <c r="KGQ60" s="64"/>
      <c r="KGR60" s="64"/>
      <c r="KGS60" s="64"/>
      <c r="KGT60" s="64"/>
      <c r="KGU60" s="64"/>
      <c r="KGV60" s="64"/>
      <c r="KGW60" s="64"/>
      <c r="KGX60" s="64"/>
      <c r="KGY60" s="64"/>
      <c r="KGZ60" s="64"/>
      <c r="KHA60" s="64"/>
      <c r="KHB60" s="64"/>
      <c r="KHC60" s="64"/>
      <c r="KHD60" s="64"/>
      <c r="KHE60" s="64"/>
      <c r="KHF60" s="64"/>
      <c r="KHG60" s="64"/>
      <c r="KHH60" s="64"/>
      <c r="KHI60" s="64"/>
      <c r="KHJ60" s="64"/>
      <c r="KHK60" s="64"/>
      <c r="KHL60" s="64"/>
      <c r="KHM60" s="64"/>
      <c r="KHN60" s="64"/>
      <c r="KHO60" s="64"/>
      <c r="KHP60" s="64"/>
      <c r="KHQ60" s="64"/>
      <c r="KHR60" s="64"/>
      <c r="KHS60" s="64"/>
      <c r="KHT60" s="64"/>
      <c r="KHU60" s="64"/>
      <c r="KHV60" s="64"/>
      <c r="KHW60" s="64"/>
      <c r="KHX60" s="64"/>
      <c r="KHY60" s="64"/>
      <c r="KHZ60" s="64"/>
      <c r="KIA60" s="64"/>
      <c r="KIB60" s="64"/>
      <c r="KIC60" s="64"/>
      <c r="KID60" s="64"/>
      <c r="KIE60" s="64"/>
      <c r="KIF60" s="64"/>
      <c r="KIG60" s="64"/>
      <c r="KIH60" s="64"/>
      <c r="KII60" s="64"/>
      <c r="KIJ60" s="64"/>
      <c r="KIK60" s="64"/>
      <c r="KIL60" s="64"/>
      <c r="KIM60" s="64"/>
      <c r="KIN60" s="64"/>
      <c r="KIO60" s="64"/>
      <c r="KIP60" s="64"/>
      <c r="KIQ60" s="64"/>
      <c r="KIR60" s="64"/>
      <c r="KIS60" s="64"/>
      <c r="KIT60" s="64"/>
      <c r="KIU60" s="64"/>
      <c r="KIV60" s="64"/>
      <c r="KIW60" s="64"/>
      <c r="KIX60" s="64"/>
      <c r="KIY60" s="64"/>
      <c r="KIZ60" s="64"/>
      <c r="KJA60" s="64"/>
      <c r="KJB60" s="64"/>
      <c r="KJC60" s="64"/>
      <c r="KJD60" s="64"/>
      <c r="KJE60" s="64"/>
      <c r="KJF60" s="64"/>
      <c r="KJG60" s="64"/>
      <c r="KJH60" s="64"/>
      <c r="KJI60" s="64"/>
      <c r="KJJ60" s="64"/>
      <c r="KJK60" s="64"/>
      <c r="KJL60" s="64"/>
      <c r="KJM60" s="64"/>
      <c r="KJN60" s="64"/>
      <c r="KJO60" s="64"/>
      <c r="KJP60" s="64"/>
      <c r="KJQ60" s="64"/>
      <c r="KJR60" s="64"/>
      <c r="KJS60" s="64"/>
      <c r="KJT60" s="64"/>
      <c r="KJU60" s="64"/>
      <c r="KJV60" s="64"/>
      <c r="KJW60" s="64"/>
      <c r="KJX60" s="64"/>
      <c r="KJY60" s="64"/>
      <c r="KJZ60" s="64"/>
      <c r="KKA60" s="64"/>
      <c r="KKB60" s="64"/>
      <c r="KKC60" s="64"/>
      <c r="KKD60" s="64"/>
      <c r="KKE60" s="64"/>
      <c r="KKF60" s="64"/>
      <c r="KKG60" s="64"/>
      <c r="KKH60" s="64"/>
      <c r="KKI60" s="64"/>
      <c r="KKJ60" s="64"/>
      <c r="KKK60" s="64"/>
      <c r="KKL60" s="64"/>
      <c r="KKM60" s="64"/>
      <c r="KKN60" s="64"/>
      <c r="KKO60" s="64"/>
      <c r="KKP60" s="64"/>
      <c r="KKQ60" s="64"/>
      <c r="KKR60" s="64"/>
      <c r="KKS60" s="64"/>
      <c r="KKT60" s="64"/>
      <c r="KKU60" s="64"/>
      <c r="KKV60" s="64"/>
      <c r="KKW60" s="64"/>
      <c r="KKX60" s="64"/>
      <c r="KKY60" s="64"/>
      <c r="KKZ60" s="64"/>
      <c r="KLA60" s="64"/>
      <c r="KLB60" s="64"/>
      <c r="KLC60" s="64"/>
      <c r="KLD60" s="64"/>
      <c r="KLE60" s="64"/>
      <c r="KLF60" s="64"/>
      <c r="KLG60" s="64"/>
      <c r="KLH60" s="64"/>
      <c r="KLI60" s="64"/>
      <c r="KLJ60" s="64"/>
      <c r="KLK60" s="64"/>
      <c r="KLL60" s="64"/>
      <c r="KLM60" s="64"/>
      <c r="KLN60" s="64"/>
      <c r="KLO60" s="64"/>
      <c r="KLP60" s="64"/>
      <c r="KLQ60" s="64"/>
      <c r="KLR60" s="64"/>
      <c r="KLS60" s="64"/>
      <c r="KLT60" s="64"/>
      <c r="KLU60" s="64"/>
      <c r="KLV60" s="64"/>
      <c r="KLW60" s="64"/>
      <c r="KLX60" s="64"/>
      <c r="KLY60" s="64"/>
      <c r="KLZ60" s="64"/>
      <c r="KMA60" s="64"/>
      <c r="KMB60" s="64"/>
      <c r="KMC60" s="64"/>
      <c r="KMD60" s="64"/>
      <c r="KME60" s="64"/>
      <c r="KMF60" s="64"/>
      <c r="KMG60" s="64"/>
      <c r="KMH60" s="64"/>
      <c r="KMI60" s="64"/>
      <c r="KMJ60" s="64"/>
      <c r="KMK60" s="64"/>
      <c r="KML60" s="64"/>
      <c r="KMM60" s="64"/>
      <c r="KMN60" s="64"/>
      <c r="KMO60" s="64"/>
      <c r="KMP60" s="64"/>
      <c r="KMQ60" s="64"/>
      <c r="KMR60" s="64"/>
      <c r="KMS60" s="64"/>
      <c r="KMT60" s="64"/>
      <c r="KMU60" s="64"/>
      <c r="KMV60" s="64"/>
      <c r="KMW60" s="64"/>
      <c r="KMX60" s="64"/>
      <c r="KMY60" s="64"/>
      <c r="KMZ60" s="64"/>
      <c r="KNA60" s="64"/>
      <c r="KNB60" s="64"/>
      <c r="KNC60" s="64"/>
      <c r="KND60" s="64"/>
      <c r="KNE60" s="64"/>
      <c r="KNF60" s="64"/>
      <c r="KNG60" s="64"/>
      <c r="KNH60" s="64"/>
      <c r="KNI60" s="64"/>
      <c r="KNJ60" s="64"/>
      <c r="KNK60" s="64"/>
      <c r="KNL60" s="64"/>
      <c r="KNM60" s="64"/>
      <c r="KNN60" s="64"/>
      <c r="KNO60" s="64"/>
      <c r="KNP60" s="64"/>
      <c r="KNQ60" s="64"/>
      <c r="KNR60" s="64"/>
      <c r="KNS60" s="64"/>
      <c r="KNT60" s="64"/>
      <c r="KNU60" s="64"/>
      <c r="KNV60" s="64"/>
      <c r="KNW60" s="64"/>
      <c r="KNX60" s="64"/>
      <c r="KNY60" s="64"/>
      <c r="KNZ60" s="64"/>
      <c r="KOA60" s="64"/>
      <c r="KOB60" s="64"/>
      <c r="KOC60" s="64"/>
      <c r="KOD60" s="64"/>
      <c r="KOE60" s="64"/>
      <c r="KOF60" s="64"/>
      <c r="KOG60" s="64"/>
      <c r="KOH60" s="64"/>
      <c r="KOI60" s="64"/>
      <c r="KOJ60" s="64"/>
      <c r="KOK60" s="64"/>
      <c r="KOL60" s="64"/>
      <c r="KOM60" s="64"/>
      <c r="KON60" s="64"/>
      <c r="KOO60" s="64"/>
      <c r="KOP60" s="64"/>
      <c r="KOQ60" s="64"/>
      <c r="KOR60" s="64"/>
      <c r="KOS60" s="64"/>
      <c r="KOT60" s="64"/>
      <c r="KOU60" s="64"/>
      <c r="KOV60" s="64"/>
      <c r="KOW60" s="64"/>
      <c r="KOX60" s="64"/>
      <c r="KOY60" s="64"/>
      <c r="KOZ60" s="64"/>
      <c r="KPA60" s="64"/>
      <c r="KPB60" s="64"/>
      <c r="KPC60" s="64"/>
      <c r="KPD60" s="64"/>
      <c r="KPE60" s="64"/>
      <c r="KPF60" s="64"/>
      <c r="KPG60" s="64"/>
      <c r="KPH60" s="64"/>
      <c r="KPI60" s="64"/>
      <c r="KPJ60" s="64"/>
      <c r="KPK60" s="64"/>
      <c r="KPL60" s="64"/>
      <c r="KPM60" s="64"/>
      <c r="KPN60" s="64"/>
      <c r="KPO60" s="64"/>
      <c r="KPP60" s="64"/>
      <c r="KPQ60" s="64"/>
      <c r="KPR60" s="64"/>
      <c r="KPS60" s="64"/>
      <c r="KPT60" s="64"/>
      <c r="KPU60" s="64"/>
      <c r="KPV60" s="64"/>
      <c r="KPW60" s="64"/>
      <c r="KPX60" s="64"/>
      <c r="KPY60" s="64"/>
      <c r="KPZ60" s="64"/>
      <c r="KQA60" s="64"/>
      <c r="KQB60" s="64"/>
      <c r="KQC60" s="64"/>
      <c r="KQD60" s="64"/>
      <c r="KQE60" s="64"/>
      <c r="KQF60" s="64"/>
      <c r="KQG60" s="64"/>
      <c r="KQH60" s="64"/>
      <c r="KQI60" s="64"/>
      <c r="KQJ60" s="64"/>
      <c r="KQK60" s="64"/>
      <c r="KQL60" s="64"/>
      <c r="KQM60" s="64"/>
      <c r="KQN60" s="64"/>
      <c r="KQO60" s="64"/>
      <c r="KQP60" s="64"/>
      <c r="KQQ60" s="64"/>
      <c r="KQR60" s="64"/>
      <c r="KQS60" s="64"/>
      <c r="KQT60" s="64"/>
      <c r="KQU60" s="64"/>
      <c r="KQV60" s="64"/>
      <c r="KQW60" s="64"/>
      <c r="KQX60" s="64"/>
      <c r="KQY60" s="64"/>
      <c r="KQZ60" s="64"/>
      <c r="KRA60" s="64"/>
      <c r="KRB60" s="64"/>
      <c r="KRC60" s="64"/>
      <c r="KRD60" s="64"/>
      <c r="KRE60" s="64"/>
      <c r="KRF60" s="64"/>
      <c r="KRG60" s="64"/>
      <c r="KRH60" s="64"/>
      <c r="KRI60" s="64"/>
      <c r="KRJ60" s="64"/>
      <c r="KRK60" s="64"/>
      <c r="KRL60" s="64"/>
      <c r="KRM60" s="64"/>
      <c r="KRN60" s="64"/>
      <c r="KRO60" s="64"/>
      <c r="KRP60" s="64"/>
      <c r="KRQ60" s="64"/>
      <c r="KRR60" s="64"/>
      <c r="KRS60" s="64"/>
      <c r="KRT60" s="64"/>
      <c r="KRU60" s="64"/>
      <c r="KRV60" s="64"/>
      <c r="KRW60" s="64"/>
      <c r="KRX60" s="64"/>
      <c r="KRY60" s="64"/>
      <c r="KRZ60" s="64"/>
      <c r="KSA60" s="64"/>
      <c r="KSB60" s="64"/>
      <c r="KSC60" s="64"/>
      <c r="KSD60" s="64"/>
      <c r="KSE60" s="64"/>
      <c r="KSF60" s="64"/>
      <c r="KSG60" s="64"/>
      <c r="KSH60" s="64"/>
      <c r="KSI60" s="64"/>
      <c r="KSJ60" s="64"/>
      <c r="KSK60" s="64"/>
      <c r="KSL60" s="64"/>
      <c r="KSM60" s="64"/>
      <c r="KSN60" s="64"/>
      <c r="KSO60" s="64"/>
      <c r="KSP60" s="64"/>
      <c r="KSQ60" s="64"/>
      <c r="KSR60" s="64"/>
      <c r="KSS60" s="64"/>
      <c r="KST60" s="64"/>
      <c r="KSU60" s="64"/>
      <c r="KSV60" s="64"/>
      <c r="KSW60" s="64"/>
      <c r="KSX60" s="64"/>
      <c r="KSY60" s="64"/>
      <c r="KSZ60" s="64"/>
      <c r="KTA60" s="64"/>
      <c r="KTB60" s="64"/>
      <c r="KTC60" s="64"/>
      <c r="KTD60" s="64"/>
      <c r="KTE60" s="64"/>
      <c r="KTF60" s="64"/>
      <c r="KTG60" s="64"/>
      <c r="KTH60" s="64"/>
      <c r="KTI60" s="64"/>
      <c r="KTJ60" s="64"/>
      <c r="KTK60" s="64"/>
      <c r="KTL60" s="64"/>
      <c r="KTM60" s="64"/>
      <c r="KTN60" s="64"/>
      <c r="KTO60" s="64"/>
      <c r="KTP60" s="64"/>
      <c r="KTQ60" s="64"/>
      <c r="KTR60" s="64"/>
      <c r="KTS60" s="64"/>
      <c r="KTT60" s="64"/>
      <c r="KTU60" s="64"/>
      <c r="KTV60" s="64"/>
      <c r="KTW60" s="64"/>
      <c r="KTX60" s="64"/>
      <c r="KTY60" s="64"/>
      <c r="KTZ60" s="64"/>
      <c r="KUA60" s="64"/>
      <c r="KUB60" s="64"/>
      <c r="KUC60" s="64"/>
      <c r="KUD60" s="64"/>
      <c r="KUE60" s="64"/>
      <c r="KUF60" s="64"/>
      <c r="KUG60" s="64"/>
      <c r="KUH60" s="64"/>
      <c r="KUI60" s="64"/>
      <c r="KUJ60" s="64"/>
      <c r="KUK60" s="64"/>
      <c r="KUL60" s="64"/>
      <c r="KUM60" s="64"/>
      <c r="KUN60" s="64"/>
      <c r="KUO60" s="64"/>
      <c r="KUP60" s="64"/>
      <c r="KUQ60" s="64"/>
      <c r="KUR60" s="64"/>
      <c r="KUS60" s="64"/>
      <c r="KUT60" s="64"/>
      <c r="KUU60" s="64"/>
      <c r="KUV60" s="64"/>
      <c r="KUW60" s="64"/>
      <c r="KUX60" s="64"/>
      <c r="KUY60" s="64"/>
      <c r="KUZ60" s="64"/>
      <c r="KVA60" s="64"/>
      <c r="KVB60" s="64"/>
      <c r="KVC60" s="64"/>
      <c r="KVD60" s="64"/>
      <c r="KVE60" s="64"/>
      <c r="KVF60" s="64"/>
      <c r="KVG60" s="64"/>
      <c r="KVH60" s="64"/>
      <c r="KVI60" s="64"/>
      <c r="KVJ60" s="64"/>
      <c r="KVK60" s="64"/>
      <c r="KVL60" s="64"/>
      <c r="KVM60" s="64"/>
      <c r="KVN60" s="64"/>
      <c r="KVO60" s="64"/>
      <c r="KVP60" s="64"/>
      <c r="KVQ60" s="64"/>
      <c r="KVR60" s="64"/>
      <c r="KVS60" s="64"/>
      <c r="KVT60" s="64"/>
      <c r="KVU60" s="64"/>
      <c r="KVV60" s="64"/>
      <c r="KVW60" s="64"/>
      <c r="KVX60" s="64"/>
      <c r="KVY60" s="64"/>
      <c r="KVZ60" s="64"/>
      <c r="KWA60" s="64"/>
      <c r="KWB60" s="64"/>
      <c r="KWC60" s="64"/>
      <c r="KWD60" s="64"/>
      <c r="KWE60" s="64"/>
      <c r="KWF60" s="64"/>
      <c r="KWG60" s="64"/>
      <c r="KWH60" s="64"/>
      <c r="KWI60" s="64"/>
      <c r="KWJ60" s="64"/>
      <c r="KWK60" s="64"/>
      <c r="KWL60" s="64"/>
      <c r="KWM60" s="64"/>
      <c r="KWN60" s="64"/>
      <c r="KWO60" s="64"/>
      <c r="KWP60" s="64"/>
      <c r="KWQ60" s="64"/>
      <c r="KWR60" s="64"/>
      <c r="KWS60" s="64"/>
      <c r="KWT60" s="64"/>
      <c r="KWU60" s="64"/>
      <c r="KWV60" s="64"/>
      <c r="KWW60" s="64"/>
      <c r="KWX60" s="64"/>
      <c r="KWY60" s="64"/>
      <c r="KWZ60" s="64"/>
      <c r="KXA60" s="64"/>
      <c r="KXB60" s="64"/>
      <c r="KXC60" s="64"/>
      <c r="KXD60" s="64"/>
      <c r="KXE60" s="64"/>
      <c r="KXF60" s="64"/>
      <c r="KXG60" s="64"/>
      <c r="KXH60" s="64"/>
      <c r="KXI60" s="64"/>
      <c r="KXJ60" s="64"/>
      <c r="KXK60" s="64"/>
      <c r="KXL60" s="64"/>
      <c r="KXM60" s="64"/>
      <c r="KXN60" s="64"/>
      <c r="KXO60" s="64"/>
      <c r="KXP60" s="64"/>
      <c r="KXQ60" s="64"/>
      <c r="KXR60" s="64"/>
      <c r="KXS60" s="64"/>
      <c r="KXT60" s="64"/>
      <c r="KXU60" s="64"/>
      <c r="KXV60" s="64"/>
      <c r="KXW60" s="64"/>
      <c r="KXX60" s="64"/>
      <c r="KXY60" s="64"/>
      <c r="KXZ60" s="64"/>
      <c r="KYA60" s="64"/>
      <c r="KYB60" s="64"/>
      <c r="KYC60" s="64"/>
      <c r="KYD60" s="64"/>
      <c r="KYE60" s="64"/>
      <c r="KYF60" s="64"/>
      <c r="KYG60" s="64"/>
      <c r="KYH60" s="64"/>
      <c r="KYI60" s="64"/>
      <c r="KYJ60" s="64"/>
      <c r="KYK60" s="64"/>
      <c r="KYL60" s="64"/>
      <c r="KYM60" s="64"/>
      <c r="KYN60" s="64"/>
      <c r="KYO60" s="64"/>
      <c r="KYP60" s="64"/>
      <c r="KYQ60" s="64"/>
      <c r="KYR60" s="64"/>
      <c r="KYS60" s="64"/>
      <c r="KYT60" s="64"/>
      <c r="KYU60" s="64"/>
      <c r="KYV60" s="64"/>
      <c r="KYW60" s="64"/>
      <c r="KYX60" s="64"/>
      <c r="KYY60" s="64"/>
      <c r="KYZ60" s="64"/>
      <c r="KZA60" s="64"/>
      <c r="KZB60" s="64"/>
      <c r="KZC60" s="64"/>
      <c r="KZD60" s="64"/>
      <c r="KZE60" s="64"/>
      <c r="KZF60" s="64"/>
      <c r="KZG60" s="64"/>
      <c r="KZH60" s="64"/>
      <c r="KZI60" s="64"/>
      <c r="KZJ60" s="64"/>
      <c r="KZK60" s="64"/>
      <c r="KZL60" s="64"/>
      <c r="KZM60" s="64"/>
      <c r="KZN60" s="64"/>
      <c r="KZO60" s="64"/>
      <c r="KZP60" s="64"/>
      <c r="KZQ60" s="64"/>
      <c r="KZR60" s="64"/>
      <c r="KZS60" s="64"/>
      <c r="KZT60" s="64"/>
      <c r="KZU60" s="64"/>
      <c r="KZV60" s="64"/>
      <c r="KZW60" s="64"/>
      <c r="KZX60" s="64"/>
      <c r="KZY60" s="64"/>
      <c r="KZZ60" s="64"/>
      <c r="LAA60" s="64"/>
      <c r="LAB60" s="64"/>
      <c r="LAC60" s="64"/>
      <c r="LAD60" s="64"/>
      <c r="LAE60" s="64"/>
      <c r="LAF60" s="64"/>
      <c r="LAG60" s="64"/>
      <c r="LAH60" s="64"/>
      <c r="LAI60" s="64"/>
      <c r="LAJ60" s="64"/>
      <c r="LAK60" s="64"/>
      <c r="LAL60" s="64"/>
      <c r="LAM60" s="64"/>
      <c r="LAN60" s="64"/>
      <c r="LAO60" s="64"/>
      <c r="LAP60" s="64"/>
      <c r="LAQ60" s="64"/>
      <c r="LAR60" s="64"/>
      <c r="LAS60" s="64"/>
      <c r="LAT60" s="64"/>
      <c r="LAU60" s="64"/>
      <c r="LAV60" s="64"/>
      <c r="LAW60" s="64"/>
      <c r="LAX60" s="64"/>
      <c r="LAY60" s="64"/>
      <c r="LAZ60" s="64"/>
      <c r="LBA60" s="64"/>
      <c r="LBB60" s="64"/>
      <c r="LBC60" s="64"/>
      <c r="LBD60" s="64"/>
      <c r="LBE60" s="64"/>
      <c r="LBF60" s="64"/>
      <c r="LBG60" s="64"/>
      <c r="LBH60" s="64"/>
      <c r="LBI60" s="64"/>
      <c r="LBJ60" s="64"/>
      <c r="LBK60" s="64"/>
      <c r="LBL60" s="64"/>
      <c r="LBM60" s="64"/>
      <c r="LBN60" s="64"/>
      <c r="LBO60" s="64"/>
      <c r="LBP60" s="64"/>
      <c r="LBQ60" s="64"/>
      <c r="LBR60" s="64"/>
      <c r="LBS60" s="64"/>
      <c r="LBT60" s="64"/>
      <c r="LBU60" s="64"/>
      <c r="LBV60" s="64"/>
      <c r="LBW60" s="64"/>
      <c r="LBX60" s="64"/>
      <c r="LBY60" s="64"/>
      <c r="LBZ60" s="64"/>
      <c r="LCA60" s="64"/>
      <c r="LCB60" s="64"/>
      <c r="LCC60" s="64"/>
      <c r="LCD60" s="64"/>
      <c r="LCE60" s="64"/>
      <c r="LCF60" s="64"/>
      <c r="LCG60" s="64"/>
      <c r="LCH60" s="64"/>
      <c r="LCI60" s="64"/>
      <c r="LCJ60" s="64"/>
      <c r="LCK60" s="64"/>
      <c r="LCL60" s="64"/>
      <c r="LCM60" s="64"/>
      <c r="LCN60" s="64"/>
      <c r="LCO60" s="64"/>
      <c r="LCP60" s="64"/>
      <c r="LCQ60" s="64"/>
      <c r="LCR60" s="64"/>
      <c r="LCS60" s="64"/>
      <c r="LCT60" s="64"/>
      <c r="LCU60" s="64"/>
      <c r="LCV60" s="64"/>
      <c r="LCW60" s="64"/>
      <c r="LCX60" s="64"/>
      <c r="LCY60" s="64"/>
      <c r="LCZ60" s="64"/>
      <c r="LDA60" s="64"/>
      <c r="LDB60" s="64"/>
      <c r="LDC60" s="64"/>
      <c r="LDD60" s="64"/>
      <c r="LDE60" s="64"/>
      <c r="LDF60" s="64"/>
      <c r="LDG60" s="64"/>
      <c r="LDH60" s="64"/>
      <c r="LDI60" s="64"/>
      <c r="LDJ60" s="64"/>
      <c r="LDK60" s="64"/>
      <c r="LDL60" s="64"/>
      <c r="LDM60" s="64"/>
      <c r="LDN60" s="64"/>
      <c r="LDO60" s="64"/>
      <c r="LDP60" s="64"/>
      <c r="LDQ60" s="64"/>
      <c r="LDR60" s="64"/>
      <c r="LDS60" s="64"/>
      <c r="LDT60" s="64"/>
      <c r="LDU60" s="64"/>
      <c r="LDV60" s="64"/>
      <c r="LDW60" s="64"/>
      <c r="LDX60" s="64"/>
      <c r="LDY60" s="64"/>
      <c r="LDZ60" s="64"/>
      <c r="LEA60" s="64"/>
      <c r="LEB60" s="64"/>
      <c r="LEC60" s="64"/>
      <c r="LED60" s="64"/>
      <c r="LEE60" s="64"/>
      <c r="LEF60" s="64"/>
      <c r="LEG60" s="64"/>
      <c r="LEH60" s="64"/>
      <c r="LEI60" s="64"/>
      <c r="LEJ60" s="64"/>
      <c r="LEK60" s="64"/>
      <c r="LEL60" s="64"/>
      <c r="LEM60" s="64"/>
      <c r="LEN60" s="64"/>
      <c r="LEO60" s="64"/>
      <c r="LEP60" s="64"/>
      <c r="LEQ60" s="64"/>
      <c r="LER60" s="64"/>
      <c r="LES60" s="64"/>
      <c r="LET60" s="64"/>
      <c r="LEU60" s="64"/>
      <c r="LEV60" s="64"/>
      <c r="LEW60" s="64"/>
      <c r="LEX60" s="64"/>
      <c r="LEY60" s="64"/>
      <c r="LEZ60" s="64"/>
      <c r="LFA60" s="64"/>
      <c r="LFB60" s="64"/>
      <c r="LFC60" s="64"/>
      <c r="LFD60" s="64"/>
      <c r="LFE60" s="64"/>
      <c r="LFF60" s="64"/>
      <c r="LFG60" s="64"/>
      <c r="LFH60" s="64"/>
      <c r="LFI60" s="64"/>
      <c r="LFJ60" s="64"/>
      <c r="LFK60" s="64"/>
      <c r="LFL60" s="64"/>
      <c r="LFM60" s="64"/>
      <c r="LFN60" s="64"/>
      <c r="LFO60" s="64"/>
      <c r="LFP60" s="64"/>
      <c r="LFQ60" s="64"/>
      <c r="LFR60" s="64"/>
      <c r="LFS60" s="64"/>
      <c r="LFT60" s="64"/>
      <c r="LFU60" s="64"/>
      <c r="LFV60" s="64"/>
      <c r="LFW60" s="64"/>
      <c r="LFX60" s="64"/>
      <c r="LFY60" s="64"/>
      <c r="LFZ60" s="64"/>
      <c r="LGA60" s="64"/>
      <c r="LGB60" s="64"/>
      <c r="LGC60" s="64"/>
      <c r="LGD60" s="64"/>
      <c r="LGE60" s="64"/>
      <c r="LGF60" s="64"/>
      <c r="LGG60" s="64"/>
      <c r="LGH60" s="64"/>
      <c r="LGI60" s="64"/>
      <c r="LGJ60" s="64"/>
      <c r="LGK60" s="64"/>
      <c r="LGL60" s="64"/>
      <c r="LGM60" s="64"/>
      <c r="LGN60" s="64"/>
      <c r="LGO60" s="64"/>
      <c r="LGP60" s="64"/>
      <c r="LGQ60" s="64"/>
      <c r="LGR60" s="64"/>
      <c r="LGS60" s="64"/>
      <c r="LGT60" s="64"/>
      <c r="LGU60" s="64"/>
      <c r="LGV60" s="64"/>
      <c r="LGW60" s="64"/>
      <c r="LGX60" s="64"/>
      <c r="LGY60" s="64"/>
      <c r="LGZ60" s="64"/>
      <c r="LHA60" s="64"/>
      <c r="LHB60" s="64"/>
      <c r="LHC60" s="64"/>
      <c r="LHD60" s="64"/>
      <c r="LHE60" s="64"/>
      <c r="LHF60" s="64"/>
      <c r="LHG60" s="64"/>
      <c r="LHH60" s="64"/>
      <c r="LHI60" s="64"/>
      <c r="LHJ60" s="64"/>
      <c r="LHK60" s="64"/>
      <c r="LHL60" s="64"/>
      <c r="LHM60" s="64"/>
      <c r="LHN60" s="64"/>
      <c r="LHO60" s="64"/>
      <c r="LHP60" s="64"/>
      <c r="LHQ60" s="64"/>
      <c r="LHR60" s="64"/>
      <c r="LHS60" s="64"/>
      <c r="LHT60" s="64"/>
      <c r="LHU60" s="64"/>
      <c r="LHV60" s="64"/>
      <c r="LHW60" s="64"/>
      <c r="LHX60" s="64"/>
      <c r="LHY60" s="64"/>
      <c r="LHZ60" s="64"/>
      <c r="LIA60" s="64"/>
      <c r="LIB60" s="64"/>
      <c r="LIC60" s="64"/>
      <c r="LID60" s="64"/>
      <c r="LIE60" s="64"/>
      <c r="LIF60" s="64"/>
      <c r="LIG60" s="64"/>
      <c r="LIH60" s="64"/>
      <c r="LII60" s="64"/>
      <c r="LIJ60" s="64"/>
      <c r="LIK60" s="64"/>
      <c r="LIL60" s="64"/>
      <c r="LIM60" s="64"/>
      <c r="LIN60" s="64"/>
      <c r="LIO60" s="64"/>
      <c r="LIP60" s="64"/>
      <c r="LIQ60" s="64"/>
      <c r="LIR60" s="64"/>
      <c r="LIS60" s="64"/>
      <c r="LIT60" s="64"/>
      <c r="LIU60" s="64"/>
      <c r="LIV60" s="64"/>
      <c r="LIW60" s="64"/>
      <c r="LIX60" s="64"/>
      <c r="LIY60" s="64"/>
      <c r="LIZ60" s="64"/>
      <c r="LJA60" s="64"/>
      <c r="LJB60" s="64"/>
      <c r="LJC60" s="64"/>
      <c r="LJD60" s="64"/>
      <c r="LJE60" s="64"/>
      <c r="LJF60" s="64"/>
      <c r="LJG60" s="64"/>
      <c r="LJH60" s="64"/>
      <c r="LJI60" s="64"/>
      <c r="LJJ60" s="64"/>
      <c r="LJK60" s="64"/>
      <c r="LJL60" s="64"/>
      <c r="LJM60" s="64"/>
      <c r="LJN60" s="64"/>
      <c r="LJO60" s="64"/>
      <c r="LJP60" s="64"/>
      <c r="LJQ60" s="64"/>
      <c r="LJR60" s="64"/>
      <c r="LJS60" s="64"/>
      <c r="LJT60" s="64"/>
      <c r="LJU60" s="64"/>
      <c r="LJV60" s="64"/>
      <c r="LJW60" s="64"/>
      <c r="LJX60" s="64"/>
      <c r="LJY60" s="64"/>
      <c r="LJZ60" s="64"/>
      <c r="LKA60" s="64"/>
      <c r="LKB60" s="64"/>
      <c r="LKC60" s="64"/>
      <c r="LKD60" s="64"/>
      <c r="LKE60" s="64"/>
      <c r="LKF60" s="64"/>
      <c r="LKG60" s="64"/>
      <c r="LKH60" s="64"/>
      <c r="LKI60" s="64"/>
      <c r="LKJ60" s="64"/>
      <c r="LKK60" s="64"/>
      <c r="LKL60" s="64"/>
      <c r="LKM60" s="64"/>
      <c r="LKN60" s="64"/>
      <c r="LKO60" s="64"/>
      <c r="LKP60" s="64"/>
      <c r="LKQ60" s="64"/>
      <c r="LKR60" s="64"/>
      <c r="LKS60" s="64"/>
      <c r="LKT60" s="64"/>
      <c r="LKU60" s="64"/>
      <c r="LKV60" s="64"/>
      <c r="LKW60" s="64"/>
      <c r="LKX60" s="64"/>
      <c r="LKY60" s="64"/>
      <c r="LKZ60" s="64"/>
      <c r="LLA60" s="64"/>
      <c r="LLB60" s="64"/>
      <c r="LLC60" s="64"/>
      <c r="LLD60" s="64"/>
      <c r="LLE60" s="64"/>
      <c r="LLF60" s="64"/>
      <c r="LLG60" s="64"/>
      <c r="LLH60" s="64"/>
      <c r="LLI60" s="64"/>
      <c r="LLJ60" s="64"/>
      <c r="LLK60" s="64"/>
      <c r="LLL60" s="64"/>
      <c r="LLM60" s="64"/>
      <c r="LLN60" s="64"/>
      <c r="LLO60" s="64"/>
      <c r="LLP60" s="64"/>
      <c r="LLQ60" s="64"/>
      <c r="LLR60" s="64"/>
      <c r="LLS60" s="64"/>
      <c r="LLT60" s="64"/>
      <c r="LLU60" s="64"/>
      <c r="LLV60" s="64"/>
      <c r="LLW60" s="64"/>
      <c r="LLX60" s="64"/>
      <c r="LLY60" s="64"/>
      <c r="LLZ60" s="64"/>
      <c r="LMA60" s="64"/>
      <c r="LMB60" s="64"/>
      <c r="LMC60" s="64"/>
      <c r="LMD60" s="64"/>
      <c r="LME60" s="64"/>
      <c r="LMF60" s="64"/>
      <c r="LMG60" s="64"/>
      <c r="LMH60" s="64"/>
      <c r="LMI60" s="64"/>
      <c r="LMJ60" s="64"/>
      <c r="LMK60" s="64"/>
      <c r="LML60" s="64"/>
      <c r="LMM60" s="64"/>
      <c r="LMN60" s="64"/>
      <c r="LMO60" s="64"/>
      <c r="LMP60" s="64"/>
      <c r="LMQ60" s="64"/>
      <c r="LMR60" s="64"/>
      <c r="LMS60" s="64"/>
      <c r="LMT60" s="64"/>
      <c r="LMU60" s="64"/>
      <c r="LMV60" s="64"/>
      <c r="LMW60" s="64"/>
      <c r="LMX60" s="64"/>
      <c r="LMY60" s="64"/>
      <c r="LMZ60" s="64"/>
      <c r="LNA60" s="64"/>
      <c r="LNB60" s="64"/>
      <c r="LNC60" s="64"/>
      <c r="LND60" s="64"/>
      <c r="LNE60" s="64"/>
      <c r="LNF60" s="64"/>
      <c r="LNG60" s="64"/>
      <c r="LNH60" s="64"/>
      <c r="LNI60" s="64"/>
      <c r="LNJ60" s="64"/>
      <c r="LNK60" s="64"/>
      <c r="LNL60" s="64"/>
      <c r="LNM60" s="64"/>
      <c r="LNN60" s="64"/>
      <c r="LNO60" s="64"/>
      <c r="LNP60" s="64"/>
      <c r="LNQ60" s="64"/>
      <c r="LNR60" s="64"/>
      <c r="LNS60" s="64"/>
      <c r="LNT60" s="64"/>
      <c r="LNU60" s="64"/>
      <c r="LNV60" s="64"/>
      <c r="LNW60" s="64"/>
      <c r="LNX60" s="64"/>
      <c r="LNY60" s="64"/>
      <c r="LNZ60" s="64"/>
      <c r="LOA60" s="64"/>
      <c r="LOB60" s="64"/>
      <c r="LOC60" s="64"/>
      <c r="LOD60" s="64"/>
      <c r="LOE60" s="64"/>
      <c r="LOF60" s="64"/>
      <c r="LOG60" s="64"/>
      <c r="LOH60" s="64"/>
      <c r="LOI60" s="64"/>
      <c r="LOJ60" s="64"/>
      <c r="LOK60" s="64"/>
      <c r="LOL60" s="64"/>
      <c r="LOM60" s="64"/>
      <c r="LON60" s="64"/>
      <c r="LOO60" s="64"/>
      <c r="LOP60" s="64"/>
      <c r="LOQ60" s="64"/>
      <c r="LOR60" s="64"/>
      <c r="LOS60" s="64"/>
      <c r="LOT60" s="64"/>
      <c r="LOU60" s="64"/>
      <c r="LOV60" s="64"/>
      <c r="LOW60" s="64"/>
      <c r="LOX60" s="64"/>
      <c r="LOY60" s="64"/>
      <c r="LOZ60" s="64"/>
      <c r="LPA60" s="64"/>
      <c r="LPB60" s="64"/>
      <c r="LPC60" s="64"/>
      <c r="LPD60" s="64"/>
      <c r="LPE60" s="64"/>
      <c r="LPF60" s="64"/>
      <c r="LPG60" s="64"/>
      <c r="LPH60" s="64"/>
      <c r="LPI60" s="64"/>
      <c r="LPJ60" s="64"/>
      <c r="LPK60" s="64"/>
      <c r="LPL60" s="64"/>
      <c r="LPM60" s="64"/>
      <c r="LPN60" s="64"/>
      <c r="LPO60" s="64"/>
      <c r="LPP60" s="64"/>
      <c r="LPQ60" s="64"/>
      <c r="LPR60" s="64"/>
      <c r="LPS60" s="64"/>
      <c r="LPT60" s="64"/>
      <c r="LPU60" s="64"/>
      <c r="LPV60" s="64"/>
      <c r="LPW60" s="64"/>
      <c r="LPX60" s="64"/>
      <c r="LPY60" s="64"/>
      <c r="LPZ60" s="64"/>
      <c r="LQA60" s="64"/>
      <c r="LQB60" s="64"/>
      <c r="LQC60" s="64"/>
      <c r="LQD60" s="64"/>
      <c r="LQE60" s="64"/>
      <c r="LQF60" s="64"/>
      <c r="LQG60" s="64"/>
      <c r="LQH60" s="64"/>
      <c r="LQI60" s="64"/>
      <c r="LQJ60" s="64"/>
      <c r="LQK60" s="64"/>
      <c r="LQL60" s="64"/>
      <c r="LQM60" s="64"/>
      <c r="LQN60" s="64"/>
      <c r="LQO60" s="64"/>
      <c r="LQP60" s="64"/>
      <c r="LQQ60" s="64"/>
      <c r="LQR60" s="64"/>
      <c r="LQS60" s="64"/>
      <c r="LQT60" s="64"/>
      <c r="LQU60" s="64"/>
      <c r="LQV60" s="64"/>
      <c r="LQW60" s="64"/>
      <c r="LQX60" s="64"/>
      <c r="LQY60" s="64"/>
      <c r="LQZ60" s="64"/>
      <c r="LRA60" s="64"/>
      <c r="LRB60" s="64"/>
      <c r="LRC60" s="64"/>
      <c r="LRD60" s="64"/>
      <c r="LRE60" s="64"/>
      <c r="LRF60" s="64"/>
      <c r="LRG60" s="64"/>
      <c r="LRH60" s="64"/>
      <c r="LRI60" s="64"/>
      <c r="LRJ60" s="64"/>
      <c r="LRK60" s="64"/>
      <c r="LRL60" s="64"/>
      <c r="LRM60" s="64"/>
      <c r="LRN60" s="64"/>
      <c r="LRO60" s="64"/>
      <c r="LRP60" s="64"/>
      <c r="LRQ60" s="64"/>
      <c r="LRR60" s="64"/>
      <c r="LRS60" s="64"/>
      <c r="LRT60" s="64"/>
      <c r="LRU60" s="64"/>
      <c r="LRV60" s="64"/>
      <c r="LRW60" s="64"/>
      <c r="LRX60" s="64"/>
      <c r="LRY60" s="64"/>
      <c r="LRZ60" s="64"/>
      <c r="LSA60" s="64"/>
      <c r="LSB60" s="64"/>
      <c r="LSC60" s="64"/>
      <c r="LSD60" s="64"/>
      <c r="LSE60" s="64"/>
      <c r="LSF60" s="64"/>
      <c r="LSG60" s="64"/>
      <c r="LSH60" s="64"/>
      <c r="LSI60" s="64"/>
      <c r="LSJ60" s="64"/>
      <c r="LSK60" s="64"/>
      <c r="LSL60" s="64"/>
      <c r="LSM60" s="64"/>
      <c r="LSN60" s="64"/>
      <c r="LSO60" s="64"/>
      <c r="LSP60" s="64"/>
      <c r="LSQ60" s="64"/>
      <c r="LSR60" s="64"/>
      <c r="LSS60" s="64"/>
      <c r="LST60" s="64"/>
      <c r="LSU60" s="64"/>
      <c r="LSV60" s="64"/>
      <c r="LSW60" s="64"/>
      <c r="LSX60" s="64"/>
      <c r="LSY60" s="64"/>
      <c r="LSZ60" s="64"/>
      <c r="LTA60" s="64"/>
      <c r="LTB60" s="64"/>
      <c r="LTC60" s="64"/>
      <c r="LTD60" s="64"/>
      <c r="LTE60" s="64"/>
      <c r="LTF60" s="64"/>
      <c r="LTG60" s="64"/>
      <c r="LTH60" s="64"/>
      <c r="LTI60" s="64"/>
      <c r="LTJ60" s="64"/>
      <c r="LTK60" s="64"/>
      <c r="LTL60" s="64"/>
      <c r="LTM60" s="64"/>
      <c r="LTN60" s="64"/>
      <c r="LTO60" s="64"/>
      <c r="LTP60" s="64"/>
      <c r="LTQ60" s="64"/>
      <c r="LTR60" s="64"/>
      <c r="LTS60" s="64"/>
      <c r="LTT60" s="64"/>
      <c r="LTU60" s="64"/>
      <c r="LTV60" s="64"/>
      <c r="LTW60" s="64"/>
      <c r="LTX60" s="64"/>
      <c r="LTY60" s="64"/>
      <c r="LTZ60" s="64"/>
      <c r="LUA60" s="64"/>
      <c r="LUB60" s="64"/>
      <c r="LUC60" s="64"/>
      <c r="LUD60" s="64"/>
      <c r="LUE60" s="64"/>
      <c r="LUF60" s="64"/>
      <c r="LUG60" s="64"/>
      <c r="LUH60" s="64"/>
      <c r="LUI60" s="64"/>
      <c r="LUJ60" s="64"/>
      <c r="LUK60" s="64"/>
      <c r="LUL60" s="64"/>
      <c r="LUM60" s="64"/>
      <c r="LUN60" s="64"/>
      <c r="LUO60" s="64"/>
      <c r="LUP60" s="64"/>
      <c r="LUQ60" s="64"/>
      <c r="LUR60" s="64"/>
      <c r="LUS60" s="64"/>
      <c r="LUT60" s="64"/>
      <c r="LUU60" s="64"/>
      <c r="LUV60" s="64"/>
      <c r="LUW60" s="64"/>
      <c r="LUX60" s="64"/>
      <c r="LUY60" s="64"/>
      <c r="LUZ60" s="64"/>
      <c r="LVA60" s="64"/>
      <c r="LVB60" s="64"/>
      <c r="LVC60" s="64"/>
      <c r="LVD60" s="64"/>
      <c r="LVE60" s="64"/>
      <c r="LVF60" s="64"/>
      <c r="LVG60" s="64"/>
      <c r="LVH60" s="64"/>
      <c r="LVI60" s="64"/>
      <c r="LVJ60" s="64"/>
      <c r="LVK60" s="64"/>
      <c r="LVL60" s="64"/>
      <c r="LVM60" s="64"/>
      <c r="LVN60" s="64"/>
      <c r="LVO60" s="64"/>
      <c r="LVP60" s="64"/>
      <c r="LVQ60" s="64"/>
      <c r="LVR60" s="64"/>
      <c r="LVS60" s="64"/>
      <c r="LVT60" s="64"/>
      <c r="LVU60" s="64"/>
      <c r="LVV60" s="64"/>
      <c r="LVW60" s="64"/>
      <c r="LVX60" s="64"/>
      <c r="LVY60" s="64"/>
      <c r="LVZ60" s="64"/>
      <c r="LWA60" s="64"/>
      <c r="LWB60" s="64"/>
      <c r="LWC60" s="64"/>
      <c r="LWD60" s="64"/>
      <c r="LWE60" s="64"/>
      <c r="LWF60" s="64"/>
      <c r="LWG60" s="64"/>
      <c r="LWH60" s="64"/>
      <c r="LWI60" s="64"/>
      <c r="LWJ60" s="64"/>
      <c r="LWK60" s="64"/>
      <c r="LWL60" s="64"/>
      <c r="LWM60" s="64"/>
      <c r="LWN60" s="64"/>
      <c r="LWO60" s="64"/>
      <c r="LWP60" s="64"/>
      <c r="LWQ60" s="64"/>
      <c r="LWR60" s="64"/>
      <c r="LWS60" s="64"/>
      <c r="LWT60" s="64"/>
      <c r="LWU60" s="64"/>
      <c r="LWV60" s="64"/>
      <c r="LWW60" s="64"/>
      <c r="LWX60" s="64"/>
      <c r="LWY60" s="64"/>
      <c r="LWZ60" s="64"/>
      <c r="LXA60" s="64"/>
      <c r="LXB60" s="64"/>
      <c r="LXC60" s="64"/>
      <c r="LXD60" s="64"/>
      <c r="LXE60" s="64"/>
      <c r="LXF60" s="64"/>
      <c r="LXG60" s="64"/>
      <c r="LXH60" s="64"/>
      <c r="LXI60" s="64"/>
      <c r="LXJ60" s="64"/>
      <c r="LXK60" s="64"/>
      <c r="LXL60" s="64"/>
      <c r="LXM60" s="64"/>
      <c r="LXN60" s="64"/>
      <c r="LXO60" s="64"/>
      <c r="LXP60" s="64"/>
      <c r="LXQ60" s="64"/>
      <c r="LXR60" s="64"/>
      <c r="LXS60" s="64"/>
      <c r="LXT60" s="64"/>
      <c r="LXU60" s="64"/>
      <c r="LXV60" s="64"/>
      <c r="LXW60" s="64"/>
      <c r="LXX60" s="64"/>
      <c r="LXY60" s="64"/>
      <c r="LXZ60" s="64"/>
      <c r="LYA60" s="64"/>
      <c r="LYB60" s="64"/>
      <c r="LYC60" s="64"/>
      <c r="LYD60" s="64"/>
      <c r="LYE60" s="64"/>
      <c r="LYF60" s="64"/>
      <c r="LYG60" s="64"/>
      <c r="LYH60" s="64"/>
      <c r="LYI60" s="64"/>
      <c r="LYJ60" s="64"/>
      <c r="LYK60" s="64"/>
      <c r="LYL60" s="64"/>
      <c r="LYM60" s="64"/>
      <c r="LYN60" s="64"/>
      <c r="LYO60" s="64"/>
      <c r="LYP60" s="64"/>
      <c r="LYQ60" s="64"/>
      <c r="LYR60" s="64"/>
      <c r="LYS60" s="64"/>
      <c r="LYT60" s="64"/>
      <c r="LYU60" s="64"/>
      <c r="LYV60" s="64"/>
      <c r="LYW60" s="64"/>
      <c r="LYX60" s="64"/>
      <c r="LYY60" s="64"/>
      <c r="LYZ60" s="64"/>
      <c r="LZA60" s="64"/>
      <c r="LZB60" s="64"/>
      <c r="LZC60" s="64"/>
      <c r="LZD60" s="64"/>
      <c r="LZE60" s="64"/>
      <c r="LZF60" s="64"/>
      <c r="LZG60" s="64"/>
      <c r="LZH60" s="64"/>
      <c r="LZI60" s="64"/>
      <c r="LZJ60" s="64"/>
      <c r="LZK60" s="64"/>
      <c r="LZL60" s="64"/>
      <c r="LZM60" s="64"/>
      <c r="LZN60" s="64"/>
      <c r="LZO60" s="64"/>
      <c r="LZP60" s="64"/>
      <c r="LZQ60" s="64"/>
      <c r="LZR60" s="64"/>
      <c r="LZS60" s="64"/>
      <c r="LZT60" s="64"/>
      <c r="LZU60" s="64"/>
      <c r="LZV60" s="64"/>
      <c r="LZW60" s="64"/>
      <c r="LZX60" s="64"/>
      <c r="LZY60" s="64"/>
      <c r="LZZ60" s="64"/>
      <c r="MAA60" s="64"/>
      <c r="MAB60" s="64"/>
      <c r="MAC60" s="64"/>
      <c r="MAD60" s="64"/>
      <c r="MAE60" s="64"/>
      <c r="MAF60" s="64"/>
      <c r="MAG60" s="64"/>
      <c r="MAH60" s="64"/>
      <c r="MAI60" s="64"/>
      <c r="MAJ60" s="64"/>
      <c r="MAK60" s="64"/>
      <c r="MAL60" s="64"/>
      <c r="MAM60" s="64"/>
      <c r="MAN60" s="64"/>
      <c r="MAO60" s="64"/>
      <c r="MAP60" s="64"/>
      <c r="MAQ60" s="64"/>
      <c r="MAR60" s="64"/>
      <c r="MAS60" s="64"/>
      <c r="MAT60" s="64"/>
      <c r="MAU60" s="64"/>
      <c r="MAV60" s="64"/>
      <c r="MAW60" s="64"/>
      <c r="MAX60" s="64"/>
      <c r="MAY60" s="64"/>
      <c r="MAZ60" s="64"/>
      <c r="MBA60" s="64"/>
      <c r="MBB60" s="64"/>
      <c r="MBC60" s="64"/>
      <c r="MBD60" s="64"/>
      <c r="MBE60" s="64"/>
      <c r="MBF60" s="64"/>
      <c r="MBG60" s="64"/>
      <c r="MBH60" s="64"/>
      <c r="MBI60" s="64"/>
      <c r="MBJ60" s="64"/>
      <c r="MBK60" s="64"/>
      <c r="MBL60" s="64"/>
      <c r="MBM60" s="64"/>
      <c r="MBN60" s="64"/>
      <c r="MBO60" s="64"/>
      <c r="MBP60" s="64"/>
      <c r="MBQ60" s="64"/>
      <c r="MBR60" s="64"/>
      <c r="MBS60" s="64"/>
      <c r="MBT60" s="64"/>
      <c r="MBU60" s="64"/>
      <c r="MBV60" s="64"/>
      <c r="MBW60" s="64"/>
      <c r="MBX60" s="64"/>
      <c r="MBY60" s="64"/>
      <c r="MBZ60" s="64"/>
      <c r="MCA60" s="64"/>
      <c r="MCB60" s="64"/>
      <c r="MCC60" s="64"/>
      <c r="MCD60" s="64"/>
      <c r="MCE60" s="64"/>
      <c r="MCF60" s="64"/>
      <c r="MCG60" s="64"/>
      <c r="MCH60" s="64"/>
      <c r="MCI60" s="64"/>
      <c r="MCJ60" s="64"/>
      <c r="MCK60" s="64"/>
      <c r="MCL60" s="64"/>
      <c r="MCM60" s="64"/>
      <c r="MCN60" s="64"/>
      <c r="MCO60" s="64"/>
      <c r="MCP60" s="64"/>
      <c r="MCQ60" s="64"/>
      <c r="MCR60" s="64"/>
      <c r="MCS60" s="64"/>
      <c r="MCT60" s="64"/>
      <c r="MCU60" s="64"/>
      <c r="MCV60" s="64"/>
      <c r="MCW60" s="64"/>
      <c r="MCX60" s="64"/>
      <c r="MCY60" s="64"/>
      <c r="MCZ60" s="64"/>
      <c r="MDA60" s="64"/>
      <c r="MDB60" s="64"/>
      <c r="MDC60" s="64"/>
      <c r="MDD60" s="64"/>
      <c r="MDE60" s="64"/>
      <c r="MDF60" s="64"/>
      <c r="MDG60" s="64"/>
      <c r="MDH60" s="64"/>
      <c r="MDI60" s="64"/>
      <c r="MDJ60" s="64"/>
      <c r="MDK60" s="64"/>
      <c r="MDL60" s="64"/>
      <c r="MDM60" s="64"/>
      <c r="MDN60" s="64"/>
      <c r="MDO60" s="64"/>
      <c r="MDP60" s="64"/>
      <c r="MDQ60" s="64"/>
      <c r="MDR60" s="64"/>
      <c r="MDS60" s="64"/>
      <c r="MDT60" s="64"/>
      <c r="MDU60" s="64"/>
      <c r="MDV60" s="64"/>
      <c r="MDW60" s="64"/>
      <c r="MDX60" s="64"/>
      <c r="MDY60" s="64"/>
      <c r="MDZ60" s="64"/>
      <c r="MEA60" s="64"/>
      <c r="MEB60" s="64"/>
      <c r="MEC60" s="64"/>
      <c r="MED60" s="64"/>
      <c r="MEE60" s="64"/>
      <c r="MEF60" s="64"/>
      <c r="MEG60" s="64"/>
      <c r="MEH60" s="64"/>
      <c r="MEI60" s="64"/>
      <c r="MEJ60" s="64"/>
      <c r="MEK60" s="64"/>
      <c r="MEL60" s="64"/>
      <c r="MEM60" s="64"/>
      <c r="MEN60" s="64"/>
      <c r="MEO60" s="64"/>
      <c r="MEP60" s="64"/>
      <c r="MEQ60" s="64"/>
      <c r="MER60" s="64"/>
      <c r="MES60" s="64"/>
      <c r="MET60" s="64"/>
      <c r="MEU60" s="64"/>
      <c r="MEV60" s="64"/>
      <c r="MEW60" s="64"/>
      <c r="MEX60" s="64"/>
      <c r="MEY60" s="64"/>
      <c r="MEZ60" s="64"/>
      <c r="MFA60" s="64"/>
      <c r="MFB60" s="64"/>
      <c r="MFC60" s="64"/>
      <c r="MFD60" s="64"/>
      <c r="MFE60" s="64"/>
      <c r="MFF60" s="64"/>
      <c r="MFG60" s="64"/>
      <c r="MFH60" s="64"/>
      <c r="MFI60" s="64"/>
      <c r="MFJ60" s="64"/>
      <c r="MFK60" s="64"/>
      <c r="MFL60" s="64"/>
      <c r="MFM60" s="64"/>
      <c r="MFN60" s="64"/>
      <c r="MFO60" s="64"/>
      <c r="MFP60" s="64"/>
      <c r="MFQ60" s="64"/>
      <c r="MFR60" s="64"/>
      <c r="MFS60" s="64"/>
      <c r="MFT60" s="64"/>
      <c r="MFU60" s="64"/>
      <c r="MFV60" s="64"/>
      <c r="MFW60" s="64"/>
      <c r="MFX60" s="64"/>
      <c r="MFY60" s="64"/>
      <c r="MFZ60" s="64"/>
      <c r="MGA60" s="64"/>
      <c r="MGB60" s="64"/>
      <c r="MGC60" s="64"/>
      <c r="MGD60" s="64"/>
      <c r="MGE60" s="64"/>
      <c r="MGF60" s="64"/>
      <c r="MGG60" s="64"/>
      <c r="MGH60" s="64"/>
      <c r="MGI60" s="64"/>
      <c r="MGJ60" s="64"/>
      <c r="MGK60" s="64"/>
      <c r="MGL60" s="64"/>
      <c r="MGM60" s="64"/>
      <c r="MGN60" s="64"/>
      <c r="MGO60" s="64"/>
      <c r="MGP60" s="64"/>
      <c r="MGQ60" s="64"/>
      <c r="MGR60" s="64"/>
      <c r="MGS60" s="64"/>
      <c r="MGT60" s="64"/>
      <c r="MGU60" s="64"/>
      <c r="MGV60" s="64"/>
      <c r="MGW60" s="64"/>
      <c r="MGX60" s="64"/>
      <c r="MGY60" s="64"/>
      <c r="MGZ60" s="64"/>
      <c r="MHA60" s="64"/>
      <c r="MHB60" s="64"/>
      <c r="MHC60" s="64"/>
      <c r="MHD60" s="64"/>
      <c r="MHE60" s="64"/>
      <c r="MHF60" s="64"/>
      <c r="MHG60" s="64"/>
      <c r="MHH60" s="64"/>
      <c r="MHI60" s="64"/>
      <c r="MHJ60" s="64"/>
      <c r="MHK60" s="64"/>
      <c r="MHL60" s="64"/>
      <c r="MHM60" s="64"/>
      <c r="MHN60" s="64"/>
      <c r="MHO60" s="64"/>
      <c r="MHP60" s="64"/>
      <c r="MHQ60" s="64"/>
      <c r="MHR60" s="64"/>
      <c r="MHS60" s="64"/>
      <c r="MHT60" s="64"/>
      <c r="MHU60" s="64"/>
      <c r="MHV60" s="64"/>
      <c r="MHW60" s="64"/>
      <c r="MHX60" s="64"/>
      <c r="MHY60" s="64"/>
      <c r="MHZ60" s="64"/>
      <c r="MIA60" s="64"/>
      <c r="MIB60" s="64"/>
      <c r="MIC60" s="64"/>
      <c r="MID60" s="64"/>
      <c r="MIE60" s="64"/>
      <c r="MIF60" s="64"/>
      <c r="MIG60" s="64"/>
      <c r="MIH60" s="64"/>
      <c r="MII60" s="64"/>
      <c r="MIJ60" s="64"/>
      <c r="MIK60" s="64"/>
      <c r="MIL60" s="64"/>
      <c r="MIM60" s="64"/>
      <c r="MIN60" s="64"/>
      <c r="MIO60" s="64"/>
      <c r="MIP60" s="64"/>
      <c r="MIQ60" s="64"/>
      <c r="MIR60" s="64"/>
      <c r="MIS60" s="64"/>
      <c r="MIT60" s="64"/>
      <c r="MIU60" s="64"/>
      <c r="MIV60" s="64"/>
      <c r="MIW60" s="64"/>
      <c r="MIX60" s="64"/>
      <c r="MIY60" s="64"/>
      <c r="MIZ60" s="64"/>
      <c r="MJA60" s="64"/>
      <c r="MJB60" s="64"/>
      <c r="MJC60" s="64"/>
      <c r="MJD60" s="64"/>
      <c r="MJE60" s="64"/>
      <c r="MJF60" s="64"/>
      <c r="MJG60" s="64"/>
      <c r="MJH60" s="64"/>
      <c r="MJI60" s="64"/>
      <c r="MJJ60" s="64"/>
      <c r="MJK60" s="64"/>
      <c r="MJL60" s="64"/>
      <c r="MJM60" s="64"/>
      <c r="MJN60" s="64"/>
      <c r="MJO60" s="64"/>
      <c r="MJP60" s="64"/>
      <c r="MJQ60" s="64"/>
      <c r="MJR60" s="64"/>
      <c r="MJS60" s="64"/>
      <c r="MJT60" s="64"/>
      <c r="MJU60" s="64"/>
      <c r="MJV60" s="64"/>
      <c r="MJW60" s="64"/>
      <c r="MJX60" s="64"/>
      <c r="MJY60" s="64"/>
      <c r="MJZ60" s="64"/>
      <c r="MKA60" s="64"/>
      <c r="MKB60" s="64"/>
      <c r="MKC60" s="64"/>
      <c r="MKD60" s="64"/>
      <c r="MKE60" s="64"/>
      <c r="MKF60" s="64"/>
      <c r="MKG60" s="64"/>
      <c r="MKH60" s="64"/>
      <c r="MKI60" s="64"/>
      <c r="MKJ60" s="64"/>
      <c r="MKK60" s="64"/>
      <c r="MKL60" s="64"/>
      <c r="MKM60" s="64"/>
      <c r="MKN60" s="64"/>
      <c r="MKO60" s="64"/>
      <c r="MKP60" s="64"/>
      <c r="MKQ60" s="64"/>
      <c r="MKR60" s="64"/>
      <c r="MKS60" s="64"/>
      <c r="MKT60" s="64"/>
      <c r="MKU60" s="64"/>
      <c r="MKV60" s="64"/>
      <c r="MKW60" s="64"/>
      <c r="MKX60" s="64"/>
      <c r="MKY60" s="64"/>
      <c r="MKZ60" s="64"/>
      <c r="MLA60" s="64"/>
      <c r="MLB60" s="64"/>
      <c r="MLC60" s="64"/>
      <c r="MLD60" s="64"/>
      <c r="MLE60" s="64"/>
      <c r="MLF60" s="64"/>
      <c r="MLG60" s="64"/>
      <c r="MLH60" s="64"/>
      <c r="MLI60" s="64"/>
      <c r="MLJ60" s="64"/>
      <c r="MLK60" s="64"/>
      <c r="MLL60" s="64"/>
      <c r="MLM60" s="64"/>
      <c r="MLN60" s="64"/>
      <c r="MLO60" s="64"/>
      <c r="MLP60" s="64"/>
      <c r="MLQ60" s="64"/>
      <c r="MLR60" s="64"/>
      <c r="MLS60" s="64"/>
      <c r="MLT60" s="64"/>
      <c r="MLU60" s="64"/>
      <c r="MLV60" s="64"/>
      <c r="MLW60" s="64"/>
      <c r="MLX60" s="64"/>
      <c r="MLY60" s="64"/>
      <c r="MLZ60" s="64"/>
      <c r="MMA60" s="64"/>
      <c r="MMB60" s="64"/>
      <c r="MMC60" s="64"/>
      <c r="MMD60" s="64"/>
      <c r="MME60" s="64"/>
      <c r="MMF60" s="64"/>
      <c r="MMG60" s="64"/>
      <c r="MMH60" s="64"/>
      <c r="MMI60" s="64"/>
      <c r="MMJ60" s="64"/>
      <c r="MMK60" s="64"/>
      <c r="MML60" s="64"/>
      <c r="MMM60" s="64"/>
      <c r="MMN60" s="64"/>
      <c r="MMO60" s="64"/>
      <c r="MMP60" s="64"/>
      <c r="MMQ60" s="64"/>
      <c r="MMR60" s="64"/>
      <c r="MMS60" s="64"/>
      <c r="MMT60" s="64"/>
      <c r="MMU60" s="64"/>
      <c r="MMV60" s="64"/>
      <c r="MMW60" s="64"/>
      <c r="MMX60" s="64"/>
      <c r="MMY60" s="64"/>
      <c r="MMZ60" s="64"/>
      <c r="MNA60" s="64"/>
      <c r="MNB60" s="64"/>
      <c r="MNC60" s="64"/>
      <c r="MND60" s="64"/>
      <c r="MNE60" s="64"/>
      <c r="MNF60" s="64"/>
      <c r="MNG60" s="64"/>
      <c r="MNH60" s="64"/>
      <c r="MNI60" s="64"/>
      <c r="MNJ60" s="64"/>
      <c r="MNK60" s="64"/>
      <c r="MNL60" s="64"/>
      <c r="MNM60" s="64"/>
      <c r="MNN60" s="64"/>
      <c r="MNO60" s="64"/>
      <c r="MNP60" s="64"/>
      <c r="MNQ60" s="64"/>
      <c r="MNR60" s="64"/>
      <c r="MNS60" s="64"/>
      <c r="MNT60" s="64"/>
      <c r="MNU60" s="64"/>
      <c r="MNV60" s="64"/>
      <c r="MNW60" s="64"/>
      <c r="MNX60" s="64"/>
      <c r="MNY60" s="64"/>
      <c r="MNZ60" s="64"/>
      <c r="MOA60" s="64"/>
      <c r="MOB60" s="64"/>
      <c r="MOC60" s="64"/>
      <c r="MOD60" s="64"/>
      <c r="MOE60" s="64"/>
      <c r="MOF60" s="64"/>
      <c r="MOG60" s="64"/>
      <c r="MOH60" s="64"/>
      <c r="MOI60" s="64"/>
      <c r="MOJ60" s="64"/>
      <c r="MOK60" s="64"/>
      <c r="MOL60" s="64"/>
      <c r="MOM60" s="64"/>
      <c r="MON60" s="64"/>
      <c r="MOO60" s="64"/>
      <c r="MOP60" s="64"/>
      <c r="MOQ60" s="64"/>
      <c r="MOR60" s="64"/>
      <c r="MOS60" s="64"/>
      <c r="MOT60" s="64"/>
      <c r="MOU60" s="64"/>
      <c r="MOV60" s="64"/>
      <c r="MOW60" s="64"/>
      <c r="MOX60" s="64"/>
      <c r="MOY60" s="64"/>
      <c r="MOZ60" s="64"/>
      <c r="MPA60" s="64"/>
      <c r="MPB60" s="64"/>
      <c r="MPC60" s="64"/>
      <c r="MPD60" s="64"/>
      <c r="MPE60" s="64"/>
      <c r="MPF60" s="64"/>
      <c r="MPG60" s="64"/>
      <c r="MPH60" s="64"/>
      <c r="MPI60" s="64"/>
      <c r="MPJ60" s="64"/>
      <c r="MPK60" s="64"/>
      <c r="MPL60" s="64"/>
      <c r="MPM60" s="64"/>
      <c r="MPN60" s="64"/>
      <c r="MPO60" s="64"/>
      <c r="MPP60" s="64"/>
      <c r="MPQ60" s="64"/>
      <c r="MPR60" s="64"/>
      <c r="MPS60" s="64"/>
      <c r="MPT60" s="64"/>
      <c r="MPU60" s="64"/>
      <c r="MPV60" s="64"/>
      <c r="MPW60" s="64"/>
      <c r="MPX60" s="64"/>
      <c r="MPY60" s="64"/>
      <c r="MPZ60" s="64"/>
      <c r="MQA60" s="64"/>
      <c r="MQB60" s="64"/>
      <c r="MQC60" s="64"/>
      <c r="MQD60" s="64"/>
      <c r="MQE60" s="64"/>
      <c r="MQF60" s="64"/>
      <c r="MQG60" s="64"/>
      <c r="MQH60" s="64"/>
      <c r="MQI60" s="64"/>
      <c r="MQJ60" s="64"/>
      <c r="MQK60" s="64"/>
      <c r="MQL60" s="64"/>
      <c r="MQM60" s="64"/>
      <c r="MQN60" s="64"/>
      <c r="MQO60" s="64"/>
      <c r="MQP60" s="64"/>
      <c r="MQQ60" s="64"/>
      <c r="MQR60" s="64"/>
      <c r="MQS60" s="64"/>
      <c r="MQT60" s="64"/>
      <c r="MQU60" s="64"/>
      <c r="MQV60" s="64"/>
      <c r="MQW60" s="64"/>
      <c r="MQX60" s="64"/>
      <c r="MQY60" s="64"/>
      <c r="MQZ60" s="64"/>
      <c r="MRA60" s="64"/>
      <c r="MRB60" s="64"/>
      <c r="MRC60" s="64"/>
      <c r="MRD60" s="64"/>
      <c r="MRE60" s="64"/>
      <c r="MRF60" s="64"/>
      <c r="MRG60" s="64"/>
      <c r="MRH60" s="64"/>
      <c r="MRI60" s="64"/>
      <c r="MRJ60" s="64"/>
      <c r="MRK60" s="64"/>
      <c r="MRL60" s="64"/>
      <c r="MRM60" s="64"/>
      <c r="MRN60" s="64"/>
      <c r="MRO60" s="64"/>
      <c r="MRP60" s="64"/>
      <c r="MRQ60" s="64"/>
      <c r="MRR60" s="64"/>
      <c r="MRS60" s="64"/>
      <c r="MRT60" s="64"/>
      <c r="MRU60" s="64"/>
      <c r="MRV60" s="64"/>
      <c r="MRW60" s="64"/>
      <c r="MRX60" s="64"/>
      <c r="MRY60" s="64"/>
      <c r="MRZ60" s="64"/>
      <c r="MSA60" s="64"/>
      <c r="MSB60" s="64"/>
      <c r="MSC60" s="64"/>
      <c r="MSD60" s="64"/>
      <c r="MSE60" s="64"/>
      <c r="MSF60" s="64"/>
      <c r="MSG60" s="64"/>
      <c r="MSH60" s="64"/>
      <c r="MSI60" s="64"/>
      <c r="MSJ60" s="64"/>
      <c r="MSK60" s="64"/>
      <c r="MSL60" s="64"/>
      <c r="MSM60" s="64"/>
      <c r="MSN60" s="64"/>
      <c r="MSO60" s="64"/>
      <c r="MSP60" s="64"/>
      <c r="MSQ60" s="64"/>
      <c r="MSR60" s="64"/>
      <c r="MSS60" s="64"/>
      <c r="MST60" s="64"/>
      <c r="MSU60" s="64"/>
      <c r="MSV60" s="64"/>
      <c r="MSW60" s="64"/>
      <c r="MSX60" s="64"/>
      <c r="MSY60" s="64"/>
      <c r="MSZ60" s="64"/>
      <c r="MTA60" s="64"/>
      <c r="MTB60" s="64"/>
      <c r="MTC60" s="64"/>
      <c r="MTD60" s="64"/>
      <c r="MTE60" s="64"/>
      <c r="MTF60" s="64"/>
      <c r="MTG60" s="64"/>
      <c r="MTH60" s="64"/>
      <c r="MTI60" s="64"/>
      <c r="MTJ60" s="64"/>
      <c r="MTK60" s="64"/>
      <c r="MTL60" s="64"/>
      <c r="MTM60" s="64"/>
      <c r="MTN60" s="64"/>
      <c r="MTO60" s="64"/>
      <c r="MTP60" s="64"/>
      <c r="MTQ60" s="64"/>
      <c r="MTR60" s="64"/>
      <c r="MTS60" s="64"/>
      <c r="MTT60" s="64"/>
      <c r="MTU60" s="64"/>
      <c r="MTV60" s="64"/>
      <c r="MTW60" s="64"/>
      <c r="MTX60" s="64"/>
      <c r="MTY60" s="64"/>
      <c r="MTZ60" s="64"/>
      <c r="MUA60" s="64"/>
      <c r="MUB60" s="64"/>
      <c r="MUC60" s="64"/>
      <c r="MUD60" s="64"/>
      <c r="MUE60" s="64"/>
      <c r="MUF60" s="64"/>
      <c r="MUG60" s="64"/>
      <c r="MUH60" s="64"/>
      <c r="MUI60" s="64"/>
      <c r="MUJ60" s="64"/>
      <c r="MUK60" s="64"/>
      <c r="MUL60" s="64"/>
      <c r="MUM60" s="64"/>
      <c r="MUN60" s="64"/>
      <c r="MUO60" s="64"/>
      <c r="MUP60" s="64"/>
      <c r="MUQ60" s="64"/>
      <c r="MUR60" s="64"/>
      <c r="MUS60" s="64"/>
      <c r="MUT60" s="64"/>
      <c r="MUU60" s="64"/>
      <c r="MUV60" s="64"/>
      <c r="MUW60" s="64"/>
      <c r="MUX60" s="64"/>
      <c r="MUY60" s="64"/>
      <c r="MUZ60" s="64"/>
      <c r="MVA60" s="64"/>
      <c r="MVB60" s="64"/>
      <c r="MVC60" s="64"/>
      <c r="MVD60" s="64"/>
      <c r="MVE60" s="64"/>
      <c r="MVF60" s="64"/>
      <c r="MVG60" s="64"/>
      <c r="MVH60" s="64"/>
      <c r="MVI60" s="64"/>
      <c r="MVJ60" s="64"/>
      <c r="MVK60" s="64"/>
      <c r="MVL60" s="64"/>
      <c r="MVM60" s="64"/>
      <c r="MVN60" s="64"/>
      <c r="MVO60" s="64"/>
      <c r="MVP60" s="64"/>
      <c r="MVQ60" s="64"/>
      <c r="MVR60" s="64"/>
      <c r="MVS60" s="64"/>
      <c r="MVT60" s="64"/>
      <c r="MVU60" s="64"/>
      <c r="MVV60" s="64"/>
      <c r="MVW60" s="64"/>
      <c r="MVX60" s="64"/>
      <c r="MVY60" s="64"/>
      <c r="MVZ60" s="64"/>
      <c r="MWA60" s="64"/>
      <c r="MWB60" s="64"/>
      <c r="MWC60" s="64"/>
      <c r="MWD60" s="64"/>
      <c r="MWE60" s="64"/>
      <c r="MWF60" s="64"/>
      <c r="MWG60" s="64"/>
      <c r="MWH60" s="64"/>
      <c r="MWI60" s="64"/>
      <c r="MWJ60" s="64"/>
      <c r="MWK60" s="64"/>
      <c r="MWL60" s="64"/>
      <c r="MWM60" s="64"/>
      <c r="MWN60" s="64"/>
      <c r="MWO60" s="64"/>
      <c r="MWP60" s="64"/>
      <c r="MWQ60" s="64"/>
      <c r="MWR60" s="64"/>
      <c r="MWS60" s="64"/>
      <c r="MWT60" s="64"/>
      <c r="MWU60" s="64"/>
      <c r="MWV60" s="64"/>
      <c r="MWW60" s="64"/>
      <c r="MWX60" s="64"/>
      <c r="MWY60" s="64"/>
      <c r="MWZ60" s="64"/>
      <c r="MXA60" s="64"/>
      <c r="MXB60" s="64"/>
      <c r="MXC60" s="64"/>
      <c r="MXD60" s="64"/>
      <c r="MXE60" s="64"/>
      <c r="MXF60" s="64"/>
      <c r="MXG60" s="64"/>
      <c r="MXH60" s="64"/>
      <c r="MXI60" s="64"/>
      <c r="MXJ60" s="64"/>
      <c r="MXK60" s="64"/>
      <c r="MXL60" s="64"/>
      <c r="MXM60" s="64"/>
      <c r="MXN60" s="64"/>
      <c r="MXO60" s="64"/>
      <c r="MXP60" s="64"/>
      <c r="MXQ60" s="64"/>
      <c r="MXR60" s="64"/>
      <c r="MXS60" s="64"/>
      <c r="MXT60" s="64"/>
      <c r="MXU60" s="64"/>
      <c r="MXV60" s="64"/>
      <c r="MXW60" s="64"/>
      <c r="MXX60" s="64"/>
      <c r="MXY60" s="64"/>
      <c r="MXZ60" s="64"/>
      <c r="MYA60" s="64"/>
      <c r="MYB60" s="64"/>
      <c r="MYC60" s="64"/>
      <c r="MYD60" s="64"/>
      <c r="MYE60" s="64"/>
      <c r="MYF60" s="64"/>
      <c r="MYG60" s="64"/>
      <c r="MYH60" s="64"/>
      <c r="MYI60" s="64"/>
      <c r="MYJ60" s="64"/>
      <c r="MYK60" s="64"/>
      <c r="MYL60" s="64"/>
      <c r="MYM60" s="64"/>
      <c r="MYN60" s="64"/>
      <c r="MYO60" s="64"/>
      <c r="MYP60" s="64"/>
      <c r="MYQ60" s="64"/>
      <c r="MYR60" s="64"/>
      <c r="MYS60" s="64"/>
      <c r="MYT60" s="64"/>
      <c r="MYU60" s="64"/>
      <c r="MYV60" s="64"/>
      <c r="MYW60" s="64"/>
      <c r="MYX60" s="64"/>
      <c r="MYY60" s="64"/>
      <c r="MYZ60" s="64"/>
      <c r="MZA60" s="64"/>
      <c r="MZB60" s="64"/>
      <c r="MZC60" s="64"/>
      <c r="MZD60" s="64"/>
      <c r="MZE60" s="64"/>
      <c r="MZF60" s="64"/>
      <c r="MZG60" s="64"/>
      <c r="MZH60" s="64"/>
      <c r="MZI60" s="64"/>
      <c r="MZJ60" s="64"/>
      <c r="MZK60" s="64"/>
      <c r="MZL60" s="64"/>
      <c r="MZM60" s="64"/>
      <c r="MZN60" s="64"/>
      <c r="MZO60" s="64"/>
      <c r="MZP60" s="64"/>
      <c r="MZQ60" s="64"/>
      <c r="MZR60" s="64"/>
      <c r="MZS60" s="64"/>
      <c r="MZT60" s="64"/>
      <c r="MZU60" s="64"/>
      <c r="MZV60" s="64"/>
      <c r="MZW60" s="64"/>
      <c r="MZX60" s="64"/>
      <c r="MZY60" s="64"/>
      <c r="MZZ60" s="64"/>
      <c r="NAA60" s="64"/>
      <c r="NAB60" s="64"/>
      <c r="NAC60" s="64"/>
      <c r="NAD60" s="64"/>
      <c r="NAE60" s="64"/>
      <c r="NAF60" s="64"/>
      <c r="NAG60" s="64"/>
      <c r="NAH60" s="64"/>
      <c r="NAI60" s="64"/>
      <c r="NAJ60" s="64"/>
      <c r="NAK60" s="64"/>
      <c r="NAL60" s="64"/>
      <c r="NAM60" s="64"/>
      <c r="NAN60" s="64"/>
      <c r="NAO60" s="64"/>
      <c r="NAP60" s="64"/>
      <c r="NAQ60" s="64"/>
      <c r="NAR60" s="64"/>
      <c r="NAS60" s="64"/>
      <c r="NAT60" s="64"/>
      <c r="NAU60" s="64"/>
      <c r="NAV60" s="64"/>
      <c r="NAW60" s="64"/>
      <c r="NAX60" s="64"/>
      <c r="NAY60" s="64"/>
      <c r="NAZ60" s="64"/>
      <c r="NBA60" s="64"/>
      <c r="NBB60" s="64"/>
      <c r="NBC60" s="64"/>
      <c r="NBD60" s="64"/>
      <c r="NBE60" s="64"/>
      <c r="NBF60" s="64"/>
      <c r="NBG60" s="64"/>
      <c r="NBH60" s="64"/>
      <c r="NBI60" s="64"/>
      <c r="NBJ60" s="64"/>
      <c r="NBK60" s="64"/>
      <c r="NBL60" s="64"/>
      <c r="NBM60" s="64"/>
      <c r="NBN60" s="64"/>
      <c r="NBO60" s="64"/>
      <c r="NBP60" s="64"/>
      <c r="NBQ60" s="64"/>
      <c r="NBR60" s="64"/>
      <c r="NBS60" s="64"/>
      <c r="NBT60" s="64"/>
      <c r="NBU60" s="64"/>
      <c r="NBV60" s="64"/>
      <c r="NBW60" s="64"/>
      <c r="NBX60" s="64"/>
      <c r="NBY60" s="64"/>
      <c r="NBZ60" s="64"/>
      <c r="NCA60" s="64"/>
      <c r="NCB60" s="64"/>
      <c r="NCC60" s="64"/>
      <c r="NCD60" s="64"/>
      <c r="NCE60" s="64"/>
      <c r="NCF60" s="64"/>
      <c r="NCG60" s="64"/>
      <c r="NCH60" s="64"/>
      <c r="NCI60" s="64"/>
      <c r="NCJ60" s="64"/>
      <c r="NCK60" s="64"/>
      <c r="NCL60" s="64"/>
      <c r="NCM60" s="64"/>
      <c r="NCN60" s="64"/>
      <c r="NCO60" s="64"/>
      <c r="NCP60" s="64"/>
      <c r="NCQ60" s="64"/>
      <c r="NCR60" s="64"/>
      <c r="NCS60" s="64"/>
      <c r="NCT60" s="64"/>
      <c r="NCU60" s="64"/>
      <c r="NCV60" s="64"/>
      <c r="NCW60" s="64"/>
      <c r="NCX60" s="64"/>
      <c r="NCY60" s="64"/>
      <c r="NCZ60" s="64"/>
      <c r="NDA60" s="64"/>
      <c r="NDB60" s="64"/>
      <c r="NDC60" s="64"/>
      <c r="NDD60" s="64"/>
      <c r="NDE60" s="64"/>
      <c r="NDF60" s="64"/>
      <c r="NDG60" s="64"/>
      <c r="NDH60" s="64"/>
      <c r="NDI60" s="64"/>
      <c r="NDJ60" s="64"/>
      <c r="NDK60" s="64"/>
      <c r="NDL60" s="64"/>
      <c r="NDM60" s="64"/>
      <c r="NDN60" s="64"/>
      <c r="NDO60" s="64"/>
      <c r="NDP60" s="64"/>
      <c r="NDQ60" s="64"/>
      <c r="NDR60" s="64"/>
      <c r="NDS60" s="64"/>
      <c r="NDT60" s="64"/>
      <c r="NDU60" s="64"/>
      <c r="NDV60" s="64"/>
      <c r="NDW60" s="64"/>
      <c r="NDX60" s="64"/>
      <c r="NDY60" s="64"/>
      <c r="NDZ60" s="64"/>
      <c r="NEA60" s="64"/>
      <c r="NEB60" s="64"/>
      <c r="NEC60" s="64"/>
      <c r="NED60" s="64"/>
      <c r="NEE60" s="64"/>
      <c r="NEF60" s="64"/>
      <c r="NEG60" s="64"/>
      <c r="NEH60" s="64"/>
      <c r="NEI60" s="64"/>
      <c r="NEJ60" s="64"/>
      <c r="NEK60" s="64"/>
      <c r="NEL60" s="64"/>
      <c r="NEM60" s="64"/>
      <c r="NEN60" s="64"/>
      <c r="NEO60" s="64"/>
      <c r="NEP60" s="64"/>
      <c r="NEQ60" s="64"/>
      <c r="NER60" s="64"/>
      <c r="NES60" s="64"/>
      <c r="NET60" s="64"/>
      <c r="NEU60" s="64"/>
      <c r="NEV60" s="64"/>
      <c r="NEW60" s="64"/>
      <c r="NEX60" s="64"/>
      <c r="NEY60" s="64"/>
      <c r="NEZ60" s="64"/>
      <c r="NFA60" s="64"/>
      <c r="NFB60" s="64"/>
      <c r="NFC60" s="64"/>
      <c r="NFD60" s="64"/>
      <c r="NFE60" s="64"/>
      <c r="NFF60" s="64"/>
      <c r="NFG60" s="64"/>
      <c r="NFH60" s="64"/>
      <c r="NFI60" s="64"/>
      <c r="NFJ60" s="64"/>
      <c r="NFK60" s="64"/>
      <c r="NFL60" s="64"/>
      <c r="NFM60" s="64"/>
      <c r="NFN60" s="64"/>
      <c r="NFO60" s="64"/>
      <c r="NFP60" s="64"/>
      <c r="NFQ60" s="64"/>
      <c r="NFR60" s="64"/>
      <c r="NFS60" s="64"/>
      <c r="NFT60" s="64"/>
      <c r="NFU60" s="64"/>
      <c r="NFV60" s="64"/>
      <c r="NFW60" s="64"/>
      <c r="NFX60" s="64"/>
      <c r="NFY60" s="64"/>
      <c r="NFZ60" s="64"/>
      <c r="NGA60" s="64"/>
      <c r="NGB60" s="64"/>
      <c r="NGC60" s="64"/>
      <c r="NGD60" s="64"/>
      <c r="NGE60" s="64"/>
      <c r="NGF60" s="64"/>
      <c r="NGG60" s="64"/>
      <c r="NGH60" s="64"/>
      <c r="NGI60" s="64"/>
      <c r="NGJ60" s="64"/>
      <c r="NGK60" s="64"/>
      <c r="NGL60" s="64"/>
      <c r="NGM60" s="64"/>
      <c r="NGN60" s="64"/>
      <c r="NGO60" s="64"/>
      <c r="NGP60" s="64"/>
      <c r="NGQ60" s="64"/>
      <c r="NGR60" s="64"/>
      <c r="NGS60" s="64"/>
      <c r="NGT60" s="64"/>
      <c r="NGU60" s="64"/>
      <c r="NGV60" s="64"/>
      <c r="NGW60" s="64"/>
      <c r="NGX60" s="64"/>
      <c r="NGY60" s="64"/>
      <c r="NGZ60" s="64"/>
      <c r="NHA60" s="64"/>
      <c r="NHB60" s="64"/>
      <c r="NHC60" s="64"/>
      <c r="NHD60" s="64"/>
      <c r="NHE60" s="64"/>
      <c r="NHF60" s="64"/>
      <c r="NHG60" s="64"/>
      <c r="NHH60" s="64"/>
      <c r="NHI60" s="64"/>
      <c r="NHJ60" s="64"/>
      <c r="NHK60" s="64"/>
      <c r="NHL60" s="64"/>
      <c r="NHM60" s="64"/>
      <c r="NHN60" s="64"/>
      <c r="NHO60" s="64"/>
      <c r="NHP60" s="64"/>
      <c r="NHQ60" s="64"/>
      <c r="NHR60" s="64"/>
      <c r="NHS60" s="64"/>
      <c r="NHT60" s="64"/>
      <c r="NHU60" s="64"/>
      <c r="NHV60" s="64"/>
      <c r="NHW60" s="64"/>
      <c r="NHX60" s="64"/>
      <c r="NHY60" s="64"/>
      <c r="NHZ60" s="64"/>
      <c r="NIA60" s="64"/>
      <c r="NIB60" s="64"/>
      <c r="NIC60" s="64"/>
      <c r="NID60" s="64"/>
      <c r="NIE60" s="64"/>
      <c r="NIF60" s="64"/>
      <c r="NIG60" s="64"/>
      <c r="NIH60" s="64"/>
      <c r="NII60" s="64"/>
      <c r="NIJ60" s="64"/>
      <c r="NIK60" s="64"/>
      <c r="NIL60" s="64"/>
      <c r="NIM60" s="64"/>
      <c r="NIN60" s="64"/>
      <c r="NIO60" s="64"/>
      <c r="NIP60" s="64"/>
      <c r="NIQ60" s="64"/>
      <c r="NIR60" s="64"/>
      <c r="NIS60" s="64"/>
      <c r="NIT60" s="64"/>
      <c r="NIU60" s="64"/>
      <c r="NIV60" s="64"/>
      <c r="NIW60" s="64"/>
      <c r="NIX60" s="64"/>
      <c r="NIY60" s="64"/>
      <c r="NIZ60" s="64"/>
      <c r="NJA60" s="64"/>
      <c r="NJB60" s="64"/>
      <c r="NJC60" s="64"/>
      <c r="NJD60" s="64"/>
      <c r="NJE60" s="64"/>
      <c r="NJF60" s="64"/>
      <c r="NJG60" s="64"/>
      <c r="NJH60" s="64"/>
      <c r="NJI60" s="64"/>
      <c r="NJJ60" s="64"/>
      <c r="NJK60" s="64"/>
      <c r="NJL60" s="64"/>
      <c r="NJM60" s="64"/>
      <c r="NJN60" s="64"/>
      <c r="NJO60" s="64"/>
      <c r="NJP60" s="64"/>
      <c r="NJQ60" s="64"/>
      <c r="NJR60" s="64"/>
      <c r="NJS60" s="64"/>
      <c r="NJT60" s="64"/>
      <c r="NJU60" s="64"/>
      <c r="NJV60" s="64"/>
      <c r="NJW60" s="64"/>
      <c r="NJX60" s="64"/>
      <c r="NJY60" s="64"/>
      <c r="NJZ60" s="64"/>
      <c r="NKA60" s="64"/>
      <c r="NKB60" s="64"/>
      <c r="NKC60" s="64"/>
      <c r="NKD60" s="64"/>
      <c r="NKE60" s="64"/>
      <c r="NKF60" s="64"/>
      <c r="NKG60" s="64"/>
      <c r="NKH60" s="64"/>
      <c r="NKI60" s="64"/>
      <c r="NKJ60" s="64"/>
      <c r="NKK60" s="64"/>
      <c r="NKL60" s="64"/>
      <c r="NKM60" s="64"/>
      <c r="NKN60" s="64"/>
      <c r="NKO60" s="64"/>
      <c r="NKP60" s="64"/>
      <c r="NKQ60" s="64"/>
      <c r="NKR60" s="64"/>
      <c r="NKS60" s="64"/>
      <c r="NKT60" s="64"/>
      <c r="NKU60" s="64"/>
      <c r="NKV60" s="64"/>
      <c r="NKW60" s="64"/>
      <c r="NKX60" s="64"/>
      <c r="NKY60" s="64"/>
      <c r="NKZ60" s="64"/>
      <c r="NLA60" s="64"/>
      <c r="NLB60" s="64"/>
      <c r="NLC60" s="64"/>
      <c r="NLD60" s="64"/>
      <c r="NLE60" s="64"/>
      <c r="NLF60" s="64"/>
      <c r="NLG60" s="64"/>
      <c r="NLH60" s="64"/>
      <c r="NLI60" s="64"/>
      <c r="NLJ60" s="64"/>
      <c r="NLK60" s="64"/>
      <c r="NLL60" s="64"/>
      <c r="NLM60" s="64"/>
      <c r="NLN60" s="64"/>
      <c r="NLO60" s="64"/>
      <c r="NLP60" s="64"/>
      <c r="NLQ60" s="64"/>
      <c r="NLR60" s="64"/>
      <c r="NLS60" s="64"/>
      <c r="NLT60" s="64"/>
      <c r="NLU60" s="64"/>
      <c r="NLV60" s="64"/>
      <c r="NLW60" s="64"/>
      <c r="NLX60" s="64"/>
      <c r="NLY60" s="64"/>
      <c r="NLZ60" s="64"/>
      <c r="NMA60" s="64"/>
      <c r="NMB60" s="64"/>
      <c r="NMC60" s="64"/>
      <c r="NMD60" s="64"/>
      <c r="NME60" s="64"/>
      <c r="NMF60" s="64"/>
      <c r="NMG60" s="64"/>
      <c r="NMH60" s="64"/>
      <c r="NMI60" s="64"/>
      <c r="NMJ60" s="64"/>
      <c r="NMK60" s="64"/>
      <c r="NML60" s="64"/>
      <c r="NMM60" s="64"/>
      <c r="NMN60" s="64"/>
      <c r="NMO60" s="64"/>
      <c r="NMP60" s="64"/>
      <c r="NMQ60" s="64"/>
      <c r="NMR60" s="64"/>
      <c r="NMS60" s="64"/>
      <c r="NMT60" s="64"/>
      <c r="NMU60" s="64"/>
      <c r="NMV60" s="64"/>
      <c r="NMW60" s="64"/>
      <c r="NMX60" s="64"/>
      <c r="NMY60" s="64"/>
      <c r="NMZ60" s="64"/>
      <c r="NNA60" s="64"/>
      <c r="NNB60" s="64"/>
      <c r="NNC60" s="64"/>
      <c r="NND60" s="64"/>
      <c r="NNE60" s="64"/>
      <c r="NNF60" s="64"/>
      <c r="NNG60" s="64"/>
      <c r="NNH60" s="64"/>
      <c r="NNI60" s="64"/>
      <c r="NNJ60" s="64"/>
      <c r="NNK60" s="64"/>
      <c r="NNL60" s="64"/>
      <c r="NNM60" s="64"/>
      <c r="NNN60" s="64"/>
      <c r="NNO60" s="64"/>
      <c r="NNP60" s="64"/>
      <c r="NNQ60" s="64"/>
      <c r="NNR60" s="64"/>
      <c r="NNS60" s="64"/>
      <c r="NNT60" s="64"/>
      <c r="NNU60" s="64"/>
      <c r="NNV60" s="64"/>
      <c r="NNW60" s="64"/>
      <c r="NNX60" s="64"/>
      <c r="NNY60" s="64"/>
      <c r="NNZ60" s="64"/>
      <c r="NOA60" s="64"/>
      <c r="NOB60" s="64"/>
      <c r="NOC60" s="64"/>
      <c r="NOD60" s="64"/>
      <c r="NOE60" s="64"/>
      <c r="NOF60" s="64"/>
      <c r="NOG60" s="64"/>
      <c r="NOH60" s="64"/>
      <c r="NOI60" s="64"/>
      <c r="NOJ60" s="64"/>
      <c r="NOK60" s="64"/>
      <c r="NOL60" s="64"/>
      <c r="NOM60" s="64"/>
      <c r="NON60" s="64"/>
      <c r="NOO60" s="64"/>
      <c r="NOP60" s="64"/>
      <c r="NOQ60" s="64"/>
      <c r="NOR60" s="64"/>
      <c r="NOS60" s="64"/>
      <c r="NOT60" s="64"/>
      <c r="NOU60" s="64"/>
      <c r="NOV60" s="64"/>
      <c r="NOW60" s="64"/>
      <c r="NOX60" s="64"/>
      <c r="NOY60" s="64"/>
      <c r="NOZ60" s="64"/>
      <c r="NPA60" s="64"/>
      <c r="NPB60" s="64"/>
      <c r="NPC60" s="64"/>
      <c r="NPD60" s="64"/>
      <c r="NPE60" s="64"/>
      <c r="NPF60" s="64"/>
      <c r="NPG60" s="64"/>
      <c r="NPH60" s="64"/>
      <c r="NPI60" s="64"/>
      <c r="NPJ60" s="64"/>
      <c r="NPK60" s="64"/>
      <c r="NPL60" s="64"/>
      <c r="NPM60" s="64"/>
      <c r="NPN60" s="64"/>
      <c r="NPO60" s="64"/>
      <c r="NPP60" s="64"/>
      <c r="NPQ60" s="64"/>
      <c r="NPR60" s="64"/>
      <c r="NPS60" s="64"/>
      <c r="NPT60" s="64"/>
      <c r="NPU60" s="64"/>
      <c r="NPV60" s="64"/>
      <c r="NPW60" s="64"/>
      <c r="NPX60" s="64"/>
      <c r="NPY60" s="64"/>
      <c r="NPZ60" s="64"/>
      <c r="NQA60" s="64"/>
      <c r="NQB60" s="64"/>
      <c r="NQC60" s="64"/>
      <c r="NQD60" s="64"/>
      <c r="NQE60" s="64"/>
      <c r="NQF60" s="64"/>
      <c r="NQG60" s="64"/>
      <c r="NQH60" s="64"/>
      <c r="NQI60" s="64"/>
      <c r="NQJ60" s="64"/>
      <c r="NQK60" s="64"/>
      <c r="NQL60" s="64"/>
      <c r="NQM60" s="64"/>
      <c r="NQN60" s="64"/>
      <c r="NQO60" s="64"/>
      <c r="NQP60" s="64"/>
      <c r="NQQ60" s="64"/>
      <c r="NQR60" s="64"/>
      <c r="NQS60" s="64"/>
      <c r="NQT60" s="64"/>
      <c r="NQU60" s="64"/>
      <c r="NQV60" s="64"/>
      <c r="NQW60" s="64"/>
      <c r="NQX60" s="64"/>
      <c r="NQY60" s="64"/>
      <c r="NQZ60" s="64"/>
      <c r="NRA60" s="64"/>
      <c r="NRB60" s="64"/>
      <c r="NRC60" s="64"/>
      <c r="NRD60" s="64"/>
      <c r="NRE60" s="64"/>
      <c r="NRF60" s="64"/>
      <c r="NRG60" s="64"/>
      <c r="NRH60" s="64"/>
      <c r="NRI60" s="64"/>
      <c r="NRJ60" s="64"/>
      <c r="NRK60" s="64"/>
      <c r="NRL60" s="64"/>
      <c r="NRM60" s="64"/>
      <c r="NRN60" s="64"/>
      <c r="NRO60" s="64"/>
      <c r="NRP60" s="64"/>
      <c r="NRQ60" s="64"/>
      <c r="NRR60" s="64"/>
      <c r="NRS60" s="64"/>
      <c r="NRT60" s="64"/>
      <c r="NRU60" s="64"/>
      <c r="NRV60" s="64"/>
      <c r="NRW60" s="64"/>
      <c r="NRX60" s="64"/>
      <c r="NRY60" s="64"/>
      <c r="NRZ60" s="64"/>
      <c r="NSA60" s="64"/>
      <c r="NSB60" s="64"/>
      <c r="NSC60" s="64"/>
      <c r="NSD60" s="64"/>
      <c r="NSE60" s="64"/>
      <c r="NSF60" s="64"/>
      <c r="NSG60" s="64"/>
      <c r="NSH60" s="64"/>
      <c r="NSI60" s="64"/>
      <c r="NSJ60" s="64"/>
      <c r="NSK60" s="64"/>
      <c r="NSL60" s="64"/>
      <c r="NSM60" s="64"/>
      <c r="NSN60" s="64"/>
      <c r="NSO60" s="64"/>
      <c r="NSP60" s="64"/>
      <c r="NSQ60" s="64"/>
      <c r="NSR60" s="64"/>
      <c r="NSS60" s="64"/>
      <c r="NST60" s="64"/>
      <c r="NSU60" s="64"/>
      <c r="NSV60" s="64"/>
      <c r="NSW60" s="64"/>
      <c r="NSX60" s="64"/>
      <c r="NSY60" s="64"/>
      <c r="NSZ60" s="64"/>
      <c r="NTA60" s="64"/>
      <c r="NTB60" s="64"/>
      <c r="NTC60" s="64"/>
      <c r="NTD60" s="64"/>
      <c r="NTE60" s="64"/>
      <c r="NTF60" s="64"/>
      <c r="NTG60" s="64"/>
      <c r="NTH60" s="64"/>
      <c r="NTI60" s="64"/>
      <c r="NTJ60" s="64"/>
      <c r="NTK60" s="64"/>
      <c r="NTL60" s="64"/>
      <c r="NTM60" s="64"/>
      <c r="NTN60" s="64"/>
      <c r="NTO60" s="64"/>
      <c r="NTP60" s="64"/>
      <c r="NTQ60" s="64"/>
      <c r="NTR60" s="64"/>
      <c r="NTS60" s="64"/>
      <c r="NTT60" s="64"/>
      <c r="NTU60" s="64"/>
      <c r="NTV60" s="64"/>
      <c r="NTW60" s="64"/>
      <c r="NTX60" s="64"/>
      <c r="NTY60" s="64"/>
      <c r="NTZ60" s="64"/>
      <c r="NUA60" s="64"/>
      <c r="NUB60" s="64"/>
      <c r="NUC60" s="64"/>
      <c r="NUD60" s="64"/>
      <c r="NUE60" s="64"/>
      <c r="NUF60" s="64"/>
      <c r="NUG60" s="64"/>
      <c r="NUH60" s="64"/>
      <c r="NUI60" s="64"/>
      <c r="NUJ60" s="64"/>
      <c r="NUK60" s="64"/>
      <c r="NUL60" s="64"/>
      <c r="NUM60" s="64"/>
      <c r="NUN60" s="64"/>
      <c r="NUO60" s="64"/>
      <c r="NUP60" s="64"/>
      <c r="NUQ60" s="64"/>
      <c r="NUR60" s="64"/>
      <c r="NUS60" s="64"/>
      <c r="NUT60" s="64"/>
      <c r="NUU60" s="64"/>
      <c r="NUV60" s="64"/>
      <c r="NUW60" s="64"/>
      <c r="NUX60" s="64"/>
      <c r="NUY60" s="64"/>
      <c r="NUZ60" s="64"/>
      <c r="NVA60" s="64"/>
      <c r="NVB60" s="64"/>
      <c r="NVC60" s="64"/>
      <c r="NVD60" s="64"/>
      <c r="NVE60" s="64"/>
      <c r="NVF60" s="64"/>
      <c r="NVG60" s="64"/>
      <c r="NVH60" s="64"/>
      <c r="NVI60" s="64"/>
      <c r="NVJ60" s="64"/>
      <c r="NVK60" s="64"/>
      <c r="NVL60" s="64"/>
      <c r="NVM60" s="64"/>
      <c r="NVN60" s="64"/>
      <c r="NVO60" s="64"/>
      <c r="NVP60" s="64"/>
      <c r="NVQ60" s="64"/>
      <c r="NVR60" s="64"/>
      <c r="NVS60" s="64"/>
      <c r="NVT60" s="64"/>
      <c r="NVU60" s="64"/>
      <c r="NVV60" s="64"/>
      <c r="NVW60" s="64"/>
      <c r="NVX60" s="64"/>
      <c r="NVY60" s="64"/>
      <c r="NVZ60" s="64"/>
      <c r="NWA60" s="64"/>
      <c r="NWB60" s="64"/>
      <c r="NWC60" s="64"/>
      <c r="NWD60" s="64"/>
      <c r="NWE60" s="64"/>
      <c r="NWF60" s="64"/>
      <c r="NWG60" s="64"/>
      <c r="NWH60" s="64"/>
      <c r="NWI60" s="64"/>
      <c r="NWJ60" s="64"/>
      <c r="NWK60" s="64"/>
      <c r="NWL60" s="64"/>
      <c r="NWM60" s="64"/>
      <c r="NWN60" s="64"/>
      <c r="NWO60" s="64"/>
      <c r="NWP60" s="64"/>
      <c r="NWQ60" s="64"/>
      <c r="NWR60" s="64"/>
      <c r="NWS60" s="64"/>
      <c r="NWT60" s="64"/>
      <c r="NWU60" s="64"/>
      <c r="NWV60" s="64"/>
      <c r="NWW60" s="64"/>
      <c r="NWX60" s="64"/>
      <c r="NWY60" s="64"/>
      <c r="NWZ60" s="64"/>
      <c r="NXA60" s="64"/>
      <c r="NXB60" s="64"/>
      <c r="NXC60" s="64"/>
      <c r="NXD60" s="64"/>
      <c r="NXE60" s="64"/>
      <c r="NXF60" s="64"/>
      <c r="NXG60" s="64"/>
      <c r="NXH60" s="64"/>
      <c r="NXI60" s="64"/>
      <c r="NXJ60" s="64"/>
      <c r="NXK60" s="64"/>
      <c r="NXL60" s="64"/>
      <c r="NXM60" s="64"/>
      <c r="NXN60" s="64"/>
      <c r="NXO60" s="64"/>
      <c r="NXP60" s="64"/>
      <c r="NXQ60" s="64"/>
      <c r="NXR60" s="64"/>
      <c r="NXS60" s="64"/>
      <c r="NXT60" s="64"/>
      <c r="NXU60" s="64"/>
      <c r="NXV60" s="64"/>
      <c r="NXW60" s="64"/>
      <c r="NXX60" s="64"/>
      <c r="NXY60" s="64"/>
      <c r="NXZ60" s="64"/>
      <c r="NYA60" s="64"/>
      <c r="NYB60" s="64"/>
      <c r="NYC60" s="64"/>
      <c r="NYD60" s="64"/>
      <c r="NYE60" s="64"/>
      <c r="NYF60" s="64"/>
      <c r="NYG60" s="64"/>
      <c r="NYH60" s="64"/>
      <c r="NYI60" s="64"/>
      <c r="NYJ60" s="64"/>
      <c r="NYK60" s="64"/>
      <c r="NYL60" s="64"/>
      <c r="NYM60" s="64"/>
      <c r="NYN60" s="64"/>
      <c r="NYO60" s="64"/>
      <c r="NYP60" s="64"/>
      <c r="NYQ60" s="64"/>
      <c r="NYR60" s="64"/>
      <c r="NYS60" s="64"/>
      <c r="NYT60" s="64"/>
      <c r="NYU60" s="64"/>
      <c r="NYV60" s="64"/>
      <c r="NYW60" s="64"/>
      <c r="NYX60" s="64"/>
      <c r="NYY60" s="64"/>
      <c r="NYZ60" s="64"/>
      <c r="NZA60" s="64"/>
      <c r="NZB60" s="64"/>
      <c r="NZC60" s="64"/>
      <c r="NZD60" s="64"/>
      <c r="NZE60" s="64"/>
      <c r="NZF60" s="64"/>
      <c r="NZG60" s="64"/>
      <c r="NZH60" s="64"/>
      <c r="NZI60" s="64"/>
      <c r="NZJ60" s="64"/>
      <c r="NZK60" s="64"/>
      <c r="NZL60" s="64"/>
      <c r="NZM60" s="64"/>
      <c r="NZN60" s="64"/>
      <c r="NZO60" s="64"/>
      <c r="NZP60" s="64"/>
      <c r="NZQ60" s="64"/>
      <c r="NZR60" s="64"/>
      <c r="NZS60" s="64"/>
      <c r="NZT60" s="64"/>
      <c r="NZU60" s="64"/>
      <c r="NZV60" s="64"/>
      <c r="NZW60" s="64"/>
      <c r="NZX60" s="64"/>
      <c r="NZY60" s="64"/>
      <c r="NZZ60" s="64"/>
      <c r="OAA60" s="64"/>
      <c r="OAB60" s="64"/>
      <c r="OAC60" s="64"/>
      <c r="OAD60" s="64"/>
      <c r="OAE60" s="64"/>
      <c r="OAF60" s="64"/>
      <c r="OAG60" s="64"/>
      <c r="OAH60" s="64"/>
      <c r="OAI60" s="64"/>
      <c r="OAJ60" s="64"/>
      <c r="OAK60" s="64"/>
      <c r="OAL60" s="64"/>
      <c r="OAM60" s="64"/>
      <c r="OAN60" s="64"/>
      <c r="OAO60" s="64"/>
      <c r="OAP60" s="64"/>
      <c r="OAQ60" s="64"/>
      <c r="OAR60" s="64"/>
      <c r="OAS60" s="64"/>
      <c r="OAT60" s="64"/>
      <c r="OAU60" s="64"/>
      <c r="OAV60" s="64"/>
      <c r="OAW60" s="64"/>
      <c r="OAX60" s="64"/>
      <c r="OAY60" s="64"/>
      <c r="OAZ60" s="64"/>
      <c r="OBA60" s="64"/>
      <c r="OBB60" s="64"/>
      <c r="OBC60" s="64"/>
      <c r="OBD60" s="64"/>
      <c r="OBE60" s="64"/>
      <c r="OBF60" s="64"/>
      <c r="OBG60" s="64"/>
      <c r="OBH60" s="64"/>
      <c r="OBI60" s="64"/>
      <c r="OBJ60" s="64"/>
      <c r="OBK60" s="64"/>
      <c r="OBL60" s="64"/>
      <c r="OBM60" s="64"/>
      <c r="OBN60" s="64"/>
      <c r="OBO60" s="64"/>
      <c r="OBP60" s="64"/>
      <c r="OBQ60" s="64"/>
      <c r="OBR60" s="64"/>
      <c r="OBS60" s="64"/>
      <c r="OBT60" s="64"/>
      <c r="OBU60" s="64"/>
      <c r="OBV60" s="64"/>
      <c r="OBW60" s="64"/>
      <c r="OBX60" s="64"/>
      <c r="OBY60" s="64"/>
      <c r="OBZ60" s="64"/>
      <c r="OCA60" s="64"/>
      <c r="OCB60" s="64"/>
      <c r="OCC60" s="64"/>
      <c r="OCD60" s="64"/>
      <c r="OCE60" s="64"/>
      <c r="OCF60" s="64"/>
      <c r="OCG60" s="64"/>
      <c r="OCH60" s="64"/>
      <c r="OCI60" s="64"/>
      <c r="OCJ60" s="64"/>
      <c r="OCK60" s="64"/>
      <c r="OCL60" s="64"/>
      <c r="OCM60" s="64"/>
      <c r="OCN60" s="64"/>
      <c r="OCO60" s="64"/>
      <c r="OCP60" s="64"/>
      <c r="OCQ60" s="64"/>
      <c r="OCR60" s="64"/>
      <c r="OCS60" s="64"/>
      <c r="OCT60" s="64"/>
      <c r="OCU60" s="64"/>
      <c r="OCV60" s="64"/>
      <c r="OCW60" s="64"/>
      <c r="OCX60" s="64"/>
      <c r="OCY60" s="64"/>
      <c r="OCZ60" s="64"/>
      <c r="ODA60" s="64"/>
      <c r="ODB60" s="64"/>
      <c r="ODC60" s="64"/>
      <c r="ODD60" s="64"/>
      <c r="ODE60" s="64"/>
      <c r="ODF60" s="64"/>
      <c r="ODG60" s="64"/>
      <c r="ODH60" s="64"/>
      <c r="ODI60" s="64"/>
      <c r="ODJ60" s="64"/>
      <c r="ODK60" s="64"/>
      <c r="ODL60" s="64"/>
      <c r="ODM60" s="64"/>
      <c r="ODN60" s="64"/>
      <c r="ODO60" s="64"/>
      <c r="ODP60" s="64"/>
      <c r="ODQ60" s="64"/>
      <c r="ODR60" s="64"/>
      <c r="ODS60" s="64"/>
      <c r="ODT60" s="64"/>
      <c r="ODU60" s="64"/>
      <c r="ODV60" s="64"/>
      <c r="ODW60" s="64"/>
      <c r="ODX60" s="64"/>
      <c r="ODY60" s="64"/>
      <c r="ODZ60" s="64"/>
      <c r="OEA60" s="64"/>
      <c r="OEB60" s="64"/>
      <c r="OEC60" s="64"/>
      <c r="OED60" s="64"/>
      <c r="OEE60" s="64"/>
      <c r="OEF60" s="64"/>
      <c r="OEG60" s="64"/>
      <c r="OEH60" s="64"/>
      <c r="OEI60" s="64"/>
      <c r="OEJ60" s="64"/>
      <c r="OEK60" s="64"/>
      <c r="OEL60" s="64"/>
      <c r="OEM60" s="64"/>
      <c r="OEN60" s="64"/>
      <c r="OEO60" s="64"/>
      <c r="OEP60" s="64"/>
      <c r="OEQ60" s="64"/>
      <c r="OER60" s="64"/>
      <c r="OES60" s="64"/>
      <c r="OET60" s="64"/>
      <c r="OEU60" s="64"/>
      <c r="OEV60" s="64"/>
      <c r="OEW60" s="64"/>
      <c r="OEX60" s="64"/>
      <c r="OEY60" s="64"/>
      <c r="OEZ60" s="64"/>
      <c r="OFA60" s="64"/>
      <c r="OFB60" s="64"/>
      <c r="OFC60" s="64"/>
      <c r="OFD60" s="64"/>
      <c r="OFE60" s="64"/>
      <c r="OFF60" s="64"/>
      <c r="OFG60" s="64"/>
      <c r="OFH60" s="64"/>
      <c r="OFI60" s="64"/>
      <c r="OFJ60" s="64"/>
      <c r="OFK60" s="64"/>
      <c r="OFL60" s="64"/>
      <c r="OFM60" s="64"/>
      <c r="OFN60" s="64"/>
      <c r="OFO60" s="64"/>
      <c r="OFP60" s="64"/>
      <c r="OFQ60" s="64"/>
      <c r="OFR60" s="64"/>
      <c r="OFS60" s="64"/>
      <c r="OFT60" s="64"/>
      <c r="OFU60" s="64"/>
      <c r="OFV60" s="64"/>
      <c r="OFW60" s="64"/>
      <c r="OFX60" s="64"/>
      <c r="OFY60" s="64"/>
      <c r="OFZ60" s="64"/>
      <c r="OGA60" s="64"/>
      <c r="OGB60" s="64"/>
      <c r="OGC60" s="64"/>
      <c r="OGD60" s="64"/>
      <c r="OGE60" s="64"/>
      <c r="OGF60" s="64"/>
      <c r="OGG60" s="64"/>
      <c r="OGH60" s="64"/>
      <c r="OGI60" s="64"/>
      <c r="OGJ60" s="64"/>
      <c r="OGK60" s="64"/>
      <c r="OGL60" s="64"/>
      <c r="OGM60" s="64"/>
      <c r="OGN60" s="64"/>
      <c r="OGO60" s="64"/>
      <c r="OGP60" s="64"/>
      <c r="OGQ60" s="64"/>
      <c r="OGR60" s="64"/>
      <c r="OGS60" s="64"/>
      <c r="OGT60" s="64"/>
      <c r="OGU60" s="64"/>
      <c r="OGV60" s="64"/>
      <c r="OGW60" s="64"/>
      <c r="OGX60" s="64"/>
      <c r="OGY60" s="64"/>
      <c r="OGZ60" s="64"/>
      <c r="OHA60" s="64"/>
      <c r="OHB60" s="64"/>
      <c r="OHC60" s="64"/>
      <c r="OHD60" s="64"/>
      <c r="OHE60" s="64"/>
      <c r="OHF60" s="64"/>
      <c r="OHG60" s="64"/>
      <c r="OHH60" s="64"/>
      <c r="OHI60" s="64"/>
      <c r="OHJ60" s="64"/>
      <c r="OHK60" s="64"/>
      <c r="OHL60" s="64"/>
      <c r="OHM60" s="64"/>
      <c r="OHN60" s="64"/>
      <c r="OHO60" s="64"/>
      <c r="OHP60" s="64"/>
      <c r="OHQ60" s="64"/>
      <c r="OHR60" s="64"/>
      <c r="OHS60" s="64"/>
      <c r="OHT60" s="64"/>
      <c r="OHU60" s="64"/>
      <c r="OHV60" s="64"/>
      <c r="OHW60" s="64"/>
      <c r="OHX60" s="64"/>
      <c r="OHY60" s="64"/>
      <c r="OHZ60" s="64"/>
      <c r="OIA60" s="64"/>
      <c r="OIB60" s="64"/>
      <c r="OIC60" s="64"/>
      <c r="OID60" s="64"/>
      <c r="OIE60" s="64"/>
      <c r="OIF60" s="64"/>
      <c r="OIG60" s="64"/>
      <c r="OIH60" s="64"/>
      <c r="OII60" s="64"/>
      <c r="OIJ60" s="64"/>
      <c r="OIK60" s="64"/>
      <c r="OIL60" s="64"/>
      <c r="OIM60" s="64"/>
      <c r="OIN60" s="64"/>
      <c r="OIO60" s="64"/>
      <c r="OIP60" s="64"/>
      <c r="OIQ60" s="64"/>
      <c r="OIR60" s="64"/>
      <c r="OIS60" s="64"/>
      <c r="OIT60" s="64"/>
      <c r="OIU60" s="64"/>
      <c r="OIV60" s="64"/>
      <c r="OIW60" s="64"/>
      <c r="OIX60" s="64"/>
      <c r="OIY60" s="64"/>
      <c r="OIZ60" s="64"/>
      <c r="OJA60" s="64"/>
      <c r="OJB60" s="64"/>
      <c r="OJC60" s="64"/>
      <c r="OJD60" s="64"/>
      <c r="OJE60" s="64"/>
      <c r="OJF60" s="64"/>
      <c r="OJG60" s="64"/>
      <c r="OJH60" s="64"/>
      <c r="OJI60" s="64"/>
      <c r="OJJ60" s="64"/>
      <c r="OJK60" s="64"/>
      <c r="OJL60" s="64"/>
      <c r="OJM60" s="64"/>
      <c r="OJN60" s="64"/>
      <c r="OJO60" s="64"/>
      <c r="OJP60" s="64"/>
      <c r="OJQ60" s="64"/>
      <c r="OJR60" s="64"/>
      <c r="OJS60" s="64"/>
      <c r="OJT60" s="64"/>
      <c r="OJU60" s="64"/>
      <c r="OJV60" s="64"/>
      <c r="OJW60" s="64"/>
      <c r="OJX60" s="64"/>
      <c r="OJY60" s="64"/>
      <c r="OJZ60" s="64"/>
      <c r="OKA60" s="64"/>
      <c r="OKB60" s="64"/>
      <c r="OKC60" s="64"/>
      <c r="OKD60" s="64"/>
      <c r="OKE60" s="64"/>
      <c r="OKF60" s="64"/>
      <c r="OKG60" s="64"/>
      <c r="OKH60" s="64"/>
      <c r="OKI60" s="64"/>
      <c r="OKJ60" s="64"/>
      <c r="OKK60" s="64"/>
      <c r="OKL60" s="64"/>
      <c r="OKM60" s="64"/>
      <c r="OKN60" s="64"/>
      <c r="OKO60" s="64"/>
      <c r="OKP60" s="64"/>
      <c r="OKQ60" s="64"/>
      <c r="OKR60" s="64"/>
      <c r="OKS60" s="64"/>
      <c r="OKT60" s="64"/>
      <c r="OKU60" s="64"/>
      <c r="OKV60" s="64"/>
      <c r="OKW60" s="64"/>
      <c r="OKX60" s="64"/>
      <c r="OKY60" s="64"/>
      <c r="OKZ60" s="64"/>
      <c r="OLA60" s="64"/>
      <c r="OLB60" s="64"/>
      <c r="OLC60" s="64"/>
      <c r="OLD60" s="64"/>
      <c r="OLE60" s="64"/>
      <c r="OLF60" s="64"/>
      <c r="OLG60" s="64"/>
      <c r="OLH60" s="64"/>
      <c r="OLI60" s="64"/>
      <c r="OLJ60" s="64"/>
      <c r="OLK60" s="64"/>
      <c r="OLL60" s="64"/>
      <c r="OLM60" s="64"/>
      <c r="OLN60" s="64"/>
      <c r="OLO60" s="64"/>
      <c r="OLP60" s="64"/>
      <c r="OLQ60" s="64"/>
      <c r="OLR60" s="64"/>
      <c r="OLS60" s="64"/>
      <c r="OLT60" s="64"/>
      <c r="OLU60" s="64"/>
      <c r="OLV60" s="64"/>
      <c r="OLW60" s="64"/>
      <c r="OLX60" s="64"/>
      <c r="OLY60" s="64"/>
      <c r="OLZ60" s="64"/>
      <c r="OMA60" s="64"/>
      <c r="OMB60" s="64"/>
      <c r="OMC60" s="64"/>
      <c r="OMD60" s="64"/>
      <c r="OME60" s="64"/>
      <c r="OMF60" s="64"/>
      <c r="OMG60" s="64"/>
      <c r="OMH60" s="64"/>
      <c r="OMI60" s="64"/>
      <c r="OMJ60" s="64"/>
      <c r="OMK60" s="64"/>
      <c r="OML60" s="64"/>
      <c r="OMM60" s="64"/>
      <c r="OMN60" s="64"/>
      <c r="OMO60" s="64"/>
      <c r="OMP60" s="64"/>
      <c r="OMQ60" s="64"/>
      <c r="OMR60" s="64"/>
      <c r="OMS60" s="64"/>
      <c r="OMT60" s="64"/>
      <c r="OMU60" s="64"/>
      <c r="OMV60" s="64"/>
      <c r="OMW60" s="64"/>
      <c r="OMX60" s="64"/>
      <c r="OMY60" s="64"/>
      <c r="OMZ60" s="64"/>
      <c r="ONA60" s="64"/>
      <c r="ONB60" s="64"/>
      <c r="ONC60" s="64"/>
      <c r="OND60" s="64"/>
      <c r="ONE60" s="64"/>
      <c r="ONF60" s="64"/>
      <c r="ONG60" s="64"/>
      <c r="ONH60" s="64"/>
      <c r="ONI60" s="64"/>
      <c r="ONJ60" s="64"/>
      <c r="ONK60" s="64"/>
      <c r="ONL60" s="64"/>
      <c r="ONM60" s="64"/>
      <c r="ONN60" s="64"/>
      <c r="ONO60" s="64"/>
      <c r="ONP60" s="64"/>
      <c r="ONQ60" s="64"/>
      <c r="ONR60" s="64"/>
      <c r="ONS60" s="64"/>
      <c r="ONT60" s="64"/>
      <c r="ONU60" s="64"/>
      <c r="ONV60" s="64"/>
      <c r="ONW60" s="64"/>
      <c r="ONX60" s="64"/>
      <c r="ONY60" s="64"/>
      <c r="ONZ60" s="64"/>
      <c r="OOA60" s="64"/>
      <c r="OOB60" s="64"/>
      <c r="OOC60" s="64"/>
      <c r="OOD60" s="64"/>
      <c r="OOE60" s="64"/>
      <c r="OOF60" s="64"/>
      <c r="OOG60" s="64"/>
      <c r="OOH60" s="64"/>
      <c r="OOI60" s="64"/>
      <c r="OOJ60" s="64"/>
      <c r="OOK60" s="64"/>
      <c r="OOL60" s="64"/>
      <c r="OOM60" s="64"/>
      <c r="OON60" s="64"/>
      <c r="OOO60" s="64"/>
      <c r="OOP60" s="64"/>
      <c r="OOQ60" s="64"/>
      <c r="OOR60" s="64"/>
      <c r="OOS60" s="64"/>
      <c r="OOT60" s="64"/>
      <c r="OOU60" s="64"/>
      <c r="OOV60" s="64"/>
      <c r="OOW60" s="64"/>
      <c r="OOX60" s="64"/>
      <c r="OOY60" s="64"/>
      <c r="OOZ60" s="64"/>
      <c r="OPA60" s="64"/>
      <c r="OPB60" s="64"/>
      <c r="OPC60" s="64"/>
      <c r="OPD60" s="64"/>
      <c r="OPE60" s="64"/>
      <c r="OPF60" s="64"/>
      <c r="OPG60" s="64"/>
      <c r="OPH60" s="64"/>
      <c r="OPI60" s="64"/>
      <c r="OPJ60" s="64"/>
      <c r="OPK60" s="64"/>
      <c r="OPL60" s="64"/>
      <c r="OPM60" s="64"/>
      <c r="OPN60" s="64"/>
      <c r="OPO60" s="64"/>
      <c r="OPP60" s="64"/>
      <c r="OPQ60" s="64"/>
      <c r="OPR60" s="64"/>
      <c r="OPS60" s="64"/>
      <c r="OPT60" s="64"/>
      <c r="OPU60" s="64"/>
      <c r="OPV60" s="64"/>
      <c r="OPW60" s="64"/>
      <c r="OPX60" s="64"/>
      <c r="OPY60" s="64"/>
      <c r="OPZ60" s="64"/>
      <c r="OQA60" s="64"/>
      <c r="OQB60" s="64"/>
      <c r="OQC60" s="64"/>
      <c r="OQD60" s="64"/>
      <c r="OQE60" s="64"/>
      <c r="OQF60" s="64"/>
      <c r="OQG60" s="64"/>
      <c r="OQH60" s="64"/>
      <c r="OQI60" s="64"/>
      <c r="OQJ60" s="64"/>
      <c r="OQK60" s="64"/>
      <c r="OQL60" s="64"/>
      <c r="OQM60" s="64"/>
      <c r="OQN60" s="64"/>
      <c r="OQO60" s="64"/>
      <c r="OQP60" s="64"/>
      <c r="OQQ60" s="64"/>
      <c r="OQR60" s="64"/>
      <c r="OQS60" s="64"/>
      <c r="OQT60" s="64"/>
      <c r="OQU60" s="64"/>
      <c r="OQV60" s="64"/>
      <c r="OQW60" s="64"/>
      <c r="OQX60" s="64"/>
      <c r="OQY60" s="64"/>
      <c r="OQZ60" s="64"/>
      <c r="ORA60" s="64"/>
      <c r="ORB60" s="64"/>
      <c r="ORC60" s="64"/>
      <c r="ORD60" s="64"/>
      <c r="ORE60" s="64"/>
      <c r="ORF60" s="64"/>
      <c r="ORG60" s="64"/>
      <c r="ORH60" s="64"/>
      <c r="ORI60" s="64"/>
      <c r="ORJ60" s="64"/>
      <c r="ORK60" s="64"/>
      <c r="ORL60" s="64"/>
      <c r="ORM60" s="64"/>
      <c r="ORN60" s="64"/>
      <c r="ORO60" s="64"/>
      <c r="ORP60" s="64"/>
      <c r="ORQ60" s="64"/>
      <c r="ORR60" s="64"/>
      <c r="ORS60" s="64"/>
      <c r="ORT60" s="64"/>
      <c r="ORU60" s="64"/>
      <c r="ORV60" s="64"/>
      <c r="ORW60" s="64"/>
      <c r="ORX60" s="64"/>
      <c r="ORY60" s="64"/>
      <c r="ORZ60" s="64"/>
      <c r="OSA60" s="64"/>
      <c r="OSB60" s="64"/>
      <c r="OSC60" s="64"/>
      <c r="OSD60" s="64"/>
      <c r="OSE60" s="64"/>
      <c r="OSF60" s="64"/>
      <c r="OSG60" s="64"/>
      <c r="OSH60" s="64"/>
      <c r="OSI60" s="64"/>
      <c r="OSJ60" s="64"/>
      <c r="OSK60" s="64"/>
      <c r="OSL60" s="64"/>
      <c r="OSM60" s="64"/>
      <c r="OSN60" s="64"/>
      <c r="OSO60" s="64"/>
      <c r="OSP60" s="64"/>
      <c r="OSQ60" s="64"/>
      <c r="OSR60" s="64"/>
      <c r="OSS60" s="64"/>
      <c r="OST60" s="64"/>
      <c r="OSU60" s="64"/>
      <c r="OSV60" s="64"/>
      <c r="OSW60" s="64"/>
      <c r="OSX60" s="64"/>
      <c r="OSY60" s="64"/>
      <c r="OSZ60" s="64"/>
      <c r="OTA60" s="64"/>
      <c r="OTB60" s="64"/>
      <c r="OTC60" s="64"/>
      <c r="OTD60" s="64"/>
      <c r="OTE60" s="64"/>
      <c r="OTF60" s="64"/>
      <c r="OTG60" s="64"/>
      <c r="OTH60" s="64"/>
      <c r="OTI60" s="64"/>
      <c r="OTJ60" s="64"/>
      <c r="OTK60" s="64"/>
      <c r="OTL60" s="64"/>
      <c r="OTM60" s="64"/>
      <c r="OTN60" s="64"/>
      <c r="OTO60" s="64"/>
      <c r="OTP60" s="64"/>
      <c r="OTQ60" s="64"/>
      <c r="OTR60" s="64"/>
      <c r="OTS60" s="64"/>
      <c r="OTT60" s="64"/>
      <c r="OTU60" s="64"/>
      <c r="OTV60" s="64"/>
      <c r="OTW60" s="64"/>
      <c r="OTX60" s="64"/>
      <c r="OTY60" s="64"/>
      <c r="OTZ60" s="64"/>
      <c r="OUA60" s="64"/>
      <c r="OUB60" s="64"/>
      <c r="OUC60" s="64"/>
      <c r="OUD60" s="64"/>
      <c r="OUE60" s="64"/>
      <c r="OUF60" s="64"/>
      <c r="OUG60" s="64"/>
      <c r="OUH60" s="64"/>
      <c r="OUI60" s="64"/>
      <c r="OUJ60" s="64"/>
      <c r="OUK60" s="64"/>
      <c r="OUL60" s="64"/>
      <c r="OUM60" s="64"/>
      <c r="OUN60" s="64"/>
      <c r="OUO60" s="64"/>
      <c r="OUP60" s="64"/>
      <c r="OUQ60" s="64"/>
      <c r="OUR60" s="64"/>
      <c r="OUS60" s="64"/>
      <c r="OUT60" s="64"/>
      <c r="OUU60" s="64"/>
      <c r="OUV60" s="64"/>
      <c r="OUW60" s="64"/>
      <c r="OUX60" s="64"/>
      <c r="OUY60" s="64"/>
      <c r="OUZ60" s="64"/>
      <c r="OVA60" s="64"/>
      <c r="OVB60" s="64"/>
      <c r="OVC60" s="64"/>
      <c r="OVD60" s="64"/>
      <c r="OVE60" s="64"/>
      <c r="OVF60" s="64"/>
      <c r="OVG60" s="64"/>
      <c r="OVH60" s="64"/>
      <c r="OVI60" s="64"/>
      <c r="OVJ60" s="64"/>
      <c r="OVK60" s="64"/>
      <c r="OVL60" s="64"/>
      <c r="OVM60" s="64"/>
      <c r="OVN60" s="64"/>
      <c r="OVO60" s="64"/>
      <c r="OVP60" s="64"/>
      <c r="OVQ60" s="64"/>
      <c r="OVR60" s="64"/>
      <c r="OVS60" s="64"/>
      <c r="OVT60" s="64"/>
      <c r="OVU60" s="64"/>
      <c r="OVV60" s="64"/>
      <c r="OVW60" s="64"/>
      <c r="OVX60" s="64"/>
      <c r="OVY60" s="64"/>
      <c r="OVZ60" s="64"/>
      <c r="OWA60" s="64"/>
      <c r="OWB60" s="64"/>
      <c r="OWC60" s="64"/>
      <c r="OWD60" s="64"/>
      <c r="OWE60" s="64"/>
      <c r="OWF60" s="64"/>
      <c r="OWG60" s="64"/>
      <c r="OWH60" s="64"/>
      <c r="OWI60" s="64"/>
      <c r="OWJ60" s="64"/>
      <c r="OWK60" s="64"/>
      <c r="OWL60" s="64"/>
      <c r="OWM60" s="64"/>
      <c r="OWN60" s="64"/>
      <c r="OWO60" s="64"/>
      <c r="OWP60" s="64"/>
      <c r="OWQ60" s="64"/>
      <c r="OWR60" s="64"/>
      <c r="OWS60" s="64"/>
      <c r="OWT60" s="64"/>
      <c r="OWU60" s="64"/>
      <c r="OWV60" s="64"/>
      <c r="OWW60" s="64"/>
      <c r="OWX60" s="64"/>
      <c r="OWY60" s="64"/>
      <c r="OWZ60" s="64"/>
      <c r="OXA60" s="64"/>
      <c r="OXB60" s="64"/>
      <c r="OXC60" s="64"/>
      <c r="OXD60" s="64"/>
      <c r="OXE60" s="64"/>
      <c r="OXF60" s="64"/>
      <c r="OXG60" s="64"/>
      <c r="OXH60" s="64"/>
      <c r="OXI60" s="64"/>
      <c r="OXJ60" s="64"/>
      <c r="OXK60" s="64"/>
      <c r="OXL60" s="64"/>
      <c r="OXM60" s="64"/>
      <c r="OXN60" s="64"/>
      <c r="OXO60" s="64"/>
      <c r="OXP60" s="64"/>
      <c r="OXQ60" s="64"/>
      <c r="OXR60" s="64"/>
      <c r="OXS60" s="64"/>
      <c r="OXT60" s="64"/>
      <c r="OXU60" s="64"/>
      <c r="OXV60" s="64"/>
      <c r="OXW60" s="64"/>
      <c r="OXX60" s="64"/>
      <c r="OXY60" s="64"/>
      <c r="OXZ60" s="64"/>
      <c r="OYA60" s="64"/>
      <c r="OYB60" s="64"/>
      <c r="OYC60" s="64"/>
      <c r="OYD60" s="64"/>
      <c r="OYE60" s="64"/>
      <c r="OYF60" s="64"/>
      <c r="OYG60" s="64"/>
      <c r="OYH60" s="64"/>
      <c r="OYI60" s="64"/>
      <c r="OYJ60" s="64"/>
      <c r="OYK60" s="64"/>
      <c r="OYL60" s="64"/>
      <c r="OYM60" s="64"/>
      <c r="OYN60" s="64"/>
      <c r="OYO60" s="64"/>
      <c r="OYP60" s="64"/>
      <c r="OYQ60" s="64"/>
      <c r="OYR60" s="64"/>
      <c r="OYS60" s="64"/>
      <c r="OYT60" s="64"/>
      <c r="OYU60" s="64"/>
      <c r="OYV60" s="64"/>
      <c r="OYW60" s="64"/>
      <c r="OYX60" s="64"/>
      <c r="OYY60" s="64"/>
      <c r="OYZ60" s="64"/>
      <c r="OZA60" s="64"/>
      <c r="OZB60" s="64"/>
      <c r="OZC60" s="64"/>
      <c r="OZD60" s="64"/>
      <c r="OZE60" s="64"/>
      <c r="OZF60" s="64"/>
      <c r="OZG60" s="64"/>
      <c r="OZH60" s="64"/>
      <c r="OZI60" s="64"/>
      <c r="OZJ60" s="64"/>
      <c r="OZK60" s="64"/>
      <c r="OZL60" s="64"/>
      <c r="OZM60" s="64"/>
      <c r="OZN60" s="64"/>
      <c r="OZO60" s="64"/>
      <c r="OZP60" s="64"/>
      <c r="OZQ60" s="64"/>
      <c r="OZR60" s="64"/>
      <c r="OZS60" s="64"/>
      <c r="OZT60" s="64"/>
      <c r="OZU60" s="64"/>
      <c r="OZV60" s="64"/>
      <c r="OZW60" s="64"/>
      <c r="OZX60" s="64"/>
      <c r="OZY60" s="64"/>
      <c r="OZZ60" s="64"/>
      <c r="PAA60" s="64"/>
      <c r="PAB60" s="64"/>
      <c r="PAC60" s="64"/>
      <c r="PAD60" s="64"/>
      <c r="PAE60" s="64"/>
      <c r="PAF60" s="64"/>
      <c r="PAG60" s="64"/>
      <c r="PAH60" s="64"/>
      <c r="PAI60" s="64"/>
      <c r="PAJ60" s="64"/>
      <c r="PAK60" s="64"/>
      <c r="PAL60" s="64"/>
      <c r="PAM60" s="64"/>
      <c r="PAN60" s="64"/>
      <c r="PAO60" s="64"/>
      <c r="PAP60" s="64"/>
      <c r="PAQ60" s="64"/>
      <c r="PAR60" s="64"/>
      <c r="PAS60" s="64"/>
      <c r="PAT60" s="64"/>
      <c r="PAU60" s="64"/>
      <c r="PAV60" s="64"/>
      <c r="PAW60" s="64"/>
      <c r="PAX60" s="64"/>
      <c r="PAY60" s="64"/>
      <c r="PAZ60" s="64"/>
      <c r="PBA60" s="64"/>
      <c r="PBB60" s="64"/>
      <c r="PBC60" s="64"/>
      <c r="PBD60" s="64"/>
      <c r="PBE60" s="64"/>
      <c r="PBF60" s="64"/>
      <c r="PBG60" s="64"/>
      <c r="PBH60" s="64"/>
      <c r="PBI60" s="64"/>
      <c r="PBJ60" s="64"/>
      <c r="PBK60" s="64"/>
      <c r="PBL60" s="64"/>
      <c r="PBM60" s="64"/>
      <c r="PBN60" s="64"/>
      <c r="PBO60" s="64"/>
      <c r="PBP60" s="64"/>
      <c r="PBQ60" s="64"/>
      <c r="PBR60" s="64"/>
      <c r="PBS60" s="64"/>
      <c r="PBT60" s="64"/>
      <c r="PBU60" s="64"/>
      <c r="PBV60" s="64"/>
      <c r="PBW60" s="64"/>
      <c r="PBX60" s="64"/>
      <c r="PBY60" s="64"/>
      <c r="PBZ60" s="64"/>
      <c r="PCA60" s="64"/>
      <c r="PCB60" s="64"/>
      <c r="PCC60" s="64"/>
      <c r="PCD60" s="64"/>
      <c r="PCE60" s="64"/>
      <c r="PCF60" s="64"/>
      <c r="PCG60" s="64"/>
      <c r="PCH60" s="64"/>
      <c r="PCI60" s="64"/>
      <c r="PCJ60" s="64"/>
      <c r="PCK60" s="64"/>
      <c r="PCL60" s="64"/>
      <c r="PCM60" s="64"/>
      <c r="PCN60" s="64"/>
      <c r="PCO60" s="64"/>
      <c r="PCP60" s="64"/>
      <c r="PCQ60" s="64"/>
      <c r="PCR60" s="64"/>
      <c r="PCS60" s="64"/>
      <c r="PCT60" s="64"/>
      <c r="PCU60" s="64"/>
      <c r="PCV60" s="64"/>
      <c r="PCW60" s="64"/>
      <c r="PCX60" s="64"/>
      <c r="PCY60" s="64"/>
      <c r="PCZ60" s="64"/>
      <c r="PDA60" s="64"/>
      <c r="PDB60" s="64"/>
      <c r="PDC60" s="64"/>
      <c r="PDD60" s="64"/>
      <c r="PDE60" s="64"/>
      <c r="PDF60" s="64"/>
      <c r="PDG60" s="64"/>
      <c r="PDH60" s="64"/>
      <c r="PDI60" s="64"/>
      <c r="PDJ60" s="64"/>
      <c r="PDK60" s="64"/>
      <c r="PDL60" s="64"/>
      <c r="PDM60" s="64"/>
      <c r="PDN60" s="64"/>
      <c r="PDO60" s="64"/>
      <c r="PDP60" s="64"/>
      <c r="PDQ60" s="64"/>
      <c r="PDR60" s="64"/>
      <c r="PDS60" s="64"/>
      <c r="PDT60" s="64"/>
      <c r="PDU60" s="64"/>
      <c r="PDV60" s="64"/>
      <c r="PDW60" s="64"/>
      <c r="PDX60" s="64"/>
      <c r="PDY60" s="64"/>
      <c r="PDZ60" s="64"/>
      <c r="PEA60" s="64"/>
      <c r="PEB60" s="64"/>
      <c r="PEC60" s="64"/>
      <c r="PED60" s="64"/>
      <c r="PEE60" s="64"/>
      <c r="PEF60" s="64"/>
      <c r="PEG60" s="64"/>
      <c r="PEH60" s="64"/>
      <c r="PEI60" s="64"/>
      <c r="PEJ60" s="64"/>
      <c r="PEK60" s="64"/>
      <c r="PEL60" s="64"/>
      <c r="PEM60" s="64"/>
      <c r="PEN60" s="64"/>
      <c r="PEO60" s="64"/>
      <c r="PEP60" s="64"/>
      <c r="PEQ60" s="64"/>
      <c r="PER60" s="64"/>
      <c r="PES60" s="64"/>
      <c r="PET60" s="64"/>
      <c r="PEU60" s="64"/>
      <c r="PEV60" s="64"/>
      <c r="PEW60" s="64"/>
      <c r="PEX60" s="64"/>
      <c r="PEY60" s="64"/>
      <c r="PEZ60" s="64"/>
      <c r="PFA60" s="64"/>
      <c r="PFB60" s="64"/>
      <c r="PFC60" s="64"/>
      <c r="PFD60" s="64"/>
      <c r="PFE60" s="64"/>
      <c r="PFF60" s="64"/>
      <c r="PFG60" s="64"/>
      <c r="PFH60" s="64"/>
      <c r="PFI60" s="64"/>
      <c r="PFJ60" s="64"/>
      <c r="PFK60" s="64"/>
      <c r="PFL60" s="64"/>
      <c r="PFM60" s="64"/>
      <c r="PFN60" s="64"/>
      <c r="PFO60" s="64"/>
      <c r="PFP60" s="64"/>
      <c r="PFQ60" s="64"/>
      <c r="PFR60" s="64"/>
      <c r="PFS60" s="64"/>
      <c r="PFT60" s="64"/>
      <c r="PFU60" s="64"/>
      <c r="PFV60" s="64"/>
      <c r="PFW60" s="64"/>
      <c r="PFX60" s="64"/>
      <c r="PFY60" s="64"/>
      <c r="PFZ60" s="64"/>
      <c r="PGA60" s="64"/>
      <c r="PGB60" s="64"/>
      <c r="PGC60" s="64"/>
      <c r="PGD60" s="64"/>
      <c r="PGE60" s="64"/>
      <c r="PGF60" s="64"/>
      <c r="PGG60" s="64"/>
      <c r="PGH60" s="64"/>
      <c r="PGI60" s="64"/>
      <c r="PGJ60" s="64"/>
      <c r="PGK60" s="64"/>
      <c r="PGL60" s="64"/>
      <c r="PGM60" s="64"/>
      <c r="PGN60" s="64"/>
      <c r="PGO60" s="64"/>
      <c r="PGP60" s="64"/>
      <c r="PGQ60" s="64"/>
      <c r="PGR60" s="64"/>
      <c r="PGS60" s="64"/>
      <c r="PGT60" s="64"/>
      <c r="PGU60" s="64"/>
      <c r="PGV60" s="64"/>
      <c r="PGW60" s="64"/>
      <c r="PGX60" s="64"/>
      <c r="PGY60" s="64"/>
      <c r="PGZ60" s="64"/>
      <c r="PHA60" s="64"/>
      <c r="PHB60" s="64"/>
      <c r="PHC60" s="64"/>
      <c r="PHD60" s="64"/>
      <c r="PHE60" s="64"/>
      <c r="PHF60" s="64"/>
      <c r="PHG60" s="64"/>
      <c r="PHH60" s="64"/>
      <c r="PHI60" s="64"/>
      <c r="PHJ60" s="64"/>
      <c r="PHK60" s="64"/>
      <c r="PHL60" s="64"/>
      <c r="PHM60" s="64"/>
      <c r="PHN60" s="64"/>
      <c r="PHO60" s="64"/>
      <c r="PHP60" s="64"/>
      <c r="PHQ60" s="64"/>
      <c r="PHR60" s="64"/>
      <c r="PHS60" s="64"/>
      <c r="PHT60" s="64"/>
      <c r="PHU60" s="64"/>
      <c r="PHV60" s="64"/>
      <c r="PHW60" s="64"/>
      <c r="PHX60" s="64"/>
      <c r="PHY60" s="64"/>
      <c r="PHZ60" s="64"/>
      <c r="PIA60" s="64"/>
      <c r="PIB60" s="64"/>
      <c r="PIC60" s="64"/>
      <c r="PID60" s="64"/>
      <c r="PIE60" s="64"/>
      <c r="PIF60" s="64"/>
      <c r="PIG60" s="64"/>
      <c r="PIH60" s="64"/>
      <c r="PII60" s="64"/>
      <c r="PIJ60" s="64"/>
      <c r="PIK60" s="64"/>
      <c r="PIL60" s="64"/>
      <c r="PIM60" s="64"/>
      <c r="PIN60" s="64"/>
      <c r="PIO60" s="64"/>
      <c r="PIP60" s="64"/>
      <c r="PIQ60" s="64"/>
      <c r="PIR60" s="64"/>
      <c r="PIS60" s="64"/>
      <c r="PIT60" s="64"/>
      <c r="PIU60" s="64"/>
      <c r="PIV60" s="64"/>
      <c r="PIW60" s="64"/>
      <c r="PIX60" s="64"/>
      <c r="PIY60" s="64"/>
      <c r="PIZ60" s="64"/>
      <c r="PJA60" s="64"/>
      <c r="PJB60" s="64"/>
      <c r="PJC60" s="64"/>
      <c r="PJD60" s="64"/>
      <c r="PJE60" s="64"/>
      <c r="PJF60" s="64"/>
      <c r="PJG60" s="64"/>
      <c r="PJH60" s="64"/>
      <c r="PJI60" s="64"/>
      <c r="PJJ60" s="64"/>
      <c r="PJK60" s="64"/>
      <c r="PJL60" s="64"/>
      <c r="PJM60" s="64"/>
      <c r="PJN60" s="64"/>
      <c r="PJO60" s="64"/>
      <c r="PJP60" s="64"/>
      <c r="PJQ60" s="64"/>
      <c r="PJR60" s="64"/>
      <c r="PJS60" s="64"/>
      <c r="PJT60" s="64"/>
      <c r="PJU60" s="64"/>
      <c r="PJV60" s="64"/>
      <c r="PJW60" s="64"/>
      <c r="PJX60" s="64"/>
      <c r="PJY60" s="64"/>
      <c r="PJZ60" s="64"/>
      <c r="PKA60" s="64"/>
      <c r="PKB60" s="64"/>
      <c r="PKC60" s="64"/>
      <c r="PKD60" s="64"/>
      <c r="PKE60" s="64"/>
      <c r="PKF60" s="64"/>
      <c r="PKG60" s="64"/>
      <c r="PKH60" s="64"/>
      <c r="PKI60" s="64"/>
      <c r="PKJ60" s="64"/>
      <c r="PKK60" s="64"/>
      <c r="PKL60" s="64"/>
      <c r="PKM60" s="64"/>
      <c r="PKN60" s="64"/>
      <c r="PKO60" s="64"/>
      <c r="PKP60" s="64"/>
      <c r="PKQ60" s="64"/>
      <c r="PKR60" s="64"/>
      <c r="PKS60" s="64"/>
      <c r="PKT60" s="64"/>
      <c r="PKU60" s="64"/>
      <c r="PKV60" s="64"/>
      <c r="PKW60" s="64"/>
      <c r="PKX60" s="64"/>
      <c r="PKY60" s="64"/>
      <c r="PKZ60" s="64"/>
      <c r="PLA60" s="64"/>
      <c r="PLB60" s="64"/>
      <c r="PLC60" s="64"/>
      <c r="PLD60" s="64"/>
      <c r="PLE60" s="64"/>
      <c r="PLF60" s="64"/>
      <c r="PLG60" s="64"/>
      <c r="PLH60" s="64"/>
      <c r="PLI60" s="64"/>
      <c r="PLJ60" s="64"/>
      <c r="PLK60" s="64"/>
      <c r="PLL60" s="64"/>
      <c r="PLM60" s="64"/>
      <c r="PLN60" s="64"/>
      <c r="PLO60" s="64"/>
      <c r="PLP60" s="64"/>
      <c r="PLQ60" s="64"/>
      <c r="PLR60" s="64"/>
      <c r="PLS60" s="64"/>
      <c r="PLT60" s="64"/>
      <c r="PLU60" s="64"/>
      <c r="PLV60" s="64"/>
      <c r="PLW60" s="64"/>
      <c r="PLX60" s="64"/>
      <c r="PLY60" s="64"/>
      <c r="PLZ60" s="64"/>
      <c r="PMA60" s="64"/>
      <c r="PMB60" s="64"/>
      <c r="PMC60" s="64"/>
      <c r="PMD60" s="64"/>
      <c r="PME60" s="64"/>
      <c r="PMF60" s="64"/>
      <c r="PMG60" s="64"/>
      <c r="PMH60" s="64"/>
      <c r="PMI60" s="64"/>
      <c r="PMJ60" s="64"/>
      <c r="PMK60" s="64"/>
      <c r="PML60" s="64"/>
      <c r="PMM60" s="64"/>
      <c r="PMN60" s="64"/>
      <c r="PMO60" s="64"/>
      <c r="PMP60" s="64"/>
      <c r="PMQ60" s="64"/>
      <c r="PMR60" s="64"/>
      <c r="PMS60" s="64"/>
      <c r="PMT60" s="64"/>
      <c r="PMU60" s="64"/>
      <c r="PMV60" s="64"/>
      <c r="PMW60" s="64"/>
      <c r="PMX60" s="64"/>
      <c r="PMY60" s="64"/>
      <c r="PMZ60" s="64"/>
      <c r="PNA60" s="64"/>
      <c r="PNB60" s="64"/>
      <c r="PNC60" s="64"/>
      <c r="PND60" s="64"/>
      <c r="PNE60" s="64"/>
      <c r="PNF60" s="64"/>
      <c r="PNG60" s="64"/>
      <c r="PNH60" s="64"/>
      <c r="PNI60" s="64"/>
      <c r="PNJ60" s="64"/>
      <c r="PNK60" s="64"/>
      <c r="PNL60" s="64"/>
      <c r="PNM60" s="64"/>
      <c r="PNN60" s="64"/>
      <c r="PNO60" s="64"/>
      <c r="PNP60" s="64"/>
      <c r="PNQ60" s="64"/>
      <c r="PNR60" s="64"/>
      <c r="PNS60" s="64"/>
      <c r="PNT60" s="64"/>
      <c r="PNU60" s="64"/>
      <c r="PNV60" s="64"/>
      <c r="PNW60" s="64"/>
      <c r="PNX60" s="64"/>
      <c r="PNY60" s="64"/>
      <c r="PNZ60" s="64"/>
      <c r="POA60" s="64"/>
      <c r="POB60" s="64"/>
      <c r="POC60" s="64"/>
      <c r="POD60" s="64"/>
      <c r="POE60" s="64"/>
      <c r="POF60" s="64"/>
      <c r="POG60" s="64"/>
      <c r="POH60" s="64"/>
      <c r="POI60" s="64"/>
      <c r="POJ60" s="64"/>
      <c r="POK60" s="64"/>
      <c r="POL60" s="64"/>
      <c r="POM60" s="64"/>
      <c r="PON60" s="64"/>
      <c r="POO60" s="64"/>
      <c r="POP60" s="64"/>
      <c r="POQ60" s="64"/>
      <c r="POR60" s="64"/>
      <c r="POS60" s="64"/>
      <c r="POT60" s="64"/>
      <c r="POU60" s="64"/>
      <c r="POV60" s="64"/>
      <c r="POW60" s="64"/>
      <c r="POX60" s="64"/>
      <c r="POY60" s="64"/>
      <c r="POZ60" s="64"/>
      <c r="PPA60" s="64"/>
      <c r="PPB60" s="64"/>
      <c r="PPC60" s="64"/>
      <c r="PPD60" s="64"/>
      <c r="PPE60" s="64"/>
      <c r="PPF60" s="64"/>
      <c r="PPG60" s="64"/>
      <c r="PPH60" s="64"/>
      <c r="PPI60" s="64"/>
      <c r="PPJ60" s="64"/>
      <c r="PPK60" s="64"/>
      <c r="PPL60" s="64"/>
      <c r="PPM60" s="64"/>
      <c r="PPN60" s="64"/>
      <c r="PPO60" s="64"/>
      <c r="PPP60" s="64"/>
      <c r="PPQ60" s="64"/>
      <c r="PPR60" s="64"/>
      <c r="PPS60" s="64"/>
      <c r="PPT60" s="64"/>
      <c r="PPU60" s="64"/>
      <c r="PPV60" s="64"/>
      <c r="PPW60" s="64"/>
      <c r="PPX60" s="64"/>
      <c r="PPY60" s="64"/>
      <c r="PPZ60" s="64"/>
      <c r="PQA60" s="64"/>
      <c r="PQB60" s="64"/>
      <c r="PQC60" s="64"/>
      <c r="PQD60" s="64"/>
      <c r="PQE60" s="64"/>
      <c r="PQF60" s="64"/>
      <c r="PQG60" s="64"/>
      <c r="PQH60" s="64"/>
      <c r="PQI60" s="64"/>
      <c r="PQJ60" s="64"/>
      <c r="PQK60" s="64"/>
      <c r="PQL60" s="64"/>
      <c r="PQM60" s="64"/>
      <c r="PQN60" s="64"/>
      <c r="PQO60" s="64"/>
      <c r="PQP60" s="64"/>
      <c r="PQQ60" s="64"/>
      <c r="PQR60" s="64"/>
      <c r="PQS60" s="64"/>
      <c r="PQT60" s="64"/>
      <c r="PQU60" s="64"/>
      <c r="PQV60" s="64"/>
      <c r="PQW60" s="64"/>
      <c r="PQX60" s="64"/>
      <c r="PQY60" s="64"/>
      <c r="PQZ60" s="64"/>
      <c r="PRA60" s="64"/>
      <c r="PRB60" s="64"/>
      <c r="PRC60" s="64"/>
      <c r="PRD60" s="64"/>
      <c r="PRE60" s="64"/>
      <c r="PRF60" s="64"/>
      <c r="PRG60" s="64"/>
      <c r="PRH60" s="64"/>
      <c r="PRI60" s="64"/>
      <c r="PRJ60" s="64"/>
      <c r="PRK60" s="64"/>
      <c r="PRL60" s="64"/>
      <c r="PRM60" s="64"/>
      <c r="PRN60" s="64"/>
      <c r="PRO60" s="64"/>
      <c r="PRP60" s="64"/>
      <c r="PRQ60" s="64"/>
      <c r="PRR60" s="64"/>
      <c r="PRS60" s="64"/>
      <c r="PRT60" s="64"/>
      <c r="PRU60" s="64"/>
      <c r="PRV60" s="64"/>
      <c r="PRW60" s="64"/>
      <c r="PRX60" s="64"/>
      <c r="PRY60" s="64"/>
      <c r="PRZ60" s="64"/>
      <c r="PSA60" s="64"/>
      <c r="PSB60" s="64"/>
      <c r="PSC60" s="64"/>
      <c r="PSD60" s="64"/>
      <c r="PSE60" s="64"/>
      <c r="PSF60" s="64"/>
      <c r="PSG60" s="64"/>
      <c r="PSH60" s="64"/>
      <c r="PSI60" s="64"/>
      <c r="PSJ60" s="64"/>
      <c r="PSK60" s="64"/>
      <c r="PSL60" s="64"/>
      <c r="PSM60" s="64"/>
      <c r="PSN60" s="64"/>
      <c r="PSO60" s="64"/>
      <c r="PSP60" s="64"/>
      <c r="PSQ60" s="64"/>
      <c r="PSR60" s="64"/>
      <c r="PSS60" s="64"/>
      <c r="PST60" s="64"/>
      <c r="PSU60" s="64"/>
      <c r="PSV60" s="64"/>
      <c r="PSW60" s="64"/>
      <c r="PSX60" s="64"/>
      <c r="PSY60" s="64"/>
      <c r="PSZ60" s="64"/>
      <c r="PTA60" s="64"/>
      <c r="PTB60" s="64"/>
      <c r="PTC60" s="64"/>
      <c r="PTD60" s="64"/>
      <c r="PTE60" s="64"/>
      <c r="PTF60" s="64"/>
      <c r="PTG60" s="64"/>
      <c r="PTH60" s="64"/>
      <c r="PTI60" s="64"/>
      <c r="PTJ60" s="64"/>
      <c r="PTK60" s="64"/>
      <c r="PTL60" s="64"/>
      <c r="PTM60" s="64"/>
      <c r="PTN60" s="64"/>
      <c r="PTO60" s="64"/>
      <c r="PTP60" s="64"/>
      <c r="PTQ60" s="64"/>
      <c r="PTR60" s="64"/>
      <c r="PTS60" s="64"/>
      <c r="PTT60" s="64"/>
      <c r="PTU60" s="64"/>
      <c r="PTV60" s="64"/>
      <c r="PTW60" s="64"/>
      <c r="PTX60" s="64"/>
      <c r="PTY60" s="64"/>
      <c r="PTZ60" s="64"/>
      <c r="PUA60" s="64"/>
      <c r="PUB60" s="64"/>
      <c r="PUC60" s="64"/>
      <c r="PUD60" s="64"/>
      <c r="PUE60" s="64"/>
      <c r="PUF60" s="64"/>
      <c r="PUG60" s="64"/>
      <c r="PUH60" s="64"/>
      <c r="PUI60" s="64"/>
      <c r="PUJ60" s="64"/>
      <c r="PUK60" s="64"/>
      <c r="PUL60" s="64"/>
      <c r="PUM60" s="64"/>
      <c r="PUN60" s="64"/>
      <c r="PUO60" s="64"/>
      <c r="PUP60" s="64"/>
      <c r="PUQ60" s="64"/>
      <c r="PUR60" s="64"/>
      <c r="PUS60" s="64"/>
      <c r="PUT60" s="64"/>
      <c r="PUU60" s="64"/>
      <c r="PUV60" s="64"/>
      <c r="PUW60" s="64"/>
      <c r="PUX60" s="64"/>
      <c r="PUY60" s="64"/>
      <c r="PUZ60" s="64"/>
      <c r="PVA60" s="64"/>
      <c r="PVB60" s="64"/>
      <c r="PVC60" s="64"/>
      <c r="PVD60" s="64"/>
      <c r="PVE60" s="64"/>
      <c r="PVF60" s="64"/>
      <c r="PVG60" s="64"/>
      <c r="PVH60" s="64"/>
      <c r="PVI60" s="64"/>
      <c r="PVJ60" s="64"/>
      <c r="PVK60" s="64"/>
      <c r="PVL60" s="64"/>
      <c r="PVM60" s="64"/>
      <c r="PVN60" s="64"/>
      <c r="PVO60" s="64"/>
      <c r="PVP60" s="64"/>
      <c r="PVQ60" s="64"/>
      <c r="PVR60" s="64"/>
      <c r="PVS60" s="64"/>
      <c r="PVT60" s="64"/>
      <c r="PVU60" s="64"/>
      <c r="PVV60" s="64"/>
      <c r="PVW60" s="64"/>
      <c r="PVX60" s="64"/>
      <c r="PVY60" s="64"/>
      <c r="PVZ60" s="64"/>
      <c r="PWA60" s="64"/>
      <c r="PWB60" s="64"/>
      <c r="PWC60" s="64"/>
      <c r="PWD60" s="64"/>
      <c r="PWE60" s="64"/>
      <c r="PWF60" s="64"/>
      <c r="PWG60" s="64"/>
      <c r="PWH60" s="64"/>
      <c r="PWI60" s="64"/>
      <c r="PWJ60" s="64"/>
      <c r="PWK60" s="64"/>
      <c r="PWL60" s="64"/>
      <c r="PWM60" s="64"/>
      <c r="PWN60" s="64"/>
      <c r="PWO60" s="64"/>
      <c r="PWP60" s="64"/>
      <c r="PWQ60" s="64"/>
      <c r="PWR60" s="64"/>
      <c r="PWS60" s="64"/>
      <c r="PWT60" s="64"/>
      <c r="PWU60" s="64"/>
      <c r="PWV60" s="64"/>
      <c r="PWW60" s="64"/>
      <c r="PWX60" s="64"/>
      <c r="PWY60" s="64"/>
      <c r="PWZ60" s="64"/>
      <c r="PXA60" s="64"/>
      <c r="PXB60" s="64"/>
      <c r="PXC60" s="64"/>
      <c r="PXD60" s="64"/>
      <c r="PXE60" s="64"/>
      <c r="PXF60" s="64"/>
      <c r="PXG60" s="64"/>
      <c r="PXH60" s="64"/>
      <c r="PXI60" s="64"/>
      <c r="PXJ60" s="64"/>
      <c r="PXK60" s="64"/>
      <c r="PXL60" s="64"/>
      <c r="PXM60" s="64"/>
      <c r="PXN60" s="64"/>
      <c r="PXO60" s="64"/>
      <c r="PXP60" s="64"/>
      <c r="PXQ60" s="64"/>
      <c r="PXR60" s="64"/>
      <c r="PXS60" s="64"/>
      <c r="PXT60" s="64"/>
      <c r="PXU60" s="64"/>
      <c r="PXV60" s="64"/>
      <c r="PXW60" s="64"/>
      <c r="PXX60" s="64"/>
      <c r="PXY60" s="64"/>
      <c r="PXZ60" s="64"/>
      <c r="PYA60" s="64"/>
      <c r="PYB60" s="64"/>
      <c r="PYC60" s="64"/>
      <c r="PYD60" s="64"/>
      <c r="PYE60" s="64"/>
      <c r="PYF60" s="64"/>
      <c r="PYG60" s="64"/>
      <c r="PYH60" s="64"/>
      <c r="PYI60" s="64"/>
      <c r="PYJ60" s="64"/>
      <c r="PYK60" s="64"/>
      <c r="PYL60" s="64"/>
      <c r="PYM60" s="64"/>
      <c r="PYN60" s="64"/>
      <c r="PYO60" s="64"/>
      <c r="PYP60" s="64"/>
      <c r="PYQ60" s="64"/>
      <c r="PYR60" s="64"/>
      <c r="PYS60" s="64"/>
      <c r="PYT60" s="64"/>
      <c r="PYU60" s="64"/>
      <c r="PYV60" s="64"/>
      <c r="PYW60" s="64"/>
      <c r="PYX60" s="64"/>
      <c r="PYY60" s="64"/>
      <c r="PYZ60" s="64"/>
      <c r="PZA60" s="64"/>
      <c r="PZB60" s="64"/>
      <c r="PZC60" s="64"/>
      <c r="PZD60" s="64"/>
      <c r="PZE60" s="64"/>
      <c r="PZF60" s="64"/>
      <c r="PZG60" s="64"/>
      <c r="PZH60" s="64"/>
      <c r="PZI60" s="64"/>
      <c r="PZJ60" s="64"/>
      <c r="PZK60" s="64"/>
      <c r="PZL60" s="64"/>
      <c r="PZM60" s="64"/>
      <c r="PZN60" s="64"/>
      <c r="PZO60" s="64"/>
      <c r="PZP60" s="64"/>
      <c r="PZQ60" s="64"/>
      <c r="PZR60" s="64"/>
      <c r="PZS60" s="64"/>
      <c r="PZT60" s="64"/>
      <c r="PZU60" s="64"/>
      <c r="PZV60" s="64"/>
      <c r="PZW60" s="64"/>
      <c r="PZX60" s="64"/>
      <c r="PZY60" s="64"/>
      <c r="PZZ60" s="64"/>
      <c r="QAA60" s="64"/>
      <c r="QAB60" s="64"/>
      <c r="QAC60" s="64"/>
      <c r="QAD60" s="64"/>
      <c r="QAE60" s="64"/>
      <c r="QAF60" s="64"/>
      <c r="QAG60" s="64"/>
      <c r="QAH60" s="64"/>
      <c r="QAI60" s="64"/>
      <c r="QAJ60" s="64"/>
      <c r="QAK60" s="64"/>
      <c r="QAL60" s="64"/>
      <c r="QAM60" s="64"/>
      <c r="QAN60" s="64"/>
      <c r="QAO60" s="64"/>
      <c r="QAP60" s="64"/>
      <c r="QAQ60" s="64"/>
      <c r="QAR60" s="64"/>
      <c r="QAS60" s="64"/>
      <c r="QAT60" s="64"/>
      <c r="QAU60" s="64"/>
      <c r="QAV60" s="64"/>
      <c r="QAW60" s="64"/>
      <c r="QAX60" s="64"/>
      <c r="QAY60" s="64"/>
      <c r="QAZ60" s="64"/>
      <c r="QBA60" s="64"/>
      <c r="QBB60" s="64"/>
      <c r="QBC60" s="64"/>
      <c r="QBD60" s="64"/>
      <c r="QBE60" s="64"/>
      <c r="QBF60" s="64"/>
      <c r="QBG60" s="64"/>
      <c r="QBH60" s="64"/>
      <c r="QBI60" s="64"/>
      <c r="QBJ60" s="64"/>
      <c r="QBK60" s="64"/>
      <c r="QBL60" s="64"/>
      <c r="QBM60" s="64"/>
      <c r="QBN60" s="64"/>
      <c r="QBO60" s="64"/>
      <c r="QBP60" s="64"/>
      <c r="QBQ60" s="64"/>
      <c r="QBR60" s="64"/>
      <c r="QBS60" s="64"/>
      <c r="QBT60" s="64"/>
      <c r="QBU60" s="64"/>
      <c r="QBV60" s="64"/>
      <c r="QBW60" s="64"/>
      <c r="QBX60" s="64"/>
      <c r="QBY60" s="64"/>
      <c r="QBZ60" s="64"/>
      <c r="QCA60" s="64"/>
      <c r="QCB60" s="64"/>
      <c r="QCC60" s="64"/>
      <c r="QCD60" s="64"/>
      <c r="QCE60" s="64"/>
      <c r="QCF60" s="64"/>
      <c r="QCG60" s="64"/>
      <c r="QCH60" s="64"/>
      <c r="QCI60" s="64"/>
      <c r="QCJ60" s="64"/>
      <c r="QCK60" s="64"/>
      <c r="QCL60" s="64"/>
      <c r="QCM60" s="64"/>
      <c r="QCN60" s="64"/>
      <c r="QCO60" s="64"/>
      <c r="QCP60" s="64"/>
      <c r="QCQ60" s="64"/>
      <c r="QCR60" s="64"/>
      <c r="QCS60" s="64"/>
      <c r="QCT60" s="64"/>
      <c r="QCU60" s="64"/>
      <c r="QCV60" s="64"/>
      <c r="QCW60" s="64"/>
      <c r="QCX60" s="64"/>
      <c r="QCY60" s="64"/>
      <c r="QCZ60" s="64"/>
      <c r="QDA60" s="64"/>
      <c r="QDB60" s="64"/>
      <c r="QDC60" s="64"/>
      <c r="QDD60" s="64"/>
      <c r="QDE60" s="64"/>
      <c r="QDF60" s="64"/>
      <c r="QDG60" s="64"/>
      <c r="QDH60" s="64"/>
      <c r="QDI60" s="64"/>
      <c r="QDJ60" s="64"/>
      <c r="QDK60" s="64"/>
      <c r="QDL60" s="64"/>
      <c r="QDM60" s="64"/>
      <c r="QDN60" s="64"/>
      <c r="QDO60" s="64"/>
      <c r="QDP60" s="64"/>
      <c r="QDQ60" s="64"/>
      <c r="QDR60" s="64"/>
      <c r="QDS60" s="64"/>
      <c r="QDT60" s="64"/>
      <c r="QDU60" s="64"/>
      <c r="QDV60" s="64"/>
      <c r="QDW60" s="64"/>
      <c r="QDX60" s="64"/>
      <c r="QDY60" s="64"/>
      <c r="QDZ60" s="64"/>
      <c r="QEA60" s="64"/>
      <c r="QEB60" s="64"/>
      <c r="QEC60" s="64"/>
      <c r="QED60" s="64"/>
      <c r="QEE60" s="64"/>
      <c r="QEF60" s="64"/>
      <c r="QEG60" s="64"/>
      <c r="QEH60" s="64"/>
      <c r="QEI60" s="64"/>
      <c r="QEJ60" s="64"/>
      <c r="QEK60" s="64"/>
      <c r="QEL60" s="64"/>
      <c r="QEM60" s="64"/>
      <c r="QEN60" s="64"/>
      <c r="QEO60" s="64"/>
      <c r="QEP60" s="64"/>
      <c r="QEQ60" s="64"/>
      <c r="QER60" s="64"/>
      <c r="QES60" s="64"/>
      <c r="QET60" s="64"/>
      <c r="QEU60" s="64"/>
      <c r="QEV60" s="64"/>
      <c r="QEW60" s="64"/>
      <c r="QEX60" s="64"/>
      <c r="QEY60" s="64"/>
      <c r="QEZ60" s="64"/>
      <c r="QFA60" s="64"/>
      <c r="QFB60" s="64"/>
      <c r="QFC60" s="64"/>
      <c r="QFD60" s="64"/>
      <c r="QFE60" s="64"/>
      <c r="QFF60" s="64"/>
      <c r="QFG60" s="64"/>
      <c r="QFH60" s="64"/>
      <c r="QFI60" s="64"/>
      <c r="QFJ60" s="64"/>
      <c r="QFK60" s="64"/>
      <c r="QFL60" s="64"/>
      <c r="QFM60" s="64"/>
      <c r="QFN60" s="64"/>
      <c r="QFO60" s="64"/>
      <c r="QFP60" s="64"/>
      <c r="QFQ60" s="64"/>
      <c r="QFR60" s="64"/>
      <c r="QFS60" s="64"/>
      <c r="QFT60" s="64"/>
      <c r="QFU60" s="64"/>
      <c r="QFV60" s="64"/>
      <c r="QFW60" s="64"/>
      <c r="QFX60" s="64"/>
      <c r="QFY60" s="64"/>
      <c r="QFZ60" s="64"/>
      <c r="QGA60" s="64"/>
      <c r="QGB60" s="64"/>
      <c r="QGC60" s="64"/>
      <c r="QGD60" s="64"/>
      <c r="QGE60" s="64"/>
      <c r="QGF60" s="64"/>
      <c r="QGG60" s="64"/>
      <c r="QGH60" s="64"/>
      <c r="QGI60" s="64"/>
      <c r="QGJ60" s="64"/>
      <c r="QGK60" s="64"/>
      <c r="QGL60" s="64"/>
      <c r="QGM60" s="64"/>
      <c r="QGN60" s="64"/>
      <c r="QGO60" s="64"/>
      <c r="QGP60" s="64"/>
      <c r="QGQ60" s="64"/>
      <c r="QGR60" s="64"/>
      <c r="QGS60" s="64"/>
      <c r="QGT60" s="64"/>
      <c r="QGU60" s="64"/>
      <c r="QGV60" s="64"/>
      <c r="QGW60" s="64"/>
      <c r="QGX60" s="64"/>
      <c r="QGY60" s="64"/>
      <c r="QGZ60" s="64"/>
      <c r="QHA60" s="64"/>
      <c r="QHB60" s="64"/>
      <c r="QHC60" s="64"/>
      <c r="QHD60" s="64"/>
      <c r="QHE60" s="64"/>
      <c r="QHF60" s="64"/>
      <c r="QHG60" s="64"/>
      <c r="QHH60" s="64"/>
      <c r="QHI60" s="64"/>
      <c r="QHJ60" s="64"/>
      <c r="QHK60" s="64"/>
      <c r="QHL60" s="64"/>
      <c r="QHM60" s="64"/>
      <c r="QHN60" s="64"/>
      <c r="QHO60" s="64"/>
      <c r="QHP60" s="64"/>
      <c r="QHQ60" s="64"/>
      <c r="QHR60" s="64"/>
      <c r="QHS60" s="64"/>
      <c r="QHT60" s="64"/>
      <c r="QHU60" s="64"/>
      <c r="QHV60" s="64"/>
      <c r="QHW60" s="64"/>
      <c r="QHX60" s="64"/>
      <c r="QHY60" s="64"/>
      <c r="QHZ60" s="64"/>
      <c r="QIA60" s="64"/>
      <c r="QIB60" s="64"/>
      <c r="QIC60" s="64"/>
      <c r="QID60" s="64"/>
      <c r="QIE60" s="64"/>
      <c r="QIF60" s="64"/>
      <c r="QIG60" s="64"/>
      <c r="QIH60" s="64"/>
      <c r="QII60" s="64"/>
      <c r="QIJ60" s="64"/>
      <c r="QIK60" s="64"/>
      <c r="QIL60" s="64"/>
      <c r="QIM60" s="64"/>
      <c r="QIN60" s="64"/>
      <c r="QIO60" s="64"/>
      <c r="QIP60" s="64"/>
      <c r="QIQ60" s="64"/>
      <c r="QIR60" s="64"/>
      <c r="QIS60" s="64"/>
      <c r="QIT60" s="64"/>
      <c r="QIU60" s="64"/>
      <c r="QIV60" s="64"/>
      <c r="QIW60" s="64"/>
      <c r="QIX60" s="64"/>
      <c r="QIY60" s="64"/>
      <c r="QIZ60" s="64"/>
      <c r="QJA60" s="64"/>
      <c r="QJB60" s="64"/>
      <c r="QJC60" s="64"/>
      <c r="QJD60" s="64"/>
      <c r="QJE60" s="64"/>
      <c r="QJF60" s="64"/>
      <c r="QJG60" s="64"/>
      <c r="QJH60" s="64"/>
      <c r="QJI60" s="64"/>
      <c r="QJJ60" s="64"/>
      <c r="QJK60" s="64"/>
      <c r="QJL60" s="64"/>
      <c r="QJM60" s="64"/>
      <c r="QJN60" s="64"/>
      <c r="QJO60" s="64"/>
      <c r="QJP60" s="64"/>
      <c r="QJQ60" s="64"/>
      <c r="QJR60" s="64"/>
      <c r="QJS60" s="64"/>
      <c r="QJT60" s="64"/>
      <c r="QJU60" s="64"/>
      <c r="QJV60" s="64"/>
      <c r="QJW60" s="64"/>
      <c r="QJX60" s="64"/>
      <c r="QJY60" s="64"/>
      <c r="QJZ60" s="64"/>
      <c r="QKA60" s="64"/>
      <c r="QKB60" s="64"/>
      <c r="QKC60" s="64"/>
      <c r="QKD60" s="64"/>
      <c r="QKE60" s="64"/>
      <c r="QKF60" s="64"/>
      <c r="QKG60" s="64"/>
      <c r="QKH60" s="64"/>
      <c r="QKI60" s="64"/>
      <c r="QKJ60" s="64"/>
      <c r="QKK60" s="64"/>
      <c r="QKL60" s="64"/>
      <c r="QKM60" s="64"/>
      <c r="QKN60" s="64"/>
      <c r="QKO60" s="64"/>
      <c r="QKP60" s="64"/>
      <c r="QKQ60" s="64"/>
      <c r="QKR60" s="64"/>
      <c r="QKS60" s="64"/>
      <c r="QKT60" s="64"/>
      <c r="QKU60" s="64"/>
      <c r="QKV60" s="64"/>
      <c r="QKW60" s="64"/>
      <c r="QKX60" s="64"/>
      <c r="QKY60" s="64"/>
      <c r="QKZ60" s="64"/>
      <c r="QLA60" s="64"/>
      <c r="QLB60" s="64"/>
      <c r="QLC60" s="64"/>
      <c r="QLD60" s="64"/>
      <c r="QLE60" s="64"/>
      <c r="QLF60" s="64"/>
      <c r="QLG60" s="64"/>
      <c r="QLH60" s="64"/>
      <c r="QLI60" s="64"/>
      <c r="QLJ60" s="64"/>
      <c r="QLK60" s="64"/>
      <c r="QLL60" s="64"/>
      <c r="QLM60" s="64"/>
      <c r="QLN60" s="64"/>
      <c r="QLO60" s="64"/>
      <c r="QLP60" s="64"/>
      <c r="QLQ60" s="64"/>
      <c r="QLR60" s="64"/>
      <c r="QLS60" s="64"/>
      <c r="QLT60" s="64"/>
      <c r="QLU60" s="64"/>
      <c r="QLV60" s="64"/>
      <c r="QLW60" s="64"/>
      <c r="QLX60" s="64"/>
      <c r="QLY60" s="64"/>
      <c r="QLZ60" s="64"/>
      <c r="QMA60" s="64"/>
      <c r="QMB60" s="64"/>
      <c r="QMC60" s="64"/>
      <c r="QMD60" s="64"/>
      <c r="QME60" s="64"/>
      <c r="QMF60" s="64"/>
      <c r="QMG60" s="64"/>
      <c r="QMH60" s="64"/>
      <c r="QMI60" s="64"/>
      <c r="QMJ60" s="64"/>
      <c r="QMK60" s="64"/>
      <c r="QML60" s="64"/>
      <c r="QMM60" s="64"/>
      <c r="QMN60" s="64"/>
      <c r="QMO60" s="64"/>
      <c r="QMP60" s="64"/>
      <c r="QMQ60" s="64"/>
      <c r="QMR60" s="64"/>
      <c r="QMS60" s="64"/>
      <c r="QMT60" s="64"/>
      <c r="QMU60" s="64"/>
      <c r="QMV60" s="64"/>
      <c r="QMW60" s="64"/>
      <c r="QMX60" s="64"/>
      <c r="QMY60" s="64"/>
      <c r="QMZ60" s="64"/>
      <c r="QNA60" s="64"/>
      <c r="QNB60" s="64"/>
      <c r="QNC60" s="64"/>
      <c r="QND60" s="64"/>
      <c r="QNE60" s="64"/>
      <c r="QNF60" s="64"/>
      <c r="QNG60" s="64"/>
      <c r="QNH60" s="64"/>
      <c r="QNI60" s="64"/>
      <c r="QNJ60" s="64"/>
      <c r="QNK60" s="64"/>
      <c r="QNL60" s="64"/>
      <c r="QNM60" s="64"/>
      <c r="QNN60" s="64"/>
      <c r="QNO60" s="64"/>
      <c r="QNP60" s="64"/>
      <c r="QNQ60" s="64"/>
      <c r="QNR60" s="64"/>
      <c r="QNS60" s="64"/>
      <c r="QNT60" s="64"/>
      <c r="QNU60" s="64"/>
      <c r="QNV60" s="64"/>
      <c r="QNW60" s="64"/>
      <c r="QNX60" s="64"/>
      <c r="QNY60" s="64"/>
      <c r="QNZ60" s="64"/>
      <c r="QOA60" s="64"/>
      <c r="QOB60" s="64"/>
      <c r="QOC60" s="64"/>
      <c r="QOD60" s="64"/>
      <c r="QOE60" s="64"/>
      <c r="QOF60" s="64"/>
      <c r="QOG60" s="64"/>
      <c r="QOH60" s="64"/>
      <c r="QOI60" s="64"/>
      <c r="QOJ60" s="64"/>
      <c r="QOK60" s="64"/>
      <c r="QOL60" s="64"/>
      <c r="QOM60" s="64"/>
      <c r="QON60" s="64"/>
      <c r="QOO60" s="64"/>
      <c r="QOP60" s="64"/>
      <c r="QOQ60" s="64"/>
      <c r="QOR60" s="64"/>
      <c r="QOS60" s="64"/>
      <c r="QOT60" s="64"/>
      <c r="QOU60" s="64"/>
      <c r="QOV60" s="64"/>
      <c r="QOW60" s="64"/>
      <c r="QOX60" s="64"/>
      <c r="QOY60" s="64"/>
      <c r="QOZ60" s="64"/>
      <c r="QPA60" s="64"/>
      <c r="QPB60" s="64"/>
      <c r="QPC60" s="64"/>
      <c r="QPD60" s="64"/>
      <c r="QPE60" s="64"/>
      <c r="QPF60" s="64"/>
      <c r="QPG60" s="64"/>
      <c r="QPH60" s="64"/>
      <c r="QPI60" s="64"/>
      <c r="QPJ60" s="64"/>
      <c r="QPK60" s="64"/>
      <c r="QPL60" s="64"/>
      <c r="QPM60" s="64"/>
      <c r="QPN60" s="64"/>
      <c r="QPO60" s="64"/>
      <c r="QPP60" s="64"/>
      <c r="QPQ60" s="64"/>
      <c r="QPR60" s="64"/>
      <c r="QPS60" s="64"/>
      <c r="QPT60" s="64"/>
      <c r="QPU60" s="64"/>
      <c r="QPV60" s="64"/>
      <c r="QPW60" s="64"/>
      <c r="QPX60" s="64"/>
      <c r="QPY60" s="64"/>
      <c r="QPZ60" s="64"/>
      <c r="QQA60" s="64"/>
      <c r="QQB60" s="64"/>
      <c r="QQC60" s="64"/>
      <c r="QQD60" s="64"/>
      <c r="QQE60" s="64"/>
      <c r="QQF60" s="64"/>
      <c r="QQG60" s="64"/>
      <c r="QQH60" s="64"/>
      <c r="QQI60" s="64"/>
      <c r="QQJ60" s="64"/>
      <c r="QQK60" s="64"/>
      <c r="QQL60" s="64"/>
      <c r="QQM60" s="64"/>
      <c r="QQN60" s="64"/>
      <c r="QQO60" s="64"/>
      <c r="QQP60" s="64"/>
      <c r="QQQ60" s="64"/>
      <c r="QQR60" s="64"/>
      <c r="QQS60" s="64"/>
      <c r="QQT60" s="64"/>
      <c r="QQU60" s="64"/>
      <c r="QQV60" s="64"/>
      <c r="QQW60" s="64"/>
      <c r="QQX60" s="64"/>
      <c r="QQY60" s="64"/>
      <c r="QQZ60" s="64"/>
      <c r="QRA60" s="64"/>
      <c r="QRB60" s="64"/>
      <c r="QRC60" s="64"/>
      <c r="QRD60" s="64"/>
      <c r="QRE60" s="64"/>
      <c r="QRF60" s="64"/>
      <c r="QRG60" s="64"/>
      <c r="QRH60" s="64"/>
      <c r="QRI60" s="64"/>
      <c r="QRJ60" s="64"/>
      <c r="QRK60" s="64"/>
      <c r="QRL60" s="64"/>
      <c r="QRM60" s="64"/>
      <c r="QRN60" s="64"/>
      <c r="QRO60" s="64"/>
      <c r="QRP60" s="64"/>
      <c r="QRQ60" s="64"/>
      <c r="QRR60" s="64"/>
      <c r="QRS60" s="64"/>
      <c r="QRT60" s="64"/>
      <c r="QRU60" s="64"/>
      <c r="QRV60" s="64"/>
      <c r="QRW60" s="64"/>
      <c r="QRX60" s="64"/>
      <c r="QRY60" s="64"/>
      <c r="QRZ60" s="64"/>
      <c r="QSA60" s="64"/>
      <c r="QSB60" s="64"/>
      <c r="QSC60" s="64"/>
      <c r="QSD60" s="64"/>
      <c r="QSE60" s="64"/>
      <c r="QSF60" s="64"/>
      <c r="QSG60" s="64"/>
      <c r="QSH60" s="64"/>
      <c r="QSI60" s="64"/>
      <c r="QSJ60" s="64"/>
      <c r="QSK60" s="64"/>
      <c r="QSL60" s="64"/>
      <c r="QSM60" s="64"/>
      <c r="QSN60" s="64"/>
      <c r="QSO60" s="64"/>
      <c r="QSP60" s="64"/>
      <c r="QSQ60" s="64"/>
      <c r="QSR60" s="64"/>
      <c r="QSS60" s="64"/>
      <c r="QST60" s="64"/>
      <c r="QSU60" s="64"/>
      <c r="QSV60" s="64"/>
      <c r="QSW60" s="64"/>
      <c r="QSX60" s="64"/>
      <c r="QSY60" s="64"/>
      <c r="QSZ60" s="64"/>
      <c r="QTA60" s="64"/>
      <c r="QTB60" s="64"/>
      <c r="QTC60" s="64"/>
      <c r="QTD60" s="64"/>
      <c r="QTE60" s="64"/>
      <c r="QTF60" s="64"/>
      <c r="QTG60" s="64"/>
      <c r="QTH60" s="64"/>
      <c r="QTI60" s="64"/>
      <c r="QTJ60" s="64"/>
      <c r="QTK60" s="64"/>
      <c r="QTL60" s="64"/>
      <c r="QTM60" s="64"/>
      <c r="QTN60" s="64"/>
      <c r="QTO60" s="64"/>
      <c r="QTP60" s="64"/>
      <c r="QTQ60" s="64"/>
      <c r="QTR60" s="64"/>
      <c r="QTS60" s="64"/>
      <c r="QTT60" s="64"/>
      <c r="QTU60" s="64"/>
      <c r="QTV60" s="64"/>
      <c r="QTW60" s="64"/>
      <c r="QTX60" s="64"/>
      <c r="QTY60" s="64"/>
      <c r="QTZ60" s="64"/>
      <c r="QUA60" s="64"/>
      <c r="QUB60" s="64"/>
      <c r="QUC60" s="64"/>
      <c r="QUD60" s="64"/>
      <c r="QUE60" s="64"/>
      <c r="QUF60" s="64"/>
      <c r="QUG60" s="64"/>
      <c r="QUH60" s="64"/>
      <c r="QUI60" s="64"/>
      <c r="QUJ60" s="64"/>
      <c r="QUK60" s="64"/>
      <c r="QUL60" s="64"/>
      <c r="QUM60" s="64"/>
      <c r="QUN60" s="64"/>
      <c r="QUO60" s="64"/>
      <c r="QUP60" s="64"/>
      <c r="QUQ60" s="64"/>
      <c r="QUR60" s="64"/>
      <c r="QUS60" s="64"/>
      <c r="QUT60" s="64"/>
      <c r="QUU60" s="64"/>
      <c r="QUV60" s="64"/>
      <c r="QUW60" s="64"/>
      <c r="QUX60" s="64"/>
      <c r="QUY60" s="64"/>
      <c r="QUZ60" s="64"/>
      <c r="QVA60" s="64"/>
      <c r="QVB60" s="64"/>
      <c r="QVC60" s="64"/>
      <c r="QVD60" s="64"/>
      <c r="QVE60" s="64"/>
      <c r="QVF60" s="64"/>
      <c r="QVG60" s="64"/>
      <c r="QVH60" s="64"/>
      <c r="QVI60" s="64"/>
      <c r="QVJ60" s="64"/>
      <c r="QVK60" s="64"/>
      <c r="QVL60" s="64"/>
      <c r="QVM60" s="64"/>
      <c r="QVN60" s="64"/>
      <c r="QVO60" s="64"/>
      <c r="QVP60" s="64"/>
      <c r="QVQ60" s="64"/>
      <c r="QVR60" s="64"/>
      <c r="QVS60" s="64"/>
      <c r="QVT60" s="64"/>
      <c r="QVU60" s="64"/>
      <c r="QVV60" s="64"/>
      <c r="QVW60" s="64"/>
      <c r="QVX60" s="64"/>
      <c r="QVY60" s="64"/>
      <c r="QVZ60" s="64"/>
      <c r="QWA60" s="64"/>
      <c r="QWB60" s="64"/>
      <c r="QWC60" s="64"/>
      <c r="QWD60" s="64"/>
      <c r="QWE60" s="64"/>
      <c r="QWF60" s="64"/>
      <c r="QWG60" s="64"/>
      <c r="QWH60" s="64"/>
      <c r="QWI60" s="64"/>
      <c r="QWJ60" s="64"/>
      <c r="QWK60" s="64"/>
      <c r="QWL60" s="64"/>
      <c r="QWM60" s="64"/>
      <c r="QWN60" s="64"/>
      <c r="QWO60" s="64"/>
      <c r="QWP60" s="64"/>
      <c r="QWQ60" s="64"/>
      <c r="QWR60" s="64"/>
      <c r="QWS60" s="64"/>
      <c r="QWT60" s="64"/>
      <c r="QWU60" s="64"/>
      <c r="QWV60" s="64"/>
      <c r="QWW60" s="64"/>
      <c r="QWX60" s="64"/>
      <c r="QWY60" s="64"/>
      <c r="QWZ60" s="64"/>
      <c r="QXA60" s="64"/>
      <c r="QXB60" s="64"/>
      <c r="QXC60" s="64"/>
      <c r="QXD60" s="64"/>
      <c r="QXE60" s="64"/>
      <c r="QXF60" s="64"/>
      <c r="QXG60" s="64"/>
      <c r="QXH60" s="64"/>
      <c r="QXI60" s="64"/>
      <c r="QXJ60" s="64"/>
      <c r="QXK60" s="64"/>
      <c r="QXL60" s="64"/>
      <c r="QXM60" s="64"/>
      <c r="QXN60" s="64"/>
      <c r="QXO60" s="64"/>
      <c r="QXP60" s="64"/>
      <c r="QXQ60" s="64"/>
      <c r="QXR60" s="64"/>
      <c r="QXS60" s="64"/>
      <c r="QXT60" s="64"/>
      <c r="QXU60" s="64"/>
      <c r="QXV60" s="64"/>
      <c r="QXW60" s="64"/>
      <c r="QXX60" s="64"/>
      <c r="QXY60" s="64"/>
      <c r="QXZ60" s="64"/>
      <c r="QYA60" s="64"/>
      <c r="QYB60" s="64"/>
      <c r="QYC60" s="64"/>
      <c r="QYD60" s="64"/>
      <c r="QYE60" s="64"/>
      <c r="QYF60" s="64"/>
      <c r="QYG60" s="64"/>
      <c r="QYH60" s="64"/>
      <c r="QYI60" s="64"/>
      <c r="QYJ60" s="64"/>
      <c r="QYK60" s="64"/>
      <c r="QYL60" s="64"/>
      <c r="QYM60" s="64"/>
      <c r="QYN60" s="64"/>
      <c r="QYO60" s="64"/>
      <c r="QYP60" s="64"/>
      <c r="QYQ60" s="64"/>
      <c r="QYR60" s="64"/>
      <c r="QYS60" s="64"/>
      <c r="QYT60" s="64"/>
      <c r="QYU60" s="64"/>
      <c r="QYV60" s="64"/>
      <c r="QYW60" s="64"/>
      <c r="QYX60" s="64"/>
      <c r="QYY60" s="64"/>
      <c r="QYZ60" s="64"/>
      <c r="QZA60" s="64"/>
      <c r="QZB60" s="64"/>
      <c r="QZC60" s="64"/>
      <c r="QZD60" s="64"/>
      <c r="QZE60" s="64"/>
      <c r="QZF60" s="64"/>
      <c r="QZG60" s="64"/>
      <c r="QZH60" s="64"/>
      <c r="QZI60" s="64"/>
      <c r="QZJ60" s="64"/>
      <c r="QZK60" s="64"/>
      <c r="QZL60" s="64"/>
      <c r="QZM60" s="64"/>
      <c r="QZN60" s="64"/>
      <c r="QZO60" s="64"/>
      <c r="QZP60" s="64"/>
      <c r="QZQ60" s="64"/>
      <c r="QZR60" s="64"/>
      <c r="QZS60" s="64"/>
      <c r="QZT60" s="64"/>
      <c r="QZU60" s="64"/>
      <c r="QZV60" s="64"/>
      <c r="QZW60" s="64"/>
      <c r="QZX60" s="64"/>
      <c r="QZY60" s="64"/>
      <c r="QZZ60" s="64"/>
      <c r="RAA60" s="64"/>
      <c r="RAB60" s="64"/>
      <c r="RAC60" s="64"/>
      <c r="RAD60" s="64"/>
      <c r="RAE60" s="64"/>
      <c r="RAF60" s="64"/>
      <c r="RAG60" s="64"/>
      <c r="RAH60" s="64"/>
      <c r="RAI60" s="64"/>
      <c r="RAJ60" s="64"/>
      <c r="RAK60" s="64"/>
      <c r="RAL60" s="64"/>
      <c r="RAM60" s="64"/>
      <c r="RAN60" s="64"/>
      <c r="RAO60" s="64"/>
      <c r="RAP60" s="64"/>
      <c r="RAQ60" s="64"/>
      <c r="RAR60" s="64"/>
      <c r="RAS60" s="64"/>
      <c r="RAT60" s="64"/>
      <c r="RAU60" s="64"/>
      <c r="RAV60" s="64"/>
      <c r="RAW60" s="64"/>
      <c r="RAX60" s="64"/>
      <c r="RAY60" s="64"/>
      <c r="RAZ60" s="64"/>
      <c r="RBA60" s="64"/>
      <c r="RBB60" s="64"/>
      <c r="RBC60" s="64"/>
      <c r="RBD60" s="64"/>
      <c r="RBE60" s="64"/>
      <c r="RBF60" s="64"/>
      <c r="RBG60" s="64"/>
      <c r="RBH60" s="64"/>
      <c r="RBI60" s="64"/>
      <c r="RBJ60" s="64"/>
      <c r="RBK60" s="64"/>
      <c r="RBL60" s="64"/>
      <c r="RBM60" s="64"/>
      <c r="RBN60" s="64"/>
      <c r="RBO60" s="64"/>
      <c r="RBP60" s="64"/>
      <c r="RBQ60" s="64"/>
      <c r="RBR60" s="64"/>
      <c r="RBS60" s="64"/>
      <c r="RBT60" s="64"/>
      <c r="RBU60" s="64"/>
      <c r="RBV60" s="64"/>
      <c r="RBW60" s="64"/>
      <c r="RBX60" s="64"/>
      <c r="RBY60" s="64"/>
      <c r="RBZ60" s="64"/>
      <c r="RCA60" s="64"/>
      <c r="RCB60" s="64"/>
      <c r="RCC60" s="64"/>
      <c r="RCD60" s="64"/>
      <c r="RCE60" s="64"/>
      <c r="RCF60" s="64"/>
      <c r="RCG60" s="64"/>
      <c r="RCH60" s="64"/>
      <c r="RCI60" s="64"/>
      <c r="RCJ60" s="64"/>
      <c r="RCK60" s="64"/>
      <c r="RCL60" s="64"/>
      <c r="RCM60" s="64"/>
      <c r="RCN60" s="64"/>
      <c r="RCO60" s="64"/>
      <c r="RCP60" s="64"/>
      <c r="RCQ60" s="64"/>
      <c r="RCR60" s="64"/>
      <c r="RCS60" s="64"/>
      <c r="RCT60" s="64"/>
      <c r="RCU60" s="64"/>
      <c r="RCV60" s="64"/>
      <c r="RCW60" s="64"/>
      <c r="RCX60" s="64"/>
      <c r="RCY60" s="64"/>
      <c r="RCZ60" s="64"/>
      <c r="RDA60" s="64"/>
      <c r="RDB60" s="64"/>
      <c r="RDC60" s="64"/>
      <c r="RDD60" s="64"/>
      <c r="RDE60" s="64"/>
      <c r="RDF60" s="64"/>
      <c r="RDG60" s="64"/>
      <c r="RDH60" s="64"/>
      <c r="RDI60" s="64"/>
      <c r="RDJ60" s="64"/>
      <c r="RDK60" s="64"/>
      <c r="RDL60" s="64"/>
      <c r="RDM60" s="64"/>
      <c r="RDN60" s="64"/>
      <c r="RDO60" s="64"/>
      <c r="RDP60" s="64"/>
      <c r="RDQ60" s="64"/>
      <c r="RDR60" s="64"/>
      <c r="RDS60" s="64"/>
      <c r="RDT60" s="64"/>
      <c r="RDU60" s="64"/>
      <c r="RDV60" s="64"/>
      <c r="RDW60" s="64"/>
      <c r="RDX60" s="64"/>
      <c r="RDY60" s="64"/>
      <c r="RDZ60" s="64"/>
      <c r="REA60" s="64"/>
      <c r="REB60" s="64"/>
      <c r="REC60" s="64"/>
      <c r="RED60" s="64"/>
      <c r="REE60" s="64"/>
      <c r="REF60" s="64"/>
      <c r="REG60" s="64"/>
      <c r="REH60" s="64"/>
      <c r="REI60" s="64"/>
      <c r="REJ60" s="64"/>
      <c r="REK60" s="64"/>
      <c r="REL60" s="64"/>
      <c r="REM60" s="64"/>
      <c r="REN60" s="64"/>
      <c r="REO60" s="64"/>
      <c r="REP60" s="64"/>
      <c r="REQ60" s="64"/>
      <c r="RER60" s="64"/>
      <c r="RES60" s="64"/>
      <c r="RET60" s="64"/>
      <c r="REU60" s="64"/>
      <c r="REV60" s="64"/>
      <c r="REW60" s="64"/>
      <c r="REX60" s="64"/>
      <c r="REY60" s="64"/>
      <c r="REZ60" s="64"/>
      <c r="RFA60" s="64"/>
      <c r="RFB60" s="64"/>
      <c r="RFC60" s="64"/>
      <c r="RFD60" s="64"/>
      <c r="RFE60" s="64"/>
      <c r="RFF60" s="64"/>
      <c r="RFG60" s="64"/>
      <c r="RFH60" s="64"/>
      <c r="RFI60" s="64"/>
      <c r="RFJ60" s="64"/>
      <c r="RFK60" s="64"/>
      <c r="RFL60" s="64"/>
      <c r="RFM60" s="64"/>
      <c r="RFN60" s="64"/>
      <c r="RFO60" s="64"/>
      <c r="RFP60" s="64"/>
      <c r="RFQ60" s="64"/>
      <c r="RFR60" s="64"/>
      <c r="RFS60" s="64"/>
      <c r="RFT60" s="64"/>
      <c r="RFU60" s="64"/>
      <c r="RFV60" s="64"/>
      <c r="RFW60" s="64"/>
      <c r="RFX60" s="64"/>
      <c r="RFY60" s="64"/>
      <c r="RFZ60" s="64"/>
      <c r="RGA60" s="64"/>
      <c r="RGB60" s="64"/>
      <c r="RGC60" s="64"/>
      <c r="RGD60" s="64"/>
      <c r="RGE60" s="64"/>
      <c r="RGF60" s="64"/>
      <c r="RGG60" s="64"/>
      <c r="RGH60" s="64"/>
      <c r="RGI60" s="64"/>
      <c r="RGJ60" s="64"/>
      <c r="RGK60" s="64"/>
      <c r="RGL60" s="64"/>
      <c r="RGM60" s="64"/>
      <c r="RGN60" s="64"/>
      <c r="RGO60" s="64"/>
      <c r="RGP60" s="64"/>
      <c r="RGQ60" s="64"/>
      <c r="RGR60" s="64"/>
      <c r="RGS60" s="64"/>
      <c r="RGT60" s="64"/>
      <c r="RGU60" s="64"/>
      <c r="RGV60" s="64"/>
      <c r="RGW60" s="64"/>
      <c r="RGX60" s="64"/>
      <c r="RGY60" s="64"/>
      <c r="RGZ60" s="64"/>
      <c r="RHA60" s="64"/>
      <c r="RHB60" s="64"/>
      <c r="RHC60" s="64"/>
      <c r="RHD60" s="64"/>
      <c r="RHE60" s="64"/>
      <c r="RHF60" s="64"/>
      <c r="RHG60" s="64"/>
      <c r="RHH60" s="64"/>
      <c r="RHI60" s="64"/>
      <c r="RHJ60" s="64"/>
      <c r="RHK60" s="64"/>
      <c r="RHL60" s="64"/>
      <c r="RHM60" s="64"/>
      <c r="RHN60" s="64"/>
      <c r="RHO60" s="64"/>
      <c r="RHP60" s="64"/>
      <c r="RHQ60" s="64"/>
      <c r="RHR60" s="64"/>
      <c r="RHS60" s="64"/>
      <c r="RHT60" s="64"/>
      <c r="RHU60" s="64"/>
      <c r="RHV60" s="64"/>
      <c r="RHW60" s="64"/>
      <c r="RHX60" s="64"/>
      <c r="RHY60" s="64"/>
      <c r="RHZ60" s="64"/>
      <c r="RIA60" s="64"/>
      <c r="RIB60" s="64"/>
      <c r="RIC60" s="64"/>
      <c r="RID60" s="64"/>
      <c r="RIE60" s="64"/>
      <c r="RIF60" s="64"/>
      <c r="RIG60" s="64"/>
      <c r="RIH60" s="64"/>
      <c r="RII60" s="64"/>
      <c r="RIJ60" s="64"/>
      <c r="RIK60" s="64"/>
      <c r="RIL60" s="64"/>
      <c r="RIM60" s="64"/>
      <c r="RIN60" s="64"/>
      <c r="RIO60" s="64"/>
      <c r="RIP60" s="64"/>
      <c r="RIQ60" s="64"/>
      <c r="RIR60" s="64"/>
      <c r="RIS60" s="64"/>
      <c r="RIT60" s="64"/>
      <c r="RIU60" s="64"/>
      <c r="RIV60" s="64"/>
      <c r="RIW60" s="64"/>
      <c r="RIX60" s="64"/>
      <c r="RIY60" s="64"/>
      <c r="RIZ60" s="64"/>
      <c r="RJA60" s="64"/>
      <c r="RJB60" s="64"/>
      <c r="RJC60" s="64"/>
      <c r="RJD60" s="64"/>
      <c r="RJE60" s="64"/>
      <c r="RJF60" s="64"/>
      <c r="RJG60" s="64"/>
      <c r="RJH60" s="64"/>
      <c r="RJI60" s="64"/>
      <c r="RJJ60" s="64"/>
      <c r="RJK60" s="64"/>
      <c r="RJL60" s="64"/>
      <c r="RJM60" s="64"/>
      <c r="RJN60" s="64"/>
      <c r="RJO60" s="64"/>
      <c r="RJP60" s="64"/>
      <c r="RJQ60" s="64"/>
      <c r="RJR60" s="64"/>
      <c r="RJS60" s="64"/>
      <c r="RJT60" s="64"/>
      <c r="RJU60" s="64"/>
      <c r="RJV60" s="64"/>
      <c r="RJW60" s="64"/>
      <c r="RJX60" s="64"/>
      <c r="RJY60" s="64"/>
      <c r="RJZ60" s="64"/>
      <c r="RKA60" s="64"/>
      <c r="RKB60" s="64"/>
      <c r="RKC60" s="64"/>
      <c r="RKD60" s="64"/>
      <c r="RKE60" s="64"/>
      <c r="RKF60" s="64"/>
      <c r="RKG60" s="64"/>
      <c r="RKH60" s="64"/>
      <c r="RKI60" s="64"/>
      <c r="RKJ60" s="64"/>
      <c r="RKK60" s="64"/>
      <c r="RKL60" s="64"/>
      <c r="RKM60" s="64"/>
      <c r="RKN60" s="64"/>
      <c r="RKO60" s="64"/>
      <c r="RKP60" s="64"/>
      <c r="RKQ60" s="64"/>
      <c r="RKR60" s="64"/>
      <c r="RKS60" s="64"/>
      <c r="RKT60" s="64"/>
      <c r="RKU60" s="64"/>
      <c r="RKV60" s="64"/>
      <c r="RKW60" s="64"/>
      <c r="RKX60" s="64"/>
      <c r="RKY60" s="64"/>
      <c r="RKZ60" s="64"/>
      <c r="RLA60" s="64"/>
      <c r="RLB60" s="64"/>
      <c r="RLC60" s="64"/>
      <c r="RLD60" s="64"/>
      <c r="RLE60" s="64"/>
      <c r="RLF60" s="64"/>
      <c r="RLG60" s="64"/>
      <c r="RLH60" s="64"/>
      <c r="RLI60" s="64"/>
      <c r="RLJ60" s="64"/>
      <c r="RLK60" s="64"/>
      <c r="RLL60" s="64"/>
      <c r="RLM60" s="64"/>
      <c r="RLN60" s="64"/>
      <c r="RLO60" s="64"/>
      <c r="RLP60" s="64"/>
      <c r="RLQ60" s="64"/>
      <c r="RLR60" s="64"/>
      <c r="RLS60" s="64"/>
      <c r="RLT60" s="64"/>
      <c r="RLU60" s="64"/>
      <c r="RLV60" s="64"/>
      <c r="RLW60" s="64"/>
      <c r="RLX60" s="64"/>
      <c r="RLY60" s="64"/>
      <c r="RLZ60" s="64"/>
      <c r="RMA60" s="64"/>
      <c r="RMB60" s="64"/>
      <c r="RMC60" s="64"/>
      <c r="RMD60" s="64"/>
      <c r="RME60" s="64"/>
      <c r="RMF60" s="64"/>
      <c r="RMG60" s="64"/>
      <c r="RMH60" s="64"/>
      <c r="RMI60" s="64"/>
      <c r="RMJ60" s="64"/>
      <c r="RMK60" s="64"/>
      <c r="RML60" s="64"/>
      <c r="RMM60" s="64"/>
      <c r="RMN60" s="64"/>
      <c r="RMO60" s="64"/>
      <c r="RMP60" s="64"/>
      <c r="RMQ60" s="64"/>
      <c r="RMR60" s="64"/>
      <c r="RMS60" s="64"/>
      <c r="RMT60" s="64"/>
      <c r="RMU60" s="64"/>
      <c r="RMV60" s="64"/>
      <c r="RMW60" s="64"/>
      <c r="RMX60" s="64"/>
      <c r="RMY60" s="64"/>
      <c r="RMZ60" s="64"/>
      <c r="RNA60" s="64"/>
      <c r="RNB60" s="64"/>
      <c r="RNC60" s="64"/>
      <c r="RND60" s="64"/>
      <c r="RNE60" s="64"/>
      <c r="RNF60" s="64"/>
      <c r="RNG60" s="64"/>
      <c r="RNH60" s="64"/>
      <c r="RNI60" s="64"/>
      <c r="RNJ60" s="64"/>
      <c r="RNK60" s="64"/>
      <c r="RNL60" s="64"/>
      <c r="RNM60" s="64"/>
      <c r="RNN60" s="64"/>
      <c r="RNO60" s="64"/>
      <c r="RNP60" s="64"/>
      <c r="RNQ60" s="64"/>
      <c r="RNR60" s="64"/>
      <c r="RNS60" s="64"/>
      <c r="RNT60" s="64"/>
      <c r="RNU60" s="64"/>
      <c r="RNV60" s="64"/>
      <c r="RNW60" s="64"/>
      <c r="RNX60" s="64"/>
      <c r="RNY60" s="64"/>
      <c r="RNZ60" s="64"/>
      <c r="ROA60" s="64"/>
      <c r="ROB60" s="64"/>
      <c r="ROC60" s="64"/>
      <c r="ROD60" s="64"/>
      <c r="ROE60" s="64"/>
      <c r="ROF60" s="64"/>
      <c r="ROG60" s="64"/>
      <c r="ROH60" s="64"/>
      <c r="ROI60" s="64"/>
      <c r="ROJ60" s="64"/>
      <c r="ROK60" s="64"/>
      <c r="ROL60" s="64"/>
      <c r="ROM60" s="64"/>
      <c r="RON60" s="64"/>
      <c r="ROO60" s="64"/>
      <c r="ROP60" s="64"/>
      <c r="ROQ60" s="64"/>
      <c r="ROR60" s="64"/>
      <c r="ROS60" s="64"/>
      <c r="ROT60" s="64"/>
      <c r="ROU60" s="64"/>
      <c r="ROV60" s="64"/>
      <c r="ROW60" s="64"/>
      <c r="ROX60" s="64"/>
      <c r="ROY60" s="64"/>
      <c r="ROZ60" s="64"/>
      <c r="RPA60" s="64"/>
      <c r="RPB60" s="64"/>
      <c r="RPC60" s="64"/>
      <c r="RPD60" s="64"/>
      <c r="RPE60" s="64"/>
      <c r="RPF60" s="64"/>
      <c r="RPG60" s="64"/>
      <c r="RPH60" s="64"/>
      <c r="RPI60" s="64"/>
      <c r="RPJ60" s="64"/>
      <c r="RPK60" s="64"/>
      <c r="RPL60" s="64"/>
      <c r="RPM60" s="64"/>
      <c r="RPN60" s="64"/>
      <c r="RPO60" s="64"/>
      <c r="RPP60" s="64"/>
      <c r="RPQ60" s="64"/>
      <c r="RPR60" s="64"/>
      <c r="RPS60" s="64"/>
      <c r="RPT60" s="64"/>
      <c r="RPU60" s="64"/>
      <c r="RPV60" s="64"/>
      <c r="RPW60" s="64"/>
      <c r="RPX60" s="64"/>
      <c r="RPY60" s="64"/>
      <c r="RPZ60" s="64"/>
      <c r="RQA60" s="64"/>
      <c r="RQB60" s="64"/>
      <c r="RQC60" s="64"/>
      <c r="RQD60" s="64"/>
      <c r="RQE60" s="64"/>
      <c r="RQF60" s="64"/>
      <c r="RQG60" s="64"/>
      <c r="RQH60" s="64"/>
      <c r="RQI60" s="64"/>
      <c r="RQJ60" s="64"/>
      <c r="RQK60" s="64"/>
      <c r="RQL60" s="64"/>
      <c r="RQM60" s="64"/>
      <c r="RQN60" s="64"/>
      <c r="RQO60" s="64"/>
      <c r="RQP60" s="64"/>
      <c r="RQQ60" s="64"/>
      <c r="RQR60" s="64"/>
      <c r="RQS60" s="64"/>
      <c r="RQT60" s="64"/>
      <c r="RQU60" s="64"/>
      <c r="RQV60" s="64"/>
      <c r="RQW60" s="64"/>
      <c r="RQX60" s="64"/>
      <c r="RQY60" s="64"/>
      <c r="RQZ60" s="64"/>
      <c r="RRA60" s="64"/>
      <c r="RRB60" s="64"/>
      <c r="RRC60" s="64"/>
      <c r="RRD60" s="64"/>
      <c r="RRE60" s="64"/>
      <c r="RRF60" s="64"/>
      <c r="RRG60" s="64"/>
      <c r="RRH60" s="64"/>
      <c r="RRI60" s="64"/>
      <c r="RRJ60" s="64"/>
      <c r="RRK60" s="64"/>
      <c r="RRL60" s="64"/>
      <c r="RRM60" s="64"/>
      <c r="RRN60" s="64"/>
      <c r="RRO60" s="64"/>
      <c r="RRP60" s="64"/>
      <c r="RRQ60" s="64"/>
      <c r="RRR60" s="64"/>
      <c r="RRS60" s="64"/>
      <c r="RRT60" s="64"/>
      <c r="RRU60" s="64"/>
      <c r="RRV60" s="64"/>
      <c r="RRW60" s="64"/>
      <c r="RRX60" s="64"/>
      <c r="RRY60" s="64"/>
      <c r="RRZ60" s="64"/>
      <c r="RSA60" s="64"/>
      <c r="RSB60" s="64"/>
      <c r="RSC60" s="64"/>
      <c r="RSD60" s="64"/>
      <c r="RSE60" s="64"/>
      <c r="RSF60" s="64"/>
      <c r="RSG60" s="64"/>
      <c r="RSH60" s="64"/>
      <c r="RSI60" s="64"/>
      <c r="RSJ60" s="64"/>
      <c r="RSK60" s="64"/>
      <c r="RSL60" s="64"/>
      <c r="RSM60" s="64"/>
      <c r="RSN60" s="64"/>
      <c r="RSO60" s="64"/>
      <c r="RSP60" s="64"/>
      <c r="RSQ60" s="64"/>
      <c r="RSR60" s="64"/>
      <c r="RSS60" s="64"/>
      <c r="RST60" s="64"/>
      <c r="RSU60" s="64"/>
      <c r="RSV60" s="64"/>
      <c r="RSW60" s="64"/>
      <c r="RSX60" s="64"/>
      <c r="RSY60" s="64"/>
      <c r="RSZ60" s="64"/>
      <c r="RTA60" s="64"/>
      <c r="RTB60" s="64"/>
      <c r="RTC60" s="64"/>
      <c r="RTD60" s="64"/>
      <c r="RTE60" s="64"/>
      <c r="RTF60" s="64"/>
      <c r="RTG60" s="64"/>
      <c r="RTH60" s="64"/>
      <c r="RTI60" s="64"/>
      <c r="RTJ60" s="64"/>
      <c r="RTK60" s="64"/>
      <c r="RTL60" s="64"/>
      <c r="RTM60" s="64"/>
      <c r="RTN60" s="64"/>
      <c r="RTO60" s="64"/>
      <c r="RTP60" s="64"/>
      <c r="RTQ60" s="64"/>
      <c r="RTR60" s="64"/>
      <c r="RTS60" s="64"/>
      <c r="RTT60" s="64"/>
      <c r="RTU60" s="64"/>
      <c r="RTV60" s="64"/>
      <c r="RTW60" s="64"/>
      <c r="RTX60" s="64"/>
      <c r="RTY60" s="64"/>
      <c r="RTZ60" s="64"/>
      <c r="RUA60" s="64"/>
      <c r="RUB60" s="64"/>
      <c r="RUC60" s="64"/>
      <c r="RUD60" s="64"/>
      <c r="RUE60" s="64"/>
      <c r="RUF60" s="64"/>
      <c r="RUG60" s="64"/>
      <c r="RUH60" s="64"/>
      <c r="RUI60" s="64"/>
      <c r="RUJ60" s="64"/>
      <c r="RUK60" s="64"/>
      <c r="RUL60" s="64"/>
      <c r="RUM60" s="64"/>
      <c r="RUN60" s="64"/>
      <c r="RUO60" s="64"/>
      <c r="RUP60" s="64"/>
      <c r="RUQ60" s="64"/>
      <c r="RUR60" s="64"/>
      <c r="RUS60" s="64"/>
      <c r="RUT60" s="64"/>
      <c r="RUU60" s="64"/>
      <c r="RUV60" s="64"/>
      <c r="RUW60" s="64"/>
      <c r="RUX60" s="64"/>
      <c r="RUY60" s="64"/>
      <c r="RUZ60" s="64"/>
      <c r="RVA60" s="64"/>
      <c r="RVB60" s="64"/>
      <c r="RVC60" s="64"/>
      <c r="RVD60" s="64"/>
      <c r="RVE60" s="64"/>
      <c r="RVF60" s="64"/>
      <c r="RVG60" s="64"/>
      <c r="RVH60" s="64"/>
      <c r="RVI60" s="64"/>
      <c r="RVJ60" s="64"/>
      <c r="RVK60" s="64"/>
      <c r="RVL60" s="64"/>
      <c r="RVM60" s="64"/>
      <c r="RVN60" s="64"/>
      <c r="RVO60" s="64"/>
      <c r="RVP60" s="64"/>
      <c r="RVQ60" s="64"/>
      <c r="RVR60" s="64"/>
      <c r="RVS60" s="64"/>
      <c r="RVT60" s="64"/>
      <c r="RVU60" s="64"/>
      <c r="RVV60" s="64"/>
      <c r="RVW60" s="64"/>
      <c r="RVX60" s="64"/>
      <c r="RVY60" s="64"/>
      <c r="RVZ60" s="64"/>
      <c r="RWA60" s="64"/>
      <c r="RWB60" s="64"/>
      <c r="RWC60" s="64"/>
      <c r="RWD60" s="64"/>
      <c r="RWE60" s="64"/>
      <c r="RWF60" s="64"/>
      <c r="RWG60" s="64"/>
      <c r="RWH60" s="64"/>
      <c r="RWI60" s="64"/>
      <c r="RWJ60" s="64"/>
      <c r="RWK60" s="64"/>
      <c r="RWL60" s="64"/>
      <c r="RWM60" s="64"/>
      <c r="RWN60" s="64"/>
      <c r="RWO60" s="64"/>
      <c r="RWP60" s="64"/>
      <c r="RWQ60" s="64"/>
      <c r="RWR60" s="64"/>
      <c r="RWS60" s="64"/>
      <c r="RWT60" s="64"/>
      <c r="RWU60" s="64"/>
      <c r="RWV60" s="64"/>
      <c r="RWW60" s="64"/>
      <c r="RWX60" s="64"/>
      <c r="RWY60" s="64"/>
      <c r="RWZ60" s="64"/>
      <c r="RXA60" s="64"/>
      <c r="RXB60" s="64"/>
      <c r="RXC60" s="64"/>
      <c r="RXD60" s="64"/>
      <c r="RXE60" s="64"/>
      <c r="RXF60" s="64"/>
      <c r="RXG60" s="64"/>
      <c r="RXH60" s="64"/>
      <c r="RXI60" s="64"/>
      <c r="RXJ60" s="64"/>
      <c r="RXK60" s="64"/>
      <c r="RXL60" s="64"/>
      <c r="RXM60" s="64"/>
      <c r="RXN60" s="64"/>
      <c r="RXO60" s="64"/>
      <c r="RXP60" s="64"/>
      <c r="RXQ60" s="64"/>
      <c r="RXR60" s="64"/>
      <c r="RXS60" s="64"/>
      <c r="RXT60" s="64"/>
      <c r="RXU60" s="64"/>
      <c r="RXV60" s="64"/>
      <c r="RXW60" s="64"/>
      <c r="RXX60" s="64"/>
      <c r="RXY60" s="64"/>
      <c r="RXZ60" s="64"/>
      <c r="RYA60" s="64"/>
      <c r="RYB60" s="64"/>
      <c r="RYC60" s="64"/>
      <c r="RYD60" s="64"/>
      <c r="RYE60" s="64"/>
      <c r="RYF60" s="64"/>
      <c r="RYG60" s="64"/>
      <c r="RYH60" s="64"/>
      <c r="RYI60" s="64"/>
      <c r="RYJ60" s="64"/>
      <c r="RYK60" s="64"/>
      <c r="RYL60" s="64"/>
      <c r="RYM60" s="64"/>
      <c r="RYN60" s="64"/>
      <c r="RYO60" s="64"/>
      <c r="RYP60" s="64"/>
      <c r="RYQ60" s="64"/>
      <c r="RYR60" s="64"/>
      <c r="RYS60" s="64"/>
      <c r="RYT60" s="64"/>
      <c r="RYU60" s="64"/>
      <c r="RYV60" s="64"/>
      <c r="RYW60" s="64"/>
      <c r="RYX60" s="64"/>
      <c r="RYY60" s="64"/>
      <c r="RYZ60" s="64"/>
      <c r="RZA60" s="64"/>
      <c r="RZB60" s="64"/>
      <c r="RZC60" s="64"/>
      <c r="RZD60" s="64"/>
      <c r="RZE60" s="64"/>
      <c r="RZF60" s="64"/>
      <c r="RZG60" s="64"/>
      <c r="RZH60" s="64"/>
      <c r="RZI60" s="64"/>
      <c r="RZJ60" s="64"/>
      <c r="RZK60" s="64"/>
      <c r="RZL60" s="64"/>
      <c r="RZM60" s="64"/>
      <c r="RZN60" s="64"/>
      <c r="RZO60" s="64"/>
      <c r="RZP60" s="64"/>
      <c r="RZQ60" s="64"/>
      <c r="RZR60" s="64"/>
      <c r="RZS60" s="64"/>
      <c r="RZT60" s="64"/>
      <c r="RZU60" s="64"/>
      <c r="RZV60" s="64"/>
      <c r="RZW60" s="64"/>
      <c r="RZX60" s="64"/>
      <c r="RZY60" s="64"/>
      <c r="RZZ60" s="64"/>
      <c r="SAA60" s="64"/>
      <c r="SAB60" s="64"/>
      <c r="SAC60" s="64"/>
      <c r="SAD60" s="64"/>
      <c r="SAE60" s="64"/>
      <c r="SAF60" s="64"/>
      <c r="SAG60" s="64"/>
      <c r="SAH60" s="64"/>
      <c r="SAI60" s="64"/>
      <c r="SAJ60" s="64"/>
      <c r="SAK60" s="64"/>
      <c r="SAL60" s="64"/>
      <c r="SAM60" s="64"/>
      <c r="SAN60" s="64"/>
      <c r="SAO60" s="64"/>
      <c r="SAP60" s="64"/>
      <c r="SAQ60" s="64"/>
      <c r="SAR60" s="64"/>
      <c r="SAS60" s="64"/>
      <c r="SAT60" s="64"/>
      <c r="SAU60" s="64"/>
      <c r="SAV60" s="64"/>
      <c r="SAW60" s="64"/>
      <c r="SAX60" s="64"/>
      <c r="SAY60" s="64"/>
      <c r="SAZ60" s="64"/>
      <c r="SBA60" s="64"/>
      <c r="SBB60" s="64"/>
      <c r="SBC60" s="64"/>
      <c r="SBD60" s="64"/>
      <c r="SBE60" s="64"/>
      <c r="SBF60" s="64"/>
      <c r="SBG60" s="64"/>
      <c r="SBH60" s="64"/>
      <c r="SBI60" s="64"/>
      <c r="SBJ60" s="64"/>
      <c r="SBK60" s="64"/>
      <c r="SBL60" s="64"/>
      <c r="SBM60" s="64"/>
      <c r="SBN60" s="64"/>
      <c r="SBO60" s="64"/>
      <c r="SBP60" s="64"/>
      <c r="SBQ60" s="64"/>
      <c r="SBR60" s="64"/>
      <c r="SBS60" s="64"/>
      <c r="SBT60" s="64"/>
      <c r="SBU60" s="64"/>
      <c r="SBV60" s="64"/>
      <c r="SBW60" s="64"/>
      <c r="SBX60" s="64"/>
      <c r="SBY60" s="64"/>
      <c r="SBZ60" s="64"/>
      <c r="SCA60" s="64"/>
      <c r="SCB60" s="64"/>
      <c r="SCC60" s="64"/>
      <c r="SCD60" s="64"/>
      <c r="SCE60" s="64"/>
      <c r="SCF60" s="64"/>
      <c r="SCG60" s="64"/>
      <c r="SCH60" s="64"/>
      <c r="SCI60" s="64"/>
      <c r="SCJ60" s="64"/>
      <c r="SCK60" s="64"/>
      <c r="SCL60" s="64"/>
      <c r="SCM60" s="64"/>
      <c r="SCN60" s="64"/>
      <c r="SCO60" s="64"/>
      <c r="SCP60" s="64"/>
      <c r="SCQ60" s="64"/>
      <c r="SCR60" s="64"/>
      <c r="SCS60" s="64"/>
      <c r="SCT60" s="64"/>
      <c r="SCU60" s="64"/>
      <c r="SCV60" s="64"/>
      <c r="SCW60" s="64"/>
      <c r="SCX60" s="64"/>
      <c r="SCY60" s="64"/>
      <c r="SCZ60" s="64"/>
      <c r="SDA60" s="64"/>
      <c r="SDB60" s="64"/>
      <c r="SDC60" s="64"/>
      <c r="SDD60" s="64"/>
      <c r="SDE60" s="64"/>
      <c r="SDF60" s="64"/>
      <c r="SDG60" s="64"/>
      <c r="SDH60" s="64"/>
      <c r="SDI60" s="64"/>
      <c r="SDJ60" s="64"/>
      <c r="SDK60" s="64"/>
      <c r="SDL60" s="64"/>
      <c r="SDM60" s="64"/>
      <c r="SDN60" s="64"/>
      <c r="SDO60" s="64"/>
      <c r="SDP60" s="64"/>
      <c r="SDQ60" s="64"/>
      <c r="SDR60" s="64"/>
      <c r="SDS60" s="64"/>
      <c r="SDT60" s="64"/>
      <c r="SDU60" s="64"/>
      <c r="SDV60" s="64"/>
      <c r="SDW60" s="64"/>
      <c r="SDX60" s="64"/>
      <c r="SDY60" s="64"/>
      <c r="SDZ60" s="64"/>
      <c r="SEA60" s="64"/>
      <c r="SEB60" s="64"/>
      <c r="SEC60" s="64"/>
      <c r="SED60" s="64"/>
      <c r="SEE60" s="64"/>
      <c r="SEF60" s="64"/>
      <c r="SEG60" s="64"/>
      <c r="SEH60" s="64"/>
      <c r="SEI60" s="64"/>
      <c r="SEJ60" s="64"/>
      <c r="SEK60" s="64"/>
      <c r="SEL60" s="64"/>
      <c r="SEM60" s="64"/>
      <c r="SEN60" s="64"/>
      <c r="SEO60" s="64"/>
      <c r="SEP60" s="64"/>
      <c r="SEQ60" s="64"/>
      <c r="SER60" s="64"/>
      <c r="SES60" s="64"/>
      <c r="SET60" s="64"/>
      <c r="SEU60" s="64"/>
      <c r="SEV60" s="64"/>
      <c r="SEW60" s="64"/>
      <c r="SEX60" s="64"/>
      <c r="SEY60" s="64"/>
      <c r="SEZ60" s="64"/>
      <c r="SFA60" s="64"/>
      <c r="SFB60" s="64"/>
      <c r="SFC60" s="64"/>
      <c r="SFD60" s="64"/>
      <c r="SFE60" s="64"/>
      <c r="SFF60" s="64"/>
      <c r="SFG60" s="64"/>
      <c r="SFH60" s="64"/>
      <c r="SFI60" s="64"/>
      <c r="SFJ60" s="64"/>
      <c r="SFK60" s="64"/>
      <c r="SFL60" s="64"/>
      <c r="SFM60" s="64"/>
      <c r="SFN60" s="64"/>
      <c r="SFO60" s="64"/>
      <c r="SFP60" s="64"/>
      <c r="SFQ60" s="64"/>
      <c r="SFR60" s="64"/>
      <c r="SFS60" s="64"/>
      <c r="SFT60" s="64"/>
      <c r="SFU60" s="64"/>
      <c r="SFV60" s="64"/>
      <c r="SFW60" s="64"/>
      <c r="SFX60" s="64"/>
      <c r="SFY60" s="64"/>
      <c r="SFZ60" s="64"/>
      <c r="SGA60" s="64"/>
      <c r="SGB60" s="64"/>
      <c r="SGC60" s="64"/>
      <c r="SGD60" s="64"/>
      <c r="SGE60" s="64"/>
      <c r="SGF60" s="64"/>
      <c r="SGG60" s="64"/>
      <c r="SGH60" s="64"/>
      <c r="SGI60" s="64"/>
      <c r="SGJ60" s="64"/>
      <c r="SGK60" s="64"/>
      <c r="SGL60" s="64"/>
      <c r="SGM60" s="64"/>
      <c r="SGN60" s="64"/>
      <c r="SGO60" s="64"/>
      <c r="SGP60" s="64"/>
      <c r="SGQ60" s="64"/>
      <c r="SGR60" s="64"/>
      <c r="SGS60" s="64"/>
      <c r="SGT60" s="64"/>
      <c r="SGU60" s="64"/>
      <c r="SGV60" s="64"/>
      <c r="SGW60" s="64"/>
      <c r="SGX60" s="64"/>
      <c r="SGY60" s="64"/>
      <c r="SGZ60" s="64"/>
      <c r="SHA60" s="64"/>
      <c r="SHB60" s="64"/>
      <c r="SHC60" s="64"/>
      <c r="SHD60" s="64"/>
      <c r="SHE60" s="64"/>
      <c r="SHF60" s="64"/>
      <c r="SHG60" s="64"/>
      <c r="SHH60" s="64"/>
      <c r="SHI60" s="64"/>
      <c r="SHJ60" s="64"/>
      <c r="SHK60" s="64"/>
      <c r="SHL60" s="64"/>
      <c r="SHM60" s="64"/>
      <c r="SHN60" s="64"/>
      <c r="SHO60" s="64"/>
      <c r="SHP60" s="64"/>
      <c r="SHQ60" s="64"/>
      <c r="SHR60" s="64"/>
      <c r="SHS60" s="64"/>
      <c r="SHT60" s="64"/>
      <c r="SHU60" s="64"/>
      <c r="SHV60" s="64"/>
      <c r="SHW60" s="64"/>
      <c r="SHX60" s="64"/>
      <c r="SHY60" s="64"/>
      <c r="SHZ60" s="64"/>
      <c r="SIA60" s="64"/>
      <c r="SIB60" s="64"/>
      <c r="SIC60" s="64"/>
      <c r="SID60" s="64"/>
      <c r="SIE60" s="64"/>
      <c r="SIF60" s="64"/>
      <c r="SIG60" s="64"/>
      <c r="SIH60" s="64"/>
      <c r="SII60" s="64"/>
      <c r="SIJ60" s="64"/>
      <c r="SIK60" s="64"/>
      <c r="SIL60" s="64"/>
      <c r="SIM60" s="64"/>
      <c r="SIN60" s="64"/>
      <c r="SIO60" s="64"/>
      <c r="SIP60" s="64"/>
      <c r="SIQ60" s="64"/>
      <c r="SIR60" s="64"/>
      <c r="SIS60" s="64"/>
      <c r="SIT60" s="64"/>
      <c r="SIU60" s="64"/>
      <c r="SIV60" s="64"/>
      <c r="SIW60" s="64"/>
      <c r="SIX60" s="64"/>
      <c r="SIY60" s="64"/>
      <c r="SIZ60" s="64"/>
      <c r="SJA60" s="64"/>
      <c r="SJB60" s="64"/>
      <c r="SJC60" s="64"/>
      <c r="SJD60" s="64"/>
      <c r="SJE60" s="64"/>
      <c r="SJF60" s="64"/>
      <c r="SJG60" s="64"/>
      <c r="SJH60" s="64"/>
      <c r="SJI60" s="64"/>
      <c r="SJJ60" s="64"/>
      <c r="SJK60" s="64"/>
      <c r="SJL60" s="64"/>
      <c r="SJM60" s="64"/>
      <c r="SJN60" s="64"/>
      <c r="SJO60" s="64"/>
      <c r="SJP60" s="64"/>
      <c r="SJQ60" s="64"/>
      <c r="SJR60" s="64"/>
      <c r="SJS60" s="64"/>
      <c r="SJT60" s="64"/>
      <c r="SJU60" s="64"/>
      <c r="SJV60" s="64"/>
      <c r="SJW60" s="64"/>
      <c r="SJX60" s="64"/>
      <c r="SJY60" s="64"/>
      <c r="SJZ60" s="64"/>
      <c r="SKA60" s="64"/>
      <c r="SKB60" s="64"/>
      <c r="SKC60" s="64"/>
      <c r="SKD60" s="64"/>
      <c r="SKE60" s="64"/>
      <c r="SKF60" s="64"/>
      <c r="SKG60" s="64"/>
      <c r="SKH60" s="64"/>
      <c r="SKI60" s="64"/>
      <c r="SKJ60" s="64"/>
      <c r="SKK60" s="64"/>
      <c r="SKL60" s="64"/>
      <c r="SKM60" s="64"/>
      <c r="SKN60" s="64"/>
      <c r="SKO60" s="64"/>
      <c r="SKP60" s="64"/>
      <c r="SKQ60" s="64"/>
      <c r="SKR60" s="64"/>
      <c r="SKS60" s="64"/>
      <c r="SKT60" s="64"/>
      <c r="SKU60" s="64"/>
      <c r="SKV60" s="64"/>
      <c r="SKW60" s="64"/>
      <c r="SKX60" s="64"/>
      <c r="SKY60" s="64"/>
      <c r="SKZ60" s="64"/>
      <c r="SLA60" s="64"/>
      <c r="SLB60" s="64"/>
      <c r="SLC60" s="64"/>
      <c r="SLD60" s="64"/>
      <c r="SLE60" s="64"/>
      <c r="SLF60" s="64"/>
      <c r="SLG60" s="64"/>
      <c r="SLH60" s="64"/>
      <c r="SLI60" s="64"/>
      <c r="SLJ60" s="64"/>
      <c r="SLK60" s="64"/>
      <c r="SLL60" s="64"/>
      <c r="SLM60" s="64"/>
      <c r="SLN60" s="64"/>
      <c r="SLO60" s="64"/>
      <c r="SLP60" s="64"/>
      <c r="SLQ60" s="64"/>
      <c r="SLR60" s="64"/>
      <c r="SLS60" s="64"/>
      <c r="SLT60" s="64"/>
      <c r="SLU60" s="64"/>
      <c r="SLV60" s="64"/>
      <c r="SLW60" s="64"/>
      <c r="SLX60" s="64"/>
      <c r="SLY60" s="64"/>
      <c r="SLZ60" s="64"/>
      <c r="SMA60" s="64"/>
      <c r="SMB60" s="64"/>
      <c r="SMC60" s="64"/>
      <c r="SMD60" s="64"/>
      <c r="SME60" s="64"/>
      <c r="SMF60" s="64"/>
      <c r="SMG60" s="64"/>
      <c r="SMH60" s="64"/>
      <c r="SMI60" s="64"/>
      <c r="SMJ60" s="64"/>
      <c r="SMK60" s="64"/>
      <c r="SML60" s="64"/>
      <c r="SMM60" s="64"/>
      <c r="SMN60" s="64"/>
      <c r="SMO60" s="64"/>
      <c r="SMP60" s="64"/>
      <c r="SMQ60" s="64"/>
      <c r="SMR60" s="64"/>
      <c r="SMS60" s="64"/>
      <c r="SMT60" s="64"/>
      <c r="SMU60" s="64"/>
      <c r="SMV60" s="64"/>
      <c r="SMW60" s="64"/>
      <c r="SMX60" s="64"/>
      <c r="SMY60" s="64"/>
      <c r="SMZ60" s="64"/>
      <c r="SNA60" s="64"/>
      <c r="SNB60" s="64"/>
      <c r="SNC60" s="64"/>
      <c r="SND60" s="64"/>
      <c r="SNE60" s="64"/>
      <c r="SNF60" s="64"/>
      <c r="SNG60" s="64"/>
      <c r="SNH60" s="64"/>
      <c r="SNI60" s="64"/>
      <c r="SNJ60" s="64"/>
      <c r="SNK60" s="64"/>
      <c r="SNL60" s="64"/>
      <c r="SNM60" s="64"/>
      <c r="SNN60" s="64"/>
      <c r="SNO60" s="64"/>
      <c r="SNP60" s="64"/>
      <c r="SNQ60" s="64"/>
      <c r="SNR60" s="64"/>
      <c r="SNS60" s="64"/>
      <c r="SNT60" s="64"/>
      <c r="SNU60" s="64"/>
      <c r="SNV60" s="64"/>
      <c r="SNW60" s="64"/>
      <c r="SNX60" s="64"/>
      <c r="SNY60" s="64"/>
      <c r="SNZ60" s="64"/>
      <c r="SOA60" s="64"/>
      <c r="SOB60" s="64"/>
      <c r="SOC60" s="64"/>
      <c r="SOD60" s="64"/>
      <c r="SOE60" s="64"/>
      <c r="SOF60" s="64"/>
      <c r="SOG60" s="64"/>
      <c r="SOH60" s="64"/>
      <c r="SOI60" s="64"/>
      <c r="SOJ60" s="64"/>
      <c r="SOK60" s="64"/>
      <c r="SOL60" s="64"/>
      <c r="SOM60" s="64"/>
      <c r="SON60" s="64"/>
      <c r="SOO60" s="64"/>
      <c r="SOP60" s="64"/>
      <c r="SOQ60" s="64"/>
      <c r="SOR60" s="64"/>
      <c r="SOS60" s="64"/>
      <c r="SOT60" s="64"/>
      <c r="SOU60" s="64"/>
      <c r="SOV60" s="64"/>
      <c r="SOW60" s="64"/>
      <c r="SOX60" s="64"/>
      <c r="SOY60" s="64"/>
      <c r="SOZ60" s="64"/>
      <c r="SPA60" s="64"/>
      <c r="SPB60" s="64"/>
      <c r="SPC60" s="64"/>
      <c r="SPD60" s="64"/>
      <c r="SPE60" s="64"/>
      <c r="SPF60" s="64"/>
      <c r="SPG60" s="64"/>
      <c r="SPH60" s="64"/>
      <c r="SPI60" s="64"/>
      <c r="SPJ60" s="64"/>
      <c r="SPK60" s="64"/>
      <c r="SPL60" s="64"/>
      <c r="SPM60" s="64"/>
      <c r="SPN60" s="64"/>
      <c r="SPO60" s="64"/>
      <c r="SPP60" s="64"/>
      <c r="SPQ60" s="64"/>
      <c r="SPR60" s="64"/>
      <c r="SPS60" s="64"/>
      <c r="SPT60" s="64"/>
      <c r="SPU60" s="64"/>
      <c r="SPV60" s="64"/>
      <c r="SPW60" s="64"/>
      <c r="SPX60" s="64"/>
      <c r="SPY60" s="64"/>
      <c r="SPZ60" s="64"/>
      <c r="SQA60" s="64"/>
      <c r="SQB60" s="64"/>
      <c r="SQC60" s="64"/>
      <c r="SQD60" s="64"/>
      <c r="SQE60" s="64"/>
      <c r="SQF60" s="64"/>
      <c r="SQG60" s="64"/>
      <c r="SQH60" s="64"/>
      <c r="SQI60" s="64"/>
      <c r="SQJ60" s="64"/>
      <c r="SQK60" s="64"/>
      <c r="SQL60" s="64"/>
      <c r="SQM60" s="64"/>
      <c r="SQN60" s="64"/>
      <c r="SQO60" s="64"/>
      <c r="SQP60" s="64"/>
      <c r="SQQ60" s="64"/>
      <c r="SQR60" s="64"/>
      <c r="SQS60" s="64"/>
      <c r="SQT60" s="64"/>
      <c r="SQU60" s="64"/>
      <c r="SQV60" s="64"/>
      <c r="SQW60" s="64"/>
      <c r="SQX60" s="64"/>
      <c r="SQY60" s="64"/>
      <c r="SQZ60" s="64"/>
      <c r="SRA60" s="64"/>
      <c r="SRB60" s="64"/>
      <c r="SRC60" s="64"/>
      <c r="SRD60" s="64"/>
      <c r="SRE60" s="64"/>
      <c r="SRF60" s="64"/>
      <c r="SRG60" s="64"/>
      <c r="SRH60" s="64"/>
      <c r="SRI60" s="64"/>
      <c r="SRJ60" s="64"/>
      <c r="SRK60" s="64"/>
      <c r="SRL60" s="64"/>
      <c r="SRM60" s="64"/>
      <c r="SRN60" s="64"/>
      <c r="SRO60" s="64"/>
      <c r="SRP60" s="64"/>
      <c r="SRQ60" s="64"/>
      <c r="SRR60" s="64"/>
      <c r="SRS60" s="64"/>
      <c r="SRT60" s="64"/>
      <c r="SRU60" s="64"/>
      <c r="SRV60" s="64"/>
      <c r="SRW60" s="64"/>
      <c r="SRX60" s="64"/>
      <c r="SRY60" s="64"/>
      <c r="SRZ60" s="64"/>
      <c r="SSA60" s="64"/>
      <c r="SSB60" s="64"/>
      <c r="SSC60" s="64"/>
      <c r="SSD60" s="64"/>
      <c r="SSE60" s="64"/>
      <c r="SSF60" s="64"/>
      <c r="SSG60" s="64"/>
      <c r="SSH60" s="64"/>
      <c r="SSI60" s="64"/>
      <c r="SSJ60" s="64"/>
      <c r="SSK60" s="64"/>
      <c r="SSL60" s="64"/>
      <c r="SSM60" s="64"/>
      <c r="SSN60" s="64"/>
      <c r="SSO60" s="64"/>
      <c r="SSP60" s="64"/>
      <c r="SSQ60" s="64"/>
      <c r="SSR60" s="64"/>
      <c r="SSS60" s="64"/>
      <c r="SST60" s="64"/>
      <c r="SSU60" s="64"/>
      <c r="SSV60" s="64"/>
      <c r="SSW60" s="64"/>
      <c r="SSX60" s="64"/>
      <c r="SSY60" s="64"/>
      <c r="SSZ60" s="64"/>
      <c r="STA60" s="64"/>
      <c r="STB60" s="64"/>
      <c r="STC60" s="64"/>
      <c r="STD60" s="64"/>
      <c r="STE60" s="64"/>
      <c r="STF60" s="64"/>
      <c r="STG60" s="64"/>
      <c r="STH60" s="64"/>
      <c r="STI60" s="64"/>
      <c r="STJ60" s="64"/>
      <c r="STK60" s="64"/>
      <c r="STL60" s="64"/>
      <c r="STM60" s="64"/>
      <c r="STN60" s="64"/>
      <c r="STO60" s="64"/>
      <c r="STP60" s="64"/>
      <c r="STQ60" s="64"/>
      <c r="STR60" s="64"/>
      <c r="STS60" s="64"/>
      <c r="STT60" s="64"/>
      <c r="STU60" s="64"/>
      <c r="STV60" s="64"/>
      <c r="STW60" s="64"/>
      <c r="STX60" s="64"/>
      <c r="STY60" s="64"/>
      <c r="STZ60" s="64"/>
      <c r="SUA60" s="64"/>
      <c r="SUB60" s="64"/>
      <c r="SUC60" s="64"/>
      <c r="SUD60" s="64"/>
      <c r="SUE60" s="64"/>
      <c r="SUF60" s="64"/>
      <c r="SUG60" s="64"/>
      <c r="SUH60" s="64"/>
      <c r="SUI60" s="64"/>
      <c r="SUJ60" s="64"/>
      <c r="SUK60" s="64"/>
      <c r="SUL60" s="64"/>
      <c r="SUM60" s="64"/>
      <c r="SUN60" s="64"/>
      <c r="SUO60" s="64"/>
      <c r="SUP60" s="64"/>
      <c r="SUQ60" s="64"/>
      <c r="SUR60" s="64"/>
      <c r="SUS60" s="64"/>
      <c r="SUT60" s="64"/>
      <c r="SUU60" s="64"/>
      <c r="SUV60" s="64"/>
      <c r="SUW60" s="64"/>
      <c r="SUX60" s="64"/>
      <c r="SUY60" s="64"/>
      <c r="SUZ60" s="64"/>
      <c r="SVA60" s="64"/>
      <c r="SVB60" s="64"/>
      <c r="SVC60" s="64"/>
      <c r="SVD60" s="64"/>
      <c r="SVE60" s="64"/>
      <c r="SVF60" s="64"/>
      <c r="SVG60" s="64"/>
      <c r="SVH60" s="64"/>
      <c r="SVI60" s="64"/>
      <c r="SVJ60" s="64"/>
      <c r="SVK60" s="64"/>
      <c r="SVL60" s="64"/>
      <c r="SVM60" s="64"/>
      <c r="SVN60" s="64"/>
      <c r="SVO60" s="64"/>
      <c r="SVP60" s="64"/>
      <c r="SVQ60" s="64"/>
      <c r="SVR60" s="64"/>
      <c r="SVS60" s="64"/>
      <c r="SVT60" s="64"/>
      <c r="SVU60" s="64"/>
      <c r="SVV60" s="64"/>
      <c r="SVW60" s="64"/>
      <c r="SVX60" s="64"/>
      <c r="SVY60" s="64"/>
      <c r="SVZ60" s="64"/>
      <c r="SWA60" s="64"/>
      <c r="SWB60" s="64"/>
      <c r="SWC60" s="64"/>
      <c r="SWD60" s="64"/>
      <c r="SWE60" s="64"/>
      <c r="SWF60" s="64"/>
      <c r="SWG60" s="64"/>
      <c r="SWH60" s="64"/>
      <c r="SWI60" s="64"/>
      <c r="SWJ60" s="64"/>
      <c r="SWK60" s="64"/>
      <c r="SWL60" s="64"/>
      <c r="SWM60" s="64"/>
      <c r="SWN60" s="64"/>
      <c r="SWO60" s="64"/>
      <c r="SWP60" s="64"/>
      <c r="SWQ60" s="64"/>
      <c r="SWR60" s="64"/>
      <c r="SWS60" s="64"/>
      <c r="SWT60" s="64"/>
      <c r="SWU60" s="64"/>
      <c r="SWV60" s="64"/>
      <c r="SWW60" s="64"/>
      <c r="SWX60" s="64"/>
      <c r="SWY60" s="64"/>
      <c r="SWZ60" s="64"/>
      <c r="SXA60" s="64"/>
      <c r="SXB60" s="64"/>
      <c r="SXC60" s="64"/>
      <c r="SXD60" s="64"/>
      <c r="SXE60" s="64"/>
      <c r="SXF60" s="64"/>
      <c r="SXG60" s="64"/>
      <c r="SXH60" s="64"/>
      <c r="SXI60" s="64"/>
      <c r="SXJ60" s="64"/>
      <c r="SXK60" s="64"/>
      <c r="SXL60" s="64"/>
      <c r="SXM60" s="64"/>
      <c r="SXN60" s="64"/>
      <c r="SXO60" s="64"/>
      <c r="SXP60" s="64"/>
      <c r="SXQ60" s="64"/>
      <c r="SXR60" s="64"/>
      <c r="SXS60" s="64"/>
      <c r="SXT60" s="64"/>
      <c r="SXU60" s="64"/>
      <c r="SXV60" s="64"/>
      <c r="SXW60" s="64"/>
      <c r="SXX60" s="64"/>
      <c r="SXY60" s="64"/>
      <c r="SXZ60" s="64"/>
      <c r="SYA60" s="64"/>
      <c r="SYB60" s="64"/>
      <c r="SYC60" s="64"/>
      <c r="SYD60" s="64"/>
      <c r="SYE60" s="64"/>
      <c r="SYF60" s="64"/>
      <c r="SYG60" s="64"/>
      <c r="SYH60" s="64"/>
      <c r="SYI60" s="64"/>
      <c r="SYJ60" s="64"/>
      <c r="SYK60" s="64"/>
      <c r="SYL60" s="64"/>
      <c r="SYM60" s="64"/>
      <c r="SYN60" s="64"/>
      <c r="SYO60" s="64"/>
      <c r="SYP60" s="64"/>
      <c r="SYQ60" s="64"/>
      <c r="SYR60" s="64"/>
      <c r="SYS60" s="64"/>
      <c r="SYT60" s="64"/>
      <c r="SYU60" s="64"/>
      <c r="SYV60" s="64"/>
      <c r="SYW60" s="64"/>
      <c r="SYX60" s="64"/>
      <c r="SYY60" s="64"/>
      <c r="SYZ60" s="64"/>
      <c r="SZA60" s="64"/>
      <c r="SZB60" s="64"/>
      <c r="SZC60" s="64"/>
      <c r="SZD60" s="64"/>
      <c r="SZE60" s="64"/>
      <c r="SZF60" s="64"/>
      <c r="SZG60" s="64"/>
      <c r="SZH60" s="64"/>
      <c r="SZI60" s="64"/>
      <c r="SZJ60" s="64"/>
      <c r="SZK60" s="64"/>
      <c r="SZL60" s="64"/>
      <c r="SZM60" s="64"/>
      <c r="SZN60" s="64"/>
      <c r="SZO60" s="64"/>
      <c r="SZP60" s="64"/>
      <c r="SZQ60" s="64"/>
      <c r="SZR60" s="64"/>
      <c r="SZS60" s="64"/>
      <c r="SZT60" s="64"/>
      <c r="SZU60" s="64"/>
      <c r="SZV60" s="64"/>
      <c r="SZW60" s="64"/>
      <c r="SZX60" s="64"/>
      <c r="SZY60" s="64"/>
      <c r="SZZ60" s="64"/>
      <c r="TAA60" s="64"/>
      <c r="TAB60" s="64"/>
      <c r="TAC60" s="64"/>
      <c r="TAD60" s="64"/>
      <c r="TAE60" s="64"/>
      <c r="TAF60" s="64"/>
      <c r="TAG60" s="64"/>
      <c r="TAH60" s="64"/>
      <c r="TAI60" s="64"/>
      <c r="TAJ60" s="64"/>
      <c r="TAK60" s="64"/>
      <c r="TAL60" s="64"/>
      <c r="TAM60" s="64"/>
      <c r="TAN60" s="64"/>
      <c r="TAO60" s="64"/>
      <c r="TAP60" s="64"/>
      <c r="TAQ60" s="64"/>
      <c r="TAR60" s="64"/>
      <c r="TAS60" s="64"/>
      <c r="TAT60" s="64"/>
      <c r="TAU60" s="64"/>
      <c r="TAV60" s="64"/>
      <c r="TAW60" s="64"/>
      <c r="TAX60" s="64"/>
      <c r="TAY60" s="64"/>
      <c r="TAZ60" s="64"/>
      <c r="TBA60" s="64"/>
      <c r="TBB60" s="64"/>
      <c r="TBC60" s="64"/>
      <c r="TBD60" s="64"/>
      <c r="TBE60" s="64"/>
      <c r="TBF60" s="64"/>
      <c r="TBG60" s="64"/>
      <c r="TBH60" s="64"/>
      <c r="TBI60" s="64"/>
      <c r="TBJ60" s="64"/>
      <c r="TBK60" s="64"/>
      <c r="TBL60" s="64"/>
      <c r="TBM60" s="64"/>
      <c r="TBN60" s="64"/>
      <c r="TBO60" s="64"/>
      <c r="TBP60" s="64"/>
      <c r="TBQ60" s="64"/>
      <c r="TBR60" s="64"/>
      <c r="TBS60" s="64"/>
      <c r="TBT60" s="64"/>
      <c r="TBU60" s="64"/>
      <c r="TBV60" s="64"/>
      <c r="TBW60" s="64"/>
      <c r="TBX60" s="64"/>
      <c r="TBY60" s="64"/>
      <c r="TBZ60" s="64"/>
      <c r="TCA60" s="64"/>
      <c r="TCB60" s="64"/>
      <c r="TCC60" s="64"/>
      <c r="TCD60" s="64"/>
      <c r="TCE60" s="64"/>
      <c r="TCF60" s="64"/>
      <c r="TCG60" s="64"/>
      <c r="TCH60" s="64"/>
      <c r="TCI60" s="64"/>
      <c r="TCJ60" s="64"/>
      <c r="TCK60" s="64"/>
      <c r="TCL60" s="64"/>
      <c r="TCM60" s="64"/>
      <c r="TCN60" s="64"/>
      <c r="TCO60" s="64"/>
      <c r="TCP60" s="64"/>
      <c r="TCQ60" s="64"/>
      <c r="TCR60" s="64"/>
      <c r="TCS60" s="64"/>
      <c r="TCT60" s="64"/>
      <c r="TCU60" s="64"/>
      <c r="TCV60" s="64"/>
      <c r="TCW60" s="64"/>
      <c r="TCX60" s="64"/>
      <c r="TCY60" s="64"/>
      <c r="TCZ60" s="64"/>
      <c r="TDA60" s="64"/>
      <c r="TDB60" s="64"/>
      <c r="TDC60" s="64"/>
      <c r="TDD60" s="64"/>
      <c r="TDE60" s="64"/>
      <c r="TDF60" s="64"/>
      <c r="TDG60" s="64"/>
      <c r="TDH60" s="64"/>
      <c r="TDI60" s="64"/>
      <c r="TDJ60" s="64"/>
      <c r="TDK60" s="64"/>
      <c r="TDL60" s="64"/>
      <c r="TDM60" s="64"/>
      <c r="TDN60" s="64"/>
      <c r="TDO60" s="64"/>
      <c r="TDP60" s="64"/>
      <c r="TDQ60" s="64"/>
      <c r="TDR60" s="64"/>
      <c r="TDS60" s="64"/>
      <c r="TDT60" s="64"/>
      <c r="TDU60" s="64"/>
      <c r="TDV60" s="64"/>
      <c r="TDW60" s="64"/>
      <c r="TDX60" s="64"/>
      <c r="TDY60" s="64"/>
      <c r="TDZ60" s="64"/>
      <c r="TEA60" s="64"/>
      <c r="TEB60" s="64"/>
      <c r="TEC60" s="64"/>
      <c r="TED60" s="64"/>
      <c r="TEE60" s="64"/>
      <c r="TEF60" s="64"/>
      <c r="TEG60" s="64"/>
      <c r="TEH60" s="64"/>
      <c r="TEI60" s="64"/>
      <c r="TEJ60" s="64"/>
      <c r="TEK60" s="64"/>
      <c r="TEL60" s="64"/>
      <c r="TEM60" s="64"/>
      <c r="TEN60" s="64"/>
      <c r="TEO60" s="64"/>
      <c r="TEP60" s="64"/>
      <c r="TEQ60" s="64"/>
      <c r="TER60" s="64"/>
      <c r="TES60" s="64"/>
      <c r="TET60" s="64"/>
      <c r="TEU60" s="64"/>
      <c r="TEV60" s="64"/>
      <c r="TEW60" s="64"/>
      <c r="TEX60" s="64"/>
      <c r="TEY60" s="64"/>
      <c r="TEZ60" s="64"/>
      <c r="TFA60" s="64"/>
      <c r="TFB60" s="64"/>
      <c r="TFC60" s="64"/>
      <c r="TFD60" s="64"/>
      <c r="TFE60" s="64"/>
      <c r="TFF60" s="64"/>
      <c r="TFG60" s="64"/>
      <c r="TFH60" s="64"/>
      <c r="TFI60" s="64"/>
      <c r="TFJ60" s="64"/>
      <c r="TFK60" s="64"/>
      <c r="TFL60" s="64"/>
      <c r="TFM60" s="64"/>
      <c r="TFN60" s="64"/>
      <c r="TFO60" s="64"/>
      <c r="TFP60" s="64"/>
      <c r="TFQ60" s="64"/>
      <c r="TFR60" s="64"/>
      <c r="TFS60" s="64"/>
      <c r="TFT60" s="64"/>
      <c r="TFU60" s="64"/>
      <c r="TFV60" s="64"/>
      <c r="TFW60" s="64"/>
      <c r="TFX60" s="64"/>
      <c r="TFY60" s="64"/>
      <c r="TFZ60" s="64"/>
      <c r="TGA60" s="64"/>
      <c r="TGB60" s="64"/>
      <c r="TGC60" s="64"/>
      <c r="TGD60" s="64"/>
      <c r="TGE60" s="64"/>
      <c r="TGF60" s="64"/>
      <c r="TGG60" s="64"/>
      <c r="TGH60" s="64"/>
      <c r="TGI60" s="64"/>
      <c r="TGJ60" s="64"/>
      <c r="TGK60" s="64"/>
      <c r="TGL60" s="64"/>
      <c r="TGM60" s="64"/>
      <c r="TGN60" s="64"/>
      <c r="TGO60" s="64"/>
      <c r="TGP60" s="64"/>
      <c r="TGQ60" s="64"/>
      <c r="TGR60" s="64"/>
      <c r="TGS60" s="64"/>
      <c r="TGT60" s="64"/>
      <c r="TGU60" s="64"/>
      <c r="TGV60" s="64"/>
      <c r="TGW60" s="64"/>
      <c r="TGX60" s="64"/>
      <c r="TGY60" s="64"/>
      <c r="TGZ60" s="64"/>
      <c r="THA60" s="64"/>
      <c r="THB60" s="64"/>
      <c r="THC60" s="64"/>
      <c r="THD60" s="64"/>
      <c r="THE60" s="64"/>
      <c r="THF60" s="64"/>
      <c r="THG60" s="64"/>
      <c r="THH60" s="64"/>
      <c r="THI60" s="64"/>
      <c r="THJ60" s="64"/>
      <c r="THK60" s="64"/>
      <c r="THL60" s="64"/>
      <c r="THM60" s="64"/>
      <c r="THN60" s="64"/>
      <c r="THO60" s="64"/>
      <c r="THP60" s="64"/>
      <c r="THQ60" s="64"/>
      <c r="THR60" s="64"/>
      <c r="THS60" s="64"/>
      <c r="THT60" s="64"/>
      <c r="THU60" s="64"/>
      <c r="THV60" s="64"/>
      <c r="THW60" s="64"/>
      <c r="THX60" s="64"/>
      <c r="THY60" s="64"/>
      <c r="THZ60" s="64"/>
      <c r="TIA60" s="64"/>
      <c r="TIB60" s="64"/>
      <c r="TIC60" s="64"/>
      <c r="TID60" s="64"/>
      <c r="TIE60" s="64"/>
      <c r="TIF60" s="64"/>
      <c r="TIG60" s="64"/>
      <c r="TIH60" s="64"/>
      <c r="TII60" s="64"/>
      <c r="TIJ60" s="64"/>
      <c r="TIK60" s="64"/>
      <c r="TIL60" s="64"/>
      <c r="TIM60" s="64"/>
      <c r="TIN60" s="64"/>
      <c r="TIO60" s="64"/>
      <c r="TIP60" s="64"/>
      <c r="TIQ60" s="64"/>
      <c r="TIR60" s="64"/>
      <c r="TIS60" s="64"/>
      <c r="TIT60" s="64"/>
      <c r="TIU60" s="64"/>
      <c r="TIV60" s="64"/>
      <c r="TIW60" s="64"/>
      <c r="TIX60" s="64"/>
      <c r="TIY60" s="64"/>
      <c r="TIZ60" s="64"/>
      <c r="TJA60" s="64"/>
      <c r="TJB60" s="64"/>
      <c r="TJC60" s="64"/>
      <c r="TJD60" s="64"/>
      <c r="TJE60" s="64"/>
      <c r="TJF60" s="64"/>
      <c r="TJG60" s="64"/>
      <c r="TJH60" s="64"/>
      <c r="TJI60" s="64"/>
      <c r="TJJ60" s="64"/>
      <c r="TJK60" s="64"/>
      <c r="TJL60" s="64"/>
      <c r="TJM60" s="64"/>
      <c r="TJN60" s="64"/>
      <c r="TJO60" s="64"/>
      <c r="TJP60" s="64"/>
      <c r="TJQ60" s="64"/>
      <c r="TJR60" s="64"/>
      <c r="TJS60" s="64"/>
      <c r="TJT60" s="64"/>
      <c r="TJU60" s="64"/>
      <c r="TJV60" s="64"/>
      <c r="TJW60" s="64"/>
      <c r="TJX60" s="64"/>
      <c r="TJY60" s="64"/>
      <c r="TJZ60" s="64"/>
      <c r="TKA60" s="64"/>
      <c r="TKB60" s="64"/>
      <c r="TKC60" s="64"/>
      <c r="TKD60" s="64"/>
      <c r="TKE60" s="64"/>
      <c r="TKF60" s="64"/>
      <c r="TKG60" s="64"/>
      <c r="TKH60" s="64"/>
      <c r="TKI60" s="64"/>
      <c r="TKJ60" s="64"/>
      <c r="TKK60" s="64"/>
      <c r="TKL60" s="64"/>
      <c r="TKM60" s="64"/>
      <c r="TKN60" s="64"/>
      <c r="TKO60" s="64"/>
      <c r="TKP60" s="64"/>
      <c r="TKQ60" s="64"/>
      <c r="TKR60" s="64"/>
      <c r="TKS60" s="64"/>
      <c r="TKT60" s="64"/>
      <c r="TKU60" s="64"/>
      <c r="TKV60" s="64"/>
      <c r="TKW60" s="64"/>
      <c r="TKX60" s="64"/>
      <c r="TKY60" s="64"/>
      <c r="TKZ60" s="64"/>
      <c r="TLA60" s="64"/>
      <c r="TLB60" s="64"/>
      <c r="TLC60" s="64"/>
      <c r="TLD60" s="64"/>
      <c r="TLE60" s="64"/>
      <c r="TLF60" s="64"/>
      <c r="TLG60" s="64"/>
      <c r="TLH60" s="64"/>
      <c r="TLI60" s="64"/>
      <c r="TLJ60" s="64"/>
      <c r="TLK60" s="64"/>
      <c r="TLL60" s="64"/>
      <c r="TLM60" s="64"/>
      <c r="TLN60" s="64"/>
      <c r="TLO60" s="64"/>
      <c r="TLP60" s="64"/>
      <c r="TLQ60" s="64"/>
      <c r="TLR60" s="64"/>
      <c r="TLS60" s="64"/>
      <c r="TLT60" s="64"/>
      <c r="TLU60" s="64"/>
      <c r="TLV60" s="64"/>
      <c r="TLW60" s="64"/>
      <c r="TLX60" s="64"/>
      <c r="TLY60" s="64"/>
      <c r="TLZ60" s="64"/>
      <c r="TMA60" s="64"/>
      <c r="TMB60" s="64"/>
      <c r="TMC60" s="64"/>
      <c r="TMD60" s="64"/>
      <c r="TME60" s="64"/>
      <c r="TMF60" s="64"/>
      <c r="TMG60" s="64"/>
      <c r="TMH60" s="64"/>
      <c r="TMI60" s="64"/>
      <c r="TMJ60" s="64"/>
      <c r="TMK60" s="64"/>
      <c r="TML60" s="64"/>
      <c r="TMM60" s="64"/>
      <c r="TMN60" s="64"/>
      <c r="TMO60" s="64"/>
      <c r="TMP60" s="64"/>
      <c r="TMQ60" s="64"/>
      <c r="TMR60" s="64"/>
      <c r="TMS60" s="64"/>
      <c r="TMT60" s="64"/>
      <c r="TMU60" s="64"/>
      <c r="TMV60" s="64"/>
      <c r="TMW60" s="64"/>
      <c r="TMX60" s="64"/>
      <c r="TMY60" s="64"/>
      <c r="TMZ60" s="64"/>
      <c r="TNA60" s="64"/>
      <c r="TNB60" s="64"/>
      <c r="TNC60" s="64"/>
      <c r="TND60" s="64"/>
      <c r="TNE60" s="64"/>
      <c r="TNF60" s="64"/>
      <c r="TNG60" s="64"/>
      <c r="TNH60" s="64"/>
      <c r="TNI60" s="64"/>
      <c r="TNJ60" s="64"/>
      <c r="TNK60" s="64"/>
      <c r="TNL60" s="64"/>
      <c r="TNM60" s="64"/>
      <c r="TNN60" s="64"/>
      <c r="TNO60" s="64"/>
      <c r="TNP60" s="64"/>
      <c r="TNQ60" s="64"/>
      <c r="TNR60" s="64"/>
      <c r="TNS60" s="64"/>
      <c r="TNT60" s="64"/>
      <c r="TNU60" s="64"/>
      <c r="TNV60" s="64"/>
      <c r="TNW60" s="64"/>
      <c r="TNX60" s="64"/>
      <c r="TNY60" s="64"/>
      <c r="TNZ60" s="64"/>
      <c r="TOA60" s="64"/>
      <c r="TOB60" s="64"/>
      <c r="TOC60" s="64"/>
      <c r="TOD60" s="64"/>
      <c r="TOE60" s="64"/>
      <c r="TOF60" s="64"/>
      <c r="TOG60" s="64"/>
      <c r="TOH60" s="64"/>
      <c r="TOI60" s="64"/>
      <c r="TOJ60" s="64"/>
      <c r="TOK60" s="64"/>
      <c r="TOL60" s="64"/>
      <c r="TOM60" s="64"/>
      <c r="TON60" s="64"/>
      <c r="TOO60" s="64"/>
      <c r="TOP60" s="64"/>
      <c r="TOQ60" s="64"/>
      <c r="TOR60" s="64"/>
      <c r="TOS60" s="64"/>
      <c r="TOT60" s="64"/>
      <c r="TOU60" s="64"/>
      <c r="TOV60" s="64"/>
      <c r="TOW60" s="64"/>
      <c r="TOX60" s="64"/>
      <c r="TOY60" s="64"/>
      <c r="TOZ60" s="64"/>
      <c r="TPA60" s="64"/>
      <c r="TPB60" s="64"/>
      <c r="TPC60" s="64"/>
      <c r="TPD60" s="64"/>
      <c r="TPE60" s="64"/>
      <c r="TPF60" s="64"/>
      <c r="TPG60" s="64"/>
      <c r="TPH60" s="64"/>
      <c r="TPI60" s="64"/>
      <c r="TPJ60" s="64"/>
      <c r="TPK60" s="64"/>
      <c r="TPL60" s="64"/>
      <c r="TPM60" s="64"/>
      <c r="TPN60" s="64"/>
      <c r="TPO60" s="64"/>
      <c r="TPP60" s="64"/>
      <c r="TPQ60" s="64"/>
      <c r="TPR60" s="64"/>
      <c r="TPS60" s="64"/>
      <c r="TPT60" s="64"/>
      <c r="TPU60" s="64"/>
      <c r="TPV60" s="64"/>
      <c r="TPW60" s="64"/>
      <c r="TPX60" s="64"/>
      <c r="TPY60" s="64"/>
      <c r="TPZ60" s="64"/>
      <c r="TQA60" s="64"/>
      <c r="TQB60" s="64"/>
      <c r="TQC60" s="64"/>
      <c r="TQD60" s="64"/>
      <c r="TQE60" s="64"/>
      <c r="TQF60" s="64"/>
      <c r="TQG60" s="64"/>
      <c r="TQH60" s="64"/>
      <c r="TQI60" s="64"/>
      <c r="TQJ60" s="64"/>
      <c r="TQK60" s="64"/>
      <c r="TQL60" s="64"/>
      <c r="TQM60" s="64"/>
      <c r="TQN60" s="64"/>
      <c r="TQO60" s="64"/>
      <c r="TQP60" s="64"/>
      <c r="TQQ60" s="64"/>
      <c r="TQR60" s="64"/>
      <c r="TQS60" s="64"/>
      <c r="TQT60" s="64"/>
      <c r="TQU60" s="64"/>
      <c r="TQV60" s="64"/>
      <c r="TQW60" s="64"/>
      <c r="TQX60" s="64"/>
      <c r="TQY60" s="64"/>
      <c r="TQZ60" s="64"/>
      <c r="TRA60" s="64"/>
      <c r="TRB60" s="64"/>
      <c r="TRC60" s="64"/>
      <c r="TRD60" s="64"/>
      <c r="TRE60" s="64"/>
      <c r="TRF60" s="64"/>
      <c r="TRG60" s="64"/>
      <c r="TRH60" s="64"/>
      <c r="TRI60" s="64"/>
      <c r="TRJ60" s="64"/>
      <c r="TRK60" s="64"/>
      <c r="TRL60" s="64"/>
      <c r="TRM60" s="64"/>
      <c r="TRN60" s="64"/>
      <c r="TRO60" s="64"/>
      <c r="TRP60" s="64"/>
      <c r="TRQ60" s="64"/>
      <c r="TRR60" s="64"/>
      <c r="TRS60" s="64"/>
      <c r="TRT60" s="64"/>
      <c r="TRU60" s="64"/>
      <c r="TRV60" s="64"/>
      <c r="TRW60" s="64"/>
      <c r="TRX60" s="64"/>
      <c r="TRY60" s="64"/>
      <c r="TRZ60" s="64"/>
      <c r="TSA60" s="64"/>
      <c r="TSB60" s="64"/>
      <c r="TSC60" s="64"/>
      <c r="TSD60" s="64"/>
      <c r="TSE60" s="64"/>
      <c r="TSF60" s="64"/>
      <c r="TSG60" s="64"/>
      <c r="TSH60" s="64"/>
      <c r="TSI60" s="64"/>
      <c r="TSJ60" s="64"/>
      <c r="TSK60" s="64"/>
      <c r="TSL60" s="64"/>
      <c r="TSM60" s="64"/>
      <c r="TSN60" s="64"/>
      <c r="TSO60" s="64"/>
      <c r="TSP60" s="64"/>
      <c r="TSQ60" s="64"/>
      <c r="TSR60" s="64"/>
      <c r="TSS60" s="64"/>
      <c r="TST60" s="64"/>
      <c r="TSU60" s="64"/>
      <c r="TSV60" s="64"/>
      <c r="TSW60" s="64"/>
      <c r="TSX60" s="64"/>
      <c r="TSY60" s="64"/>
      <c r="TSZ60" s="64"/>
      <c r="TTA60" s="64"/>
      <c r="TTB60" s="64"/>
      <c r="TTC60" s="64"/>
      <c r="TTD60" s="64"/>
      <c r="TTE60" s="64"/>
      <c r="TTF60" s="64"/>
      <c r="TTG60" s="64"/>
      <c r="TTH60" s="64"/>
      <c r="TTI60" s="64"/>
      <c r="TTJ60" s="64"/>
      <c r="TTK60" s="64"/>
      <c r="TTL60" s="64"/>
      <c r="TTM60" s="64"/>
      <c r="TTN60" s="64"/>
      <c r="TTO60" s="64"/>
      <c r="TTP60" s="64"/>
      <c r="TTQ60" s="64"/>
      <c r="TTR60" s="64"/>
      <c r="TTS60" s="64"/>
      <c r="TTT60" s="64"/>
      <c r="TTU60" s="64"/>
      <c r="TTV60" s="64"/>
      <c r="TTW60" s="64"/>
      <c r="TTX60" s="64"/>
      <c r="TTY60" s="64"/>
      <c r="TTZ60" s="64"/>
      <c r="TUA60" s="64"/>
      <c r="TUB60" s="64"/>
      <c r="TUC60" s="64"/>
      <c r="TUD60" s="64"/>
      <c r="TUE60" s="64"/>
      <c r="TUF60" s="64"/>
      <c r="TUG60" s="64"/>
      <c r="TUH60" s="64"/>
      <c r="TUI60" s="64"/>
      <c r="TUJ60" s="64"/>
      <c r="TUK60" s="64"/>
      <c r="TUL60" s="64"/>
      <c r="TUM60" s="64"/>
      <c r="TUN60" s="64"/>
      <c r="TUO60" s="64"/>
      <c r="TUP60" s="64"/>
      <c r="TUQ60" s="64"/>
      <c r="TUR60" s="64"/>
      <c r="TUS60" s="64"/>
      <c r="TUT60" s="64"/>
      <c r="TUU60" s="64"/>
      <c r="TUV60" s="64"/>
      <c r="TUW60" s="64"/>
      <c r="TUX60" s="64"/>
      <c r="TUY60" s="64"/>
      <c r="TUZ60" s="64"/>
      <c r="TVA60" s="64"/>
      <c r="TVB60" s="64"/>
      <c r="TVC60" s="64"/>
      <c r="TVD60" s="64"/>
      <c r="TVE60" s="64"/>
      <c r="TVF60" s="64"/>
      <c r="TVG60" s="64"/>
      <c r="TVH60" s="64"/>
      <c r="TVI60" s="64"/>
      <c r="TVJ60" s="64"/>
      <c r="TVK60" s="64"/>
      <c r="TVL60" s="64"/>
      <c r="TVM60" s="64"/>
      <c r="TVN60" s="64"/>
      <c r="TVO60" s="64"/>
      <c r="TVP60" s="64"/>
      <c r="TVQ60" s="64"/>
      <c r="TVR60" s="64"/>
      <c r="TVS60" s="64"/>
      <c r="TVT60" s="64"/>
      <c r="TVU60" s="64"/>
      <c r="TVV60" s="64"/>
      <c r="TVW60" s="64"/>
      <c r="TVX60" s="64"/>
      <c r="TVY60" s="64"/>
      <c r="TVZ60" s="64"/>
      <c r="TWA60" s="64"/>
      <c r="TWB60" s="64"/>
      <c r="TWC60" s="64"/>
      <c r="TWD60" s="64"/>
      <c r="TWE60" s="64"/>
      <c r="TWF60" s="64"/>
      <c r="TWG60" s="64"/>
      <c r="TWH60" s="64"/>
      <c r="TWI60" s="64"/>
      <c r="TWJ60" s="64"/>
      <c r="TWK60" s="64"/>
      <c r="TWL60" s="64"/>
      <c r="TWM60" s="64"/>
      <c r="TWN60" s="64"/>
      <c r="TWO60" s="64"/>
      <c r="TWP60" s="64"/>
      <c r="TWQ60" s="64"/>
      <c r="TWR60" s="64"/>
      <c r="TWS60" s="64"/>
      <c r="TWT60" s="64"/>
      <c r="TWU60" s="64"/>
      <c r="TWV60" s="64"/>
      <c r="TWW60" s="64"/>
      <c r="TWX60" s="64"/>
      <c r="TWY60" s="64"/>
      <c r="TWZ60" s="64"/>
      <c r="TXA60" s="64"/>
      <c r="TXB60" s="64"/>
      <c r="TXC60" s="64"/>
      <c r="TXD60" s="64"/>
      <c r="TXE60" s="64"/>
      <c r="TXF60" s="64"/>
      <c r="TXG60" s="64"/>
      <c r="TXH60" s="64"/>
      <c r="TXI60" s="64"/>
      <c r="TXJ60" s="64"/>
      <c r="TXK60" s="64"/>
      <c r="TXL60" s="64"/>
      <c r="TXM60" s="64"/>
      <c r="TXN60" s="64"/>
      <c r="TXO60" s="64"/>
      <c r="TXP60" s="64"/>
      <c r="TXQ60" s="64"/>
      <c r="TXR60" s="64"/>
      <c r="TXS60" s="64"/>
      <c r="TXT60" s="64"/>
      <c r="TXU60" s="64"/>
      <c r="TXV60" s="64"/>
      <c r="TXW60" s="64"/>
      <c r="TXX60" s="64"/>
      <c r="TXY60" s="64"/>
      <c r="TXZ60" s="64"/>
      <c r="TYA60" s="64"/>
      <c r="TYB60" s="64"/>
      <c r="TYC60" s="64"/>
      <c r="TYD60" s="64"/>
      <c r="TYE60" s="64"/>
      <c r="TYF60" s="64"/>
      <c r="TYG60" s="64"/>
      <c r="TYH60" s="64"/>
      <c r="TYI60" s="64"/>
      <c r="TYJ60" s="64"/>
      <c r="TYK60" s="64"/>
      <c r="TYL60" s="64"/>
      <c r="TYM60" s="64"/>
      <c r="TYN60" s="64"/>
      <c r="TYO60" s="64"/>
      <c r="TYP60" s="64"/>
      <c r="TYQ60" s="64"/>
      <c r="TYR60" s="64"/>
      <c r="TYS60" s="64"/>
      <c r="TYT60" s="64"/>
      <c r="TYU60" s="64"/>
      <c r="TYV60" s="64"/>
      <c r="TYW60" s="64"/>
      <c r="TYX60" s="64"/>
      <c r="TYY60" s="64"/>
      <c r="TYZ60" s="64"/>
      <c r="TZA60" s="64"/>
      <c r="TZB60" s="64"/>
      <c r="TZC60" s="64"/>
      <c r="TZD60" s="64"/>
      <c r="TZE60" s="64"/>
      <c r="TZF60" s="64"/>
      <c r="TZG60" s="64"/>
      <c r="TZH60" s="64"/>
      <c r="TZI60" s="64"/>
      <c r="TZJ60" s="64"/>
      <c r="TZK60" s="64"/>
      <c r="TZL60" s="64"/>
      <c r="TZM60" s="64"/>
      <c r="TZN60" s="64"/>
      <c r="TZO60" s="64"/>
      <c r="TZP60" s="64"/>
      <c r="TZQ60" s="64"/>
      <c r="TZR60" s="64"/>
      <c r="TZS60" s="64"/>
      <c r="TZT60" s="64"/>
      <c r="TZU60" s="64"/>
      <c r="TZV60" s="64"/>
      <c r="TZW60" s="64"/>
      <c r="TZX60" s="64"/>
      <c r="TZY60" s="64"/>
      <c r="TZZ60" s="64"/>
      <c r="UAA60" s="64"/>
      <c r="UAB60" s="64"/>
      <c r="UAC60" s="64"/>
      <c r="UAD60" s="64"/>
      <c r="UAE60" s="64"/>
      <c r="UAF60" s="64"/>
      <c r="UAG60" s="64"/>
      <c r="UAH60" s="64"/>
      <c r="UAI60" s="64"/>
      <c r="UAJ60" s="64"/>
      <c r="UAK60" s="64"/>
      <c r="UAL60" s="64"/>
      <c r="UAM60" s="64"/>
      <c r="UAN60" s="64"/>
      <c r="UAO60" s="64"/>
      <c r="UAP60" s="64"/>
      <c r="UAQ60" s="64"/>
      <c r="UAR60" s="64"/>
      <c r="UAS60" s="64"/>
      <c r="UAT60" s="64"/>
      <c r="UAU60" s="64"/>
      <c r="UAV60" s="64"/>
      <c r="UAW60" s="64"/>
      <c r="UAX60" s="64"/>
      <c r="UAY60" s="64"/>
      <c r="UAZ60" s="64"/>
      <c r="UBA60" s="64"/>
      <c r="UBB60" s="64"/>
      <c r="UBC60" s="64"/>
      <c r="UBD60" s="64"/>
      <c r="UBE60" s="64"/>
      <c r="UBF60" s="64"/>
      <c r="UBG60" s="64"/>
      <c r="UBH60" s="64"/>
      <c r="UBI60" s="64"/>
      <c r="UBJ60" s="64"/>
      <c r="UBK60" s="64"/>
      <c r="UBL60" s="64"/>
      <c r="UBM60" s="64"/>
      <c r="UBN60" s="64"/>
      <c r="UBO60" s="64"/>
      <c r="UBP60" s="64"/>
      <c r="UBQ60" s="64"/>
      <c r="UBR60" s="64"/>
      <c r="UBS60" s="64"/>
      <c r="UBT60" s="64"/>
      <c r="UBU60" s="64"/>
      <c r="UBV60" s="64"/>
      <c r="UBW60" s="64"/>
      <c r="UBX60" s="64"/>
      <c r="UBY60" s="64"/>
      <c r="UBZ60" s="64"/>
      <c r="UCA60" s="64"/>
      <c r="UCB60" s="64"/>
      <c r="UCC60" s="64"/>
      <c r="UCD60" s="64"/>
      <c r="UCE60" s="64"/>
      <c r="UCF60" s="64"/>
      <c r="UCG60" s="64"/>
      <c r="UCH60" s="64"/>
      <c r="UCI60" s="64"/>
      <c r="UCJ60" s="64"/>
      <c r="UCK60" s="64"/>
      <c r="UCL60" s="64"/>
      <c r="UCM60" s="64"/>
      <c r="UCN60" s="64"/>
      <c r="UCO60" s="64"/>
      <c r="UCP60" s="64"/>
      <c r="UCQ60" s="64"/>
      <c r="UCR60" s="64"/>
      <c r="UCS60" s="64"/>
      <c r="UCT60" s="64"/>
      <c r="UCU60" s="64"/>
      <c r="UCV60" s="64"/>
      <c r="UCW60" s="64"/>
      <c r="UCX60" s="64"/>
      <c r="UCY60" s="64"/>
      <c r="UCZ60" s="64"/>
      <c r="UDA60" s="64"/>
      <c r="UDB60" s="64"/>
      <c r="UDC60" s="64"/>
      <c r="UDD60" s="64"/>
      <c r="UDE60" s="64"/>
      <c r="UDF60" s="64"/>
      <c r="UDG60" s="64"/>
      <c r="UDH60" s="64"/>
      <c r="UDI60" s="64"/>
      <c r="UDJ60" s="64"/>
      <c r="UDK60" s="64"/>
      <c r="UDL60" s="64"/>
      <c r="UDM60" s="64"/>
      <c r="UDN60" s="64"/>
      <c r="UDO60" s="64"/>
      <c r="UDP60" s="64"/>
      <c r="UDQ60" s="64"/>
      <c r="UDR60" s="64"/>
      <c r="UDS60" s="64"/>
      <c r="UDT60" s="64"/>
      <c r="UDU60" s="64"/>
      <c r="UDV60" s="64"/>
      <c r="UDW60" s="64"/>
      <c r="UDX60" s="64"/>
      <c r="UDY60" s="64"/>
      <c r="UDZ60" s="64"/>
      <c r="UEA60" s="64"/>
      <c r="UEB60" s="64"/>
      <c r="UEC60" s="64"/>
      <c r="UED60" s="64"/>
      <c r="UEE60" s="64"/>
      <c r="UEF60" s="64"/>
      <c r="UEG60" s="64"/>
      <c r="UEH60" s="64"/>
      <c r="UEI60" s="64"/>
      <c r="UEJ60" s="64"/>
      <c r="UEK60" s="64"/>
      <c r="UEL60" s="64"/>
      <c r="UEM60" s="64"/>
      <c r="UEN60" s="64"/>
      <c r="UEO60" s="64"/>
      <c r="UEP60" s="64"/>
      <c r="UEQ60" s="64"/>
      <c r="UER60" s="64"/>
      <c r="UES60" s="64"/>
      <c r="UET60" s="64"/>
      <c r="UEU60" s="64"/>
      <c r="UEV60" s="64"/>
      <c r="UEW60" s="64"/>
      <c r="UEX60" s="64"/>
      <c r="UEY60" s="64"/>
      <c r="UEZ60" s="64"/>
      <c r="UFA60" s="64"/>
      <c r="UFB60" s="64"/>
      <c r="UFC60" s="64"/>
      <c r="UFD60" s="64"/>
      <c r="UFE60" s="64"/>
      <c r="UFF60" s="64"/>
      <c r="UFG60" s="64"/>
      <c r="UFH60" s="64"/>
      <c r="UFI60" s="64"/>
      <c r="UFJ60" s="64"/>
      <c r="UFK60" s="64"/>
      <c r="UFL60" s="64"/>
      <c r="UFM60" s="64"/>
      <c r="UFN60" s="64"/>
      <c r="UFO60" s="64"/>
      <c r="UFP60" s="64"/>
      <c r="UFQ60" s="64"/>
      <c r="UFR60" s="64"/>
      <c r="UFS60" s="64"/>
      <c r="UFT60" s="64"/>
      <c r="UFU60" s="64"/>
      <c r="UFV60" s="64"/>
      <c r="UFW60" s="64"/>
      <c r="UFX60" s="64"/>
      <c r="UFY60" s="64"/>
      <c r="UFZ60" s="64"/>
      <c r="UGA60" s="64"/>
      <c r="UGB60" s="64"/>
      <c r="UGC60" s="64"/>
      <c r="UGD60" s="64"/>
      <c r="UGE60" s="64"/>
      <c r="UGF60" s="64"/>
      <c r="UGG60" s="64"/>
      <c r="UGH60" s="64"/>
      <c r="UGI60" s="64"/>
      <c r="UGJ60" s="64"/>
      <c r="UGK60" s="64"/>
      <c r="UGL60" s="64"/>
      <c r="UGM60" s="64"/>
      <c r="UGN60" s="64"/>
      <c r="UGO60" s="64"/>
      <c r="UGP60" s="64"/>
      <c r="UGQ60" s="64"/>
      <c r="UGR60" s="64"/>
      <c r="UGS60" s="64"/>
      <c r="UGT60" s="64"/>
      <c r="UGU60" s="64"/>
      <c r="UGV60" s="64"/>
      <c r="UGW60" s="64"/>
      <c r="UGX60" s="64"/>
      <c r="UGY60" s="64"/>
      <c r="UGZ60" s="64"/>
      <c r="UHA60" s="64"/>
      <c r="UHB60" s="64"/>
      <c r="UHC60" s="64"/>
      <c r="UHD60" s="64"/>
      <c r="UHE60" s="64"/>
      <c r="UHF60" s="64"/>
      <c r="UHG60" s="64"/>
      <c r="UHH60" s="64"/>
      <c r="UHI60" s="64"/>
      <c r="UHJ60" s="64"/>
      <c r="UHK60" s="64"/>
      <c r="UHL60" s="64"/>
      <c r="UHM60" s="64"/>
      <c r="UHN60" s="64"/>
      <c r="UHO60" s="64"/>
      <c r="UHP60" s="64"/>
      <c r="UHQ60" s="64"/>
      <c r="UHR60" s="64"/>
      <c r="UHS60" s="64"/>
      <c r="UHT60" s="64"/>
      <c r="UHU60" s="64"/>
      <c r="UHV60" s="64"/>
      <c r="UHW60" s="64"/>
      <c r="UHX60" s="64"/>
      <c r="UHY60" s="64"/>
      <c r="UHZ60" s="64"/>
      <c r="UIA60" s="64"/>
      <c r="UIB60" s="64"/>
      <c r="UIC60" s="64"/>
      <c r="UID60" s="64"/>
      <c r="UIE60" s="64"/>
      <c r="UIF60" s="64"/>
      <c r="UIG60" s="64"/>
      <c r="UIH60" s="64"/>
      <c r="UII60" s="64"/>
      <c r="UIJ60" s="64"/>
      <c r="UIK60" s="64"/>
      <c r="UIL60" s="64"/>
      <c r="UIM60" s="64"/>
      <c r="UIN60" s="64"/>
      <c r="UIO60" s="64"/>
      <c r="UIP60" s="64"/>
      <c r="UIQ60" s="64"/>
      <c r="UIR60" s="64"/>
      <c r="UIS60" s="64"/>
      <c r="UIT60" s="64"/>
      <c r="UIU60" s="64"/>
      <c r="UIV60" s="64"/>
      <c r="UIW60" s="64"/>
      <c r="UIX60" s="64"/>
      <c r="UIY60" s="64"/>
      <c r="UIZ60" s="64"/>
      <c r="UJA60" s="64"/>
      <c r="UJB60" s="64"/>
      <c r="UJC60" s="64"/>
      <c r="UJD60" s="64"/>
      <c r="UJE60" s="64"/>
      <c r="UJF60" s="64"/>
      <c r="UJG60" s="64"/>
      <c r="UJH60" s="64"/>
      <c r="UJI60" s="64"/>
      <c r="UJJ60" s="64"/>
      <c r="UJK60" s="64"/>
      <c r="UJL60" s="64"/>
      <c r="UJM60" s="64"/>
      <c r="UJN60" s="64"/>
      <c r="UJO60" s="64"/>
      <c r="UJP60" s="64"/>
      <c r="UJQ60" s="64"/>
      <c r="UJR60" s="64"/>
      <c r="UJS60" s="64"/>
      <c r="UJT60" s="64"/>
      <c r="UJU60" s="64"/>
      <c r="UJV60" s="64"/>
      <c r="UJW60" s="64"/>
      <c r="UJX60" s="64"/>
      <c r="UJY60" s="64"/>
      <c r="UJZ60" s="64"/>
      <c r="UKA60" s="64"/>
      <c r="UKB60" s="64"/>
      <c r="UKC60" s="64"/>
      <c r="UKD60" s="64"/>
      <c r="UKE60" s="64"/>
      <c r="UKF60" s="64"/>
      <c r="UKG60" s="64"/>
      <c r="UKH60" s="64"/>
      <c r="UKI60" s="64"/>
      <c r="UKJ60" s="64"/>
      <c r="UKK60" s="64"/>
      <c r="UKL60" s="64"/>
      <c r="UKM60" s="64"/>
      <c r="UKN60" s="64"/>
      <c r="UKO60" s="64"/>
      <c r="UKP60" s="64"/>
      <c r="UKQ60" s="64"/>
      <c r="UKR60" s="64"/>
      <c r="UKS60" s="64"/>
      <c r="UKT60" s="64"/>
      <c r="UKU60" s="64"/>
      <c r="UKV60" s="64"/>
      <c r="UKW60" s="64"/>
      <c r="UKX60" s="64"/>
      <c r="UKY60" s="64"/>
      <c r="UKZ60" s="64"/>
      <c r="ULA60" s="64"/>
      <c r="ULB60" s="64"/>
      <c r="ULC60" s="64"/>
      <c r="ULD60" s="64"/>
      <c r="ULE60" s="64"/>
      <c r="ULF60" s="64"/>
      <c r="ULG60" s="64"/>
      <c r="ULH60" s="64"/>
      <c r="ULI60" s="64"/>
      <c r="ULJ60" s="64"/>
      <c r="ULK60" s="64"/>
      <c r="ULL60" s="64"/>
      <c r="ULM60" s="64"/>
      <c r="ULN60" s="64"/>
      <c r="ULO60" s="64"/>
      <c r="ULP60" s="64"/>
      <c r="ULQ60" s="64"/>
      <c r="ULR60" s="64"/>
      <c r="ULS60" s="64"/>
      <c r="ULT60" s="64"/>
      <c r="ULU60" s="64"/>
      <c r="ULV60" s="64"/>
      <c r="ULW60" s="64"/>
      <c r="ULX60" s="64"/>
      <c r="ULY60" s="64"/>
      <c r="ULZ60" s="64"/>
      <c r="UMA60" s="64"/>
      <c r="UMB60" s="64"/>
      <c r="UMC60" s="64"/>
      <c r="UMD60" s="64"/>
      <c r="UME60" s="64"/>
      <c r="UMF60" s="64"/>
      <c r="UMG60" s="64"/>
      <c r="UMH60" s="64"/>
      <c r="UMI60" s="64"/>
      <c r="UMJ60" s="64"/>
      <c r="UMK60" s="64"/>
      <c r="UML60" s="64"/>
      <c r="UMM60" s="64"/>
      <c r="UMN60" s="64"/>
      <c r="UMO60" s="64"/>
      <c r="UMP60" s="64"/>
      <c r="UMQ60" s="64"/>
      <c r="UMR60" s="64"/>
      <c r="UMS60" s="64"/>
      <c r="UMT60" s="64"/>
      <c r="UMU60" s="64"/>
      <c r="UMV60" s="64"/>
      <c r="UMW60" s="64"/>
      <c r="UMX60" s="64"/>
      <c r="UMY60" s="64"/>
      <c r="UMZ60" s="64"/>
      <c r="UNA60" s="64"/>
      <c r="UNB60" s="64"/>
      <c r="UNC60" s="64"/>
      <c r="UND60" s="64"/>
      <c r="UNE60" s="64"/>
      <c r="UNF60" s="64"/>
      <c r="UNG60" s="64"/>
      <c r="UNH60" s="64"/>
      <c r="UNI60" s="64"/>
      <c r="UNJ60" s="64"/>
      <c r="UNK60" s="64"/>
      <c r="UNL60" s="64"/>
      <c r="UNM60" s="64"/>
      <c r="UNN60" s="64"/>
      <c r="UNO60" s="64"/>
      <c r="UNP60" s="64"/>
      <c r="UNQ60" s="64"/>
      <c r="UNR60" s="64"/>
      <c r="UNS60" s="64"/>
      <c r="UNT60" s="64"/>
      <c r="UNU60" s="64"/>
      <c r="UNV60" s="64"/>
      <c r="UNW60" s="64"/>
      <c r="UNX60" s="64"/>
      <c r="UNY60" s="64"/>
      <c r="UNZ60" s="64"/>
      <c r="UOA60" s="64"/>
      <c r="UOB60" s="64"/>
      <c r="UOC60" s="64"/>
      <c r="UOD60" s="64"/>
      <c r="UOE60" s="64"/>
      <c r="UOF60" s="64"/>
      <c r="UOG60" s="64"/>
      <c r="UOH60" s="64"/>
      <c r="UOI60" s="64"/>
      <c r="UOJ60" s="64"/>
      <c r="UOK60" s="64"/>
      <c r="UOL60" s="64"/>
      <c r="UOM60" s="64"/>
      <c r="UON60" s="64"/>
      <c r="UOO60" s="64"/>
      <c r="UOP60" s="64"/>
      <c r="UOQ60" s="64"/>
      <c r="UOR60" s="64"/>
      <c r="UOS60" s="64"/>
      <c r="UOT60" s="64"/>
      <c r="UOU60" s="64"/>
      <c r="UOV60" s="64"/>
      <c r="UOW60" s="64"/>
      <c r="UOX60" s="64"/>
      <c r="UOY60" s="64"/>
      <c r="UOZ60" s="64"/>
      <c r="UPA60" s="64"/>
      <c r="UPB60" s="64"/>
      <c r="UPC60" s="64"/>
      <c r="UPD60" s="64"/>
      <c r="UPE60" s="64"/>
      <c r="UPF60" s="64"/>
      <c r="UPG60" s="64"/>
      <c r="UPH60" s="64"/>
      <c r="UPI60" s="64"/>
      <c r="UPJ60" s="64"/>
      <c r="UPK60" s="64"/>
      <c r="UPL60" s="64"/>
      <c r="UPM60" s="64"/>
      <c r="UPN60" s="64"/>
      <c r="UPO60" s="64"/>
      <c r="UPP60" s="64"/>
      <c r="UPQ60" s="64"/>
      <c r="UPR60" s="64"/>
      <c r="UPS60" s="64"/>
      <c r="UPT60" s="64"/>
      <c r="UPU60" s="64"/>
      <c r="UPV60" s="64"/>
      <c r="UPW60" s="64"/>
      <c r="UPX60" s="64"/>
      <c r="UPY60" s="64"/>
      <c r="UPZ60" s="64"/>
      <c r="UQA60" s="64"/>
      <c r="UQB60" s="64"/>
      <c r="UQC60" s="64"/>
      <c r="UQD60" s="64"/>
      <c r="UQE60" s="64"/>
      <c r="UQF60" s="64"/>
      <c r="UQG60" s="64"/>
      <c r="UQH60" s="64"/>
      <c r="UQI60" s="64"/>
      <c r="UQJ60" s="64"/>
      <c r="UQK60" s="64"/>
      <c r="UQL60" s="64"/>
      <c r="UQM60" s="64"/>
      <c r="UQN60" s="64"/>
      <c r="UQO60" s="64"/>
      <c r="UQP60" s="64"/>
      <c r="UQQ60" s="64"/>
      <c r="UQR60" s="64"/>
      <c r="UQS60" s="64"/>
      <c r="UQT60" s="64"/>
      <c r="UQU60" s="64"/>
      <c r="UQV60" s="64"/>
      <c r="UQW60" s="64"/>
      <c r="UQX60" s="64"/>
      <c r="UQY60" s="64"/>
      <c r="UQZ60" s="64"/>
      <c r="URA60" s="64"/>
      <c r="URB60" s="64"/>
      <c r="URC60" s="64"/>
      <c r="URD60" s="64"/>
      <c r="URE60" s="64"/>
      <c r="URF60" s="64"/>
      <c r="URG60" s="64"/>
      <c r="URH60" s="64"/>
      <c r="URI60" s="64"/>
      <c r="URJ60" s="64"/>
      <c r="URK60" s="64"/>
      <c r="URL60" s="64"/>
      <c r="URM60" s="64"/>
      <c r="URN60" s="64"/>
      <c r="URO60" s="64"/>
      <c r="URP60" s="64"/>
      <c r="URQ60" s="64"/>
      <c r="URR60" s="64"/>
      <c r="URS60" s="64"/>
      <c r="URT60" s="64"/>
      <c r="URU60" s="64"/>
      <c r="URV60" s="64"/>
      <c r="URW60" s="64"/>
      <c r="URX60" s="64"/>
      <c r="URY60" s="64"/>
      <c r="URZ60" s="64"/>
      <c r="USA60" s="64"/>
      <c r="USB60" s="64"/>
      <c r="USC60" s="64"/>
      <c r="USD60" s="64"/>
      <c r="USE60" s="64"/>
      <c r="USF60" s="64"/>
      <c r="USG60" s="64"/>
      <c r="USH60" s="64"/>
      <c r="USI60" s="64"/>
      <c r="USJ60" s="64"/>
      <c r="USK60" s="64"/>
      <c r="USL60" s="64"/>
      <c r="USM60" s="64"/>
      <c r="USN60" s="64"/>
      <c r="USO60" s="64"/>
      <c r="USP60" s="64"/>
      <c r="USQ60" s="64"/>
      <c r="USR60" s="64"/>
      <c r="USS60" s="64"/>
      <c r="UST60" s="64"/>
      <c r="USU60" s="64"/>
      <c r="USV60" s="64"/>
      <c r="USW60" s="64"/>
      <c r="USX60" s="64"/>
      <c r="USY60" s="64"/>
      <c r="USZ60" s="64"/>
      <c r="UTA60" s="64"/>
      <c r="UTB60" s="64"/>
      <c r="UTC60" s="64"/>
      <c r="UTD60" s="64"/>
      <c r="UTE60" s="64"/>
      <c r="UTF60" s="64"/>
      <c r="UTG60" s="64"/>
      <c r="UTH60" s="64"/>
      <c r="UTI60" s="64"/>
      <c r="UTJ60" s="64"/>
      <c r="UTK60" s="64"/>
      <c r="UTL60" s="64"/>
      <c r="UTM60" s="64"/>
      <c r="UTN60" s="64"/>
      <c r="UTO60" s="64"/>
      <c r="UTP60" s="64"/>
      <c r="UTQ60" s="64"/>
      <c r="UTR60" s="64"/>
      <c r="UTS60" s="64"/>
      <c r="UTT60" s="64"/>
      <c r="UTU60" s="64"/>
      <c r="UTV60" s="64"/>
      <c r="UTW60" s="64"/>
      <c r="UTX60" s="64"/>
      <c r="UTY60" s="64"/>
      <c r="UTZ60" s="64"/>
      <c r="UUA60" s="64"/>
      <c r="UUB60" s="64"/>
      <c r="UUC60" s="64"/>
      <c r="UUD60" s="64"/>
      <c r="UUE60" s="64"/>
      <c r="UUF60" s="64"/>
      <c r="UUG60" s="64"/>
      <c r="UUH60" s="64"/>
      <c r="UUI60" s="64"/>
      <c r="UUJ60" s="64"/>
      <c r="UUK60" s="64"/>
      <c r="UUL60" s="64"/>
      <c r="UUM60" s="64"/>
      <c r="UUN60" s="64"/>
      <c r="UUO60" s="64"/>
      <c r="UUP60" s="64"/>
      <c r="UUQ60" s="64"/>
      <c r="UUR60" s="64"/>
      <c r="UUS60" s="64"/>
      <c r="UUT60" s="64"/>
      <c r="UUU60" s="64"/>
      <c r="UUV60" s="64"/>
      <c r="UUW60" s="64"/>
      <c r="UUX60" s="64"/>
      <c r="UUY60" s="64"/>
      <c r="UUZ60" s="64"/>
      <c r="UVA60" s="64"/>
      <c r="UVB60" s="64"/>
      <c r="UVC60" s="64"/>
      <c r="UVD60" s="64"/>
      <c r="UVE60" s="64"/>
      <c r="UVF60" s="64"/>
      <c r="UVG60" s="64"/>
      <c r="UVH60" s="64"/>
      <c r="UVI60" s="64"/>
      <c r="UVJ60" s="64"/>
      <c r="UVK60" s="64"/>
      <c r="UVL60" s="64"/>
      <c r="UVM60" s="64"/>
      <c r="UVN60" s="64"/>
      <c r="UVO60" s="64"/>
      <c r="UVP60" s="64"/>
      <c r="UVQ60" s="64"/>
      <c r="UVR60" s="64"/>
      <c r="UVS60" s="64"/>
      <c r="UVT60" s="64"/>
      <c r="UVU60" s="64"/>
      <c r="UVV60" s="64"/>
      <c r="UVW60" s="64"/>
      <c r="UVX60" s="64"/>
      <c r="UVY60" s="64"/>
      <c r="UVZ60" s="64"/>
      <c r="UWA60" s="64"/>
      <c r="UWB60" s="64"/>
      <c r="UWC60" s="64"/>
      <c r="UWD60" s="64"/>
      <c r="UWE60" s="64"/>
      <c r="UWF60" s="64"/>
      <c r="UWG60" s="64"/>
      <c r="UWH60" s="64"/>
      <c r="UWI60" s="64"/>
      <c r="UWJ60" s="64"/>
      <c r="UWK60" s="64"/>
      <c r="UWL60" s="64"/>
      <c r="UWM60" s="64"/>
      <c r="UWN60" s="64"/>
      <c r="UWO60" s="64"/>
      <c r="UWP60" s="64"/>
      <c r="UWQ60" s="64"/>
      <c r="UWR60" s="64"/>
      <c r="UWS60" s="64"/>
      <c r="UWT60" s="64"/>
      <c r="UWU60" s="64"/>
      <c r="UWV60" s="64"/>
      <c r="UWW60" s="64"/>
      <c r="UWX60" s="64"/>
      <c r="UWY60" s="64"/>
      <c r="UWZ60" s="64"/>
      <c r="UXA60" s="64"/>
      <c r="UXB60" s="64"/>
      <c r="UXC60" s="64"/>
      <c r="UXD60" s="64"/>
      <c r="UXE60" s="64"/>
      <c r="UXF60" s="64"/>
      <c r="UXG60" s="64"/>
      <c r="UXH60" s="64"/>
      <c r="UXI60" s="64"/>
      <c r="UXJ60" s="64"/>
      <c r="UXK60" s="64"/>
      <c r="UXL60" s="64"/>
      <c r="UXM60" s="64"/>
      <c r="UXN60" s="64"/>
      <c r="UXO60" s="64"/>
      <c r="UXP60" s="64"/>
      <c r="UXQ60" s="64"/>
      <c r="UXR60" s="64"/>
      <c r="UXS60" s="64"/>
      <c r="UXT60" s="64"/>
      <c r="UXU60" s="64"/>
      <c r="UXV60" s="64"/>
      <c r="UXW60" s="64"/>
      <c r="UXX60" s="64"/>
      <c r="UXY60" s="64"/>
      <c r="UXZ60" s="64"/>
      <c r="UYA60" s="64"/>
      <c r="UYB60" s="64"/>
      <c r="UYC60" s="64"/>
      <c r="UYD60" s="64"/>
      <c r="UYE60" s="64"/>
      <c r="UYF60" s="64"/>
      <c r="UYG60" s="64"/>
      <c r="UYH60" s="64"/>
      <c r="UYI60" s="64"/>
      <c r="UYJ60" s="64"/>
      <c r="UYK60" s="64"/>
      <c r="UYL60" s="64"/>
      <c r="UYM60" s="64"/>
      <c r="UYN60" s="64"/>
      <c r="UYO60" s="64"/>
      <c r="UYP60" s="64"/>
      <c r="UYQ60" s="64"/>
      <c r="UYR60" s="64"/>
      <c r="UYS60" s="64"/>
      <c r="UYT60" s="64"/>
      <c r="UYU60" s="64"/>
      <c r="UYV60" s="64"/>
      <c r="UYW60" s="64"/>
      <c r="UYX60" s="64"/>
      <c r="UYY60" s="64"/>
      <c r="UYZ60" s="64"/>
      <c r="UZA60" s="64"/>
      <c r="UZB60" s="64"/>
      <c r="UZC60" s="64"/>
      <c r="UZD60" s="64"/>
      <c r="UZE60" s="64"/>
      <c r="UZF60" s="64"/>
      <c r="UZG60" s="64"/>
      <c r="UZH60" s="64"/>
      <c r="UZI60" s="64"/>
      <c r="UZJ60" s="64"/>
      <c r="UZK60" s="64"/>
      <c r="UZL60" s="64"/>
      <c r="UZM60" s="64"/>
      <c r="UZN60" s="64"/>
      <c r="UZO60" s="64"/>
      <c r="UZP60" s="64"/>
      <c r="UZQ60" s="64"/>
      <c r="UZR60" s="64"/>
      <c r="UZS60" s="64"/>
      <c r="UZT60" s="64"/>
      <c r="UZU60" s="64"/>
      <c r="UZV60" s="64"/>
      <c r="UZW60" s="64"/>
      <c r="UZX60" s="64"/>
      <c r="UZY60" s="64"/>
      <c r="UZZ60" s="64"/>
      <c r="VAA60" s="64"/>
      <c r="VAB60" s="64"/>
      <c r="VAC60" s="64"/>
      <c r="VAD60" s="64"/>
      <c r="VAE60" s="64"/>
      <c r="VAF60" s="64"/>
      <c r="VAG60" s="64"/>
      <c r="VAH60" s="64"/>
      <c r="VAI60" s="64"/>
      <c r="VAJ60" s="64"/>
      <c r="VAK60" s="64"/>
      <c r="VAL60" s="64"/>
      <c r="VAM60" s="64"/>
      <c r="VAN60" s="64"/>
      <c r="VAO60" s="64"/>
      <c r="VAP60" s="64"/>
      <c r="VAQ60" s="64"/>
      <c r="VAR60" s="64"/>
      <c r="VAS60" s="64"/>
      <c r="VAT60" s="64"/>
      <c r="VAU60" s="64"/>
      <c r="VAV60" s="64"/>
      <c r="VAW60" s="64"/>
      <c r="VAX60" s="64"/>
      <c r="VAY60" s="64"/>
      <c r="VAZ60" s="64"/>
      <c r="VBA60" s="64"/>
      <c r="VBB60" s="64"/>
      <c r="VBC60" s="64"/>
      <c r="VBD60" s="64"/>
      <c r="VBE60" s="64"/>
      <c r="VBF60" s="64"/>
      <c r="VBG60" s="64"/>
      <c r="VBH60" s="64"/>
      <c r="VBI60" s="64"/>
      <c r="VBJ60" s="64"/>
      <c r="VBK60" s="64"/>
      <c r="VBL60" s="64"/>
      <c r="VBM60" s="64"/>
      <c r="VBN60" s="64"/>
      <c r="VBO60" s="64"/>
      <c r="VBP60" s="64"/>
      <c r="VBQ60" s="64"/>
      <c r="VBR60" s="64"/>
      <c r="VBS60" s="64"/>
      <c r="VBT60" s="64"/>
      <c r="VBU60" s="64"/>
      <c r="VBV60" s="64"/>
      <c r="VBW60" s="64"/>
      <c r="VBX60" s="64"/>
      <c r="VBY60" s="64"/>
      <c r="VBZ60" s="64"/>
      <c r="VCA60" s="64"/>
      <c r="VCB60" s="64"/>
      <c r="VCC60" s="64"/>
      <c r="VCD60" s="64"/>
      <c r="VCE60" s="64"/>
      <c r="VCF60" s="64"/>
      <c r="VCG60" s="64"/>
      <c r="VCH60" s="64"/>
      <c r="VCI60" s="64"/>
      <c r="VCJ60" s="64"/>
      <c r="VCK60" s="64"/>
      <c r="VCL60" s="64"/>
      <c r="VCM60" s="64"/>
      <c r="VCN60" s="64"/>
      <c r="VCO60" s="64"/>
      <c r="VCP60" s="64"/>
      <c r="VCQ60" s="64"/>
      <c r="VCR60" s="64"/>
      <c r="VCS60" s="64"/>
      <c r="VCT60" s="64"/>
      <c r="VCU60" s="64"/>
      <c r="VCV60" s="64"/>
      <c r="VCW60" s="64"/>
      <c r="VCX60" s="64"/>
      <c r="VCY60" s="64"/>
      <c r="VCZ60" s="64"/>
      <c r="VDA60" s="64"/>
      <c r="VDB60" s="64"/>
      <c r="VDC60" s="64"/>
      <c r="VDD60" s="64"/>
      <c r="VDE60" s="64"/>
      <c r="VDF60" s="64"/>
      <c r="VDG60" s="64"/>
      <c r="VDH60" s="64"/>
      <c r="VDI60" s="64"/>
      <c r="VDJ60" s="64"/>
      <c r="VDK60" s="64"/>
      <c r="VDL60" s="64"/>
      <c r="VDM60" s="64"/>
      <c r="VDN60" s="64"/>
      <c r="VDO60" s="64"/>
      <c r="VDP60" s="64"/>
      <c r="VDQ60" s="64"/>
      <c r="VDR60" s="64"/>
      <c r="VDS60" s="64"/>
      <c r="VDT60" s="64"/>
      <c r="VDU60" s="64"/>
      <c r="VDV60" s="64"/>
      <c r="VDW60" s="64"/>
      <c r="VDX60" s="64"/>
      <c r="VDY60" s="64"/>
      <c r="VDZ60" s="64"/>
      <c r="VEA60" s="64"/>
      <c r="VEB60" s="64"/>
      <c r="VEC60" s="64"/>
      <c r="VED60" s="64"/>
      <c r="VEE60" s="64"/>
      <c r="VEF60" s="64"/>
      <c r="VEG60" s="64"/>
      <c r="VEH60" s="64"/>
      <c r="VEI60" s="64"/>
      <c r="VEJ60" s="64"/>
      <c r="VEK60" s="64"/>
      <c r="VEL60" s="64"/>
      <c r="VEM60" s="64"/>
      <c r="VEN60" s="64"/>
      <c r="VEO60" s="64"/>
      <c r="VEP60" s="64"/>
      <c r="VEQ60" s="64"/>
      <c r="VER60" s="64"/>
      <c r="VES60" s="64"/>
      <c r="VET60" s="64"/>
      <c r="VEU60" s="64"/>
      <c r="VEV60" s="64"/>
      <c r="VEW60" s="64"/>
      <c r="VEX60" s="64"/>
      <c r="VEY60" s="64"/>
      <c r="VEZ60" s="64"/>
      <c r="VFA60" s="64"/>
      <c r="VFB60" s="64"/>
      <c r="VFC60" s="64"/>
      <c r="VFD60" s="64"/>
      <c r="VFE60" s="64"/>
      <c r="VFF60" s="64"/>
      <c r="VFG60" s="64"/>
      <c r="VFH60" s="64"/>
      <c r="VFI60" s="64"/>
      <c r="VFJ60" s="64"/>
      <c r="VFK60" s="64"/>
      <c r="VFL60" s="64"/>
      <c r="VFM60" s="64"/>
      <c r="VFN60" s="64"/>
      <c r="VFO60" s="64"/>
      <c r="VFP60" s="64"/>
      <c r="VFQ60" s="64"/>
      <c r="VFR60" s="64"/>
      <c r="VFS60" s="64"/>
      <c r="VFT60" s="64"/>
      <c r="VFU60" s="64"/>
      <c r="VFV60" s="64"/>
      <c r="VFW60" s="64"/>
      <c r="VFX60" s="64"/>
      <c r="VFY60" s="64"/>
      <c r="VFZ60" s="64"/>
      <c r="VGA60" s="64"/>
      <c r="VGB60" s="64"/>
      <c r="VGC60" s="64"/>
      <c r="VGD60" s="64"/>
      <c r="VGE60" s="64"/>
      <c r="VGF60" s="64"/>
      <c r="VGG60" s="64"/>
      <c r="VGH60" s="64"/>
      <c r="VGI60" s="64"/>
      <c r="VGJ60" s="64"/>
      <c r="VGK60" s="64"/>
      <c r="VGL60" s="64"/>
      <c r="VGM60" s="64"/>
      <c r="VGN60" s="64"/>
      <c r="VGO60" s="64"/>
      <c r="VGP60" s="64"/>
      <c r="VGQ60" s="64"/>
      <c r="VGR60" s="64"/>
      <c r="VGS60" s="64"/>
      <c r="VGT60" s="64"/>
      <c r="VGU60" s="64"/>
      <c r="VGV60" s="64"/>
      <c r="VGW60" s="64"/>
      <c r="VGX60" s="64"/>
      <c r="VGY60" s="64"/>
      <c r="VGZ60" s="64"/>
      <c r="VHA60" s="64"/>
      <c r="VHB60" s="64"/>
      <c r="VHC60" s="64"/>
      <c r="VHD60" s="64"/>
      <c r="VHE60" s="64"/>
      <c r="VHF60" s="64"/>
      <c r="VHG60" s="64"/>
      <c r="VHH60" s="64"/>
      <c r="VHI60" s="64"/>
      <c r="VHJ60" s="64"/>
      <c r="VHK60" s="64"/>
      <c r="VHL60" s="64"/>
      <c r="VHM60" s="64"/>
      <c r="VHN60" s="64"/>
      <c r="VHO60" s="64"/>
      <c r="VHP60" s="64"/>
      <c r="VHQ60" s="64"/>
      <c r="VHR60" s="64"/>
      <c r="VHS60" s="64"/>
      <c r="VHT60" s="64"/>
      <c r="VHU60" s="64"/>
      <c r="VHV60" s="64"/>
      <c r="VHW60" s="64"/>
      <c r="VHX60" s="64"/>
      <c r="VHY60" s="64"/>
      <c r="VHZ60" s="64"/>
      <c r="VIA60" s="64"/>
      <c r="VIB60" s="64"/>
      <c r="VIC60" s="64"/>
      <c r="VID60" s="64"/>
      <c r="VIE60" s="64"/>
      <c r="VIF60" s="64"/>
      <c r="VIG60" s="64"/>
      <c r="VIH60" s="64"/>
      <c r="VII60" s="64"/>
      <c r="VIJ60" s="64"/>
      <c r="VIK60" s="64"/>
      <c r="VIL60" s="64"/>
      <c r="VIM60" s="64"/>
      <c r="VIN60" s="64"/>
      <c r="VIO60" s="64"/>
      <c r="VIP60" s="64"/>
      <c r="VIQ60" s="64"/>
      <c r="VIR60" s="64"/>
      <c r="VIS60" s="64"/>
      <c r="VIT60" s="64"/>
      <c r="VIU60" s="64"/>
      <c r="VIV60" s="64"/>
      <c r="VIW60" s="64"/>
      <c r="VIX60" s="64"/>
      <c r="VIY60" s="64"/>
      <c r="VIZ60" s="64"/>
      <c r="VJA60" s="64"/>
      <c r="VJB60" s="64"/>
      <c r="VJC60" s="64"/>
      <c r="VJD60" s="64"/>
      <c r="VJE60" s="64"/>
      <c r="VJF60" s="64"/>
      <c r="VJG60" s="64"/>
      <c r="VJH60" s="64"/>
      <c r="VJI60" s="64"/>
      <c r="VJJ60" s="64"/>
      <c r="VJK60" s="64"/>
      <c r="VJL60" s="64"/>
      <c r="VJM60" s="64"/>
      <c r="VJN60" s="64"/>
      <c r="VJO60" s="64"/>
      <c r="VJP60" s="64"/>
      <c r="VJQ60" s="64"/>
      <c r="VJR60" s="64"/>
      <c r="VJS60" s="64"/>
      <c r="VJT60" s="64"/>
      <c r="VJU60" s="64"/>
      <c r="VJV60" s="64"/>
      <c r="VJW60" s="64"/>
      <c r="VJX60" s="64"/>
      <c r="VJY60" s="64"/>
      <c r="VJZ60" s="64"/>
      <c r="VKA60" s="64"/>
      <c r="VKB60" s="64"/>
      <c r="VKC60" s="64"/>
      <c r="VKD60" s="64"/>
      <c r="VKE60" s="64"/>
      <c r="VKF60" s="64"/>
      <c r="VKG60" s="64"/>
      <c r="VKH60" s="64"/>
      <c r="VKI60" s="64"/>
      <c r="VKJ60" s="64"/>
      <c r="VKK60" s="64"/>
      <c r="VKL60" s="64"/>
      <c r="VKM60" s="64"/>
      <c r="VKN60" s="64"/>
      <c r="VKO60" s="64"/>
      <c r="VKP60" s="64"/>
      <c r="VKQ60" s="64"/>
      <c r="VKR60" s="64"/>
      <c r="VKS60" s="64"/>
      <c r="VKT60" s="64"/>
      <c r="VKU60" s="64"/>
      <c r="VKV60" s="64"/>
      <c r="VKW60" s="64"/>
      <c r="VKX60" s="64"/>
      <c r="VKY60" s="64"/>
      <c r="VKZ60" s="64"/>
      <c r="VLA60" s="64"/>
      <c r="VLB60" s="64"/>
      <c r="VLC60" s="64"/>
      <c r="VLD60" s="64"/>
      <c r="VLE60" s="64"/>
      <c r="VLF60" s="64"/>
      <c r="VLG60" s="64"/>
      <c r="VLH60" s="64"/>
      <c r="VLI60" s="64"/>
      <c r="VLJ60" s="64"/>
      <c r="VLK60" s="64"/>
      <c r="VLL60" s="64"/>
      <c r="VLM60" s="64"/>
      <c r="VLN60" s="64"/>
      <c r="VLO60" s="64"/>
      <c r="VLP60" s="64"/>
      <c r="VLQ60" s="64"/>
      <c r="VLR60" s="64"/>
      <c r="VLS60" s="64"/>
      <c r="VLT60" s="64"/>
      <c r="VLU60" s="64"/>
      <c r="VLV60" s="64"/>
      <c r="VLW60" s="64"/>
      <c r="VLX60" s="64"/>
      <c r="VLY60" s="64"/>
      <c r="VLZ60" s="64"/>
      <c r="VMA60" s="64"/>
      <c r="VMB60" s="64"/>
      <c r="VMC60" s="64"/>
      <c r="VMD60" s="64"/>
      <c r="VME60" s="64"/>
      <c r="VMF60" s="64"/>
      <c r="VMG60" s="64"/>
      <c r="VMH60" s="64"/>
      <c r="VMI60" s="64"/>
      <c r="VMJ60" s="64"/>
      <c r="VMK60" s="64"/>
      <c r="VML60" s="64"/>
      <c r="VMM60" s="64"/>
      <c r="VMN60" s="64"/>
      <c r="VMO60" s="64"/>
      <c r="VMP60" s="64"/>
      <c r="VMQ60" s="64"/>
      <c r="VMR60" s="64"/>
      <c r="VMS60" s="64"/>
      <c r="VMT60" s="64"/>
      <c r="VMU60" s="64"/>
      <c r="VMV60" s="64"/>
      <c r="VMW60" s="64"/>
      <c r="VMX60" s="64"/>
      <c r="VMY60" s="64"/>
      <c r="VMZ60" s="64"/>
      <c r="VNA60" s="64"/>
      <c r="VNB60" s="64"/>
      <c r="VNC60" s="64"/>
      <c r="VND60" s="64"/>
      <c r="VNE60" s="64"/>
      <c r="VNF60" s="64"/>
      <c r="VNG60" s="64"/>
      <c r="VNH60" s="64"/>
      <c r="VNI60" s="64"/>
      <c r="VNJ60" s="64"/>
      <c r="VNK60" s="64"/>
      <c r="VNL60" s="64"/>
      <c r="VNM60" s="64"/>
      <c r="VNN60" s="64"/>
      <c r="VNO60" s="64"/>
      <c r="VNP60" s="64"/>
      <c r="VNQ60" s="64"/>
      <c r="VNR60" s="64"/>
      <c r="VNS60" s="64"/>
      <c r="VNT60" s="64"/>
      <c r="VNU60" s="64"/>
      <c r="VNV60" s="64"/>
      <c r="VNW60" s="64"/>
      <c r="VNX60" s="64"/>
      <c r="VNY60" s="64"/>
      <c r="VNZ60" s="64"/>
      <c r="VOA60" s="64"/>
      <c r="VOB60" s="64"/>
      <c r="VOC60" s="64"/>
      <c r="VOD60" s="64"/>
      <c r="VOE60" s="64"/>
      <c r="VOF60" s="64"/>
      <c r="VOG60" s="64"/>
      <c r="VOH60" s="64"/>
      <c r="VOI60" s="64"/>
      <c r="VOJ60" s="64"/>
      <c r="VOK60" s="64"/>
      <c r="VOL60" s="64"/>
      <c r="VOM60" s="64"/>
      <c r="VON60" s="64"/>
      <c r="VOO60" s="64"/>
      <c r="VOP60" s="64"/>
      <c r="VOQ60" s="64"/>
      <c r="VOR60" s="64"/>
      <c r="VOS60" s="64"/>
      <c r="VOT60" s="64"/>
      <c r="VOU60" s="64"/>
      <c r="VOV60" s="64"/>
      <c r="VOW60" s="64"/>
      <c r="VOX60" s="64"/>
      <c r="VOY60" s="64"/>
      <c r="VOZ60" s="64"/>
      <c r="VPA60" s="64"/>
      <c r="VPB60" s="64"/>
      <c r="VPC60" s="64"/>
      <c r="VPD60" s="64"/>
      <c r="VPE60" s="64"/>
      <c r="VPF60" s="64"/>
      <c r="VPG60" s="64"/>
      <c r="VPH60" s="64"/>
      <c r="VPI60" s="64"/>
      <c r="VPJ60" s="64"/>
      <c r="VPK60" s="64"/>
      <c r="VPL60" s="64"/>
      <c r="VPM60" s="64"/>
      <c r="VPN60" s="64"/>
      <c r="VPO60" s="64"/>
      <c r="VPP60" s="64"/>
      <c r="VPQ60" s="64"/>
      <c r="VPR60" s="64"/>
      <c r="VPS60" s="64"/>
      <c r="VPT60" s="64"/>
      <c r="VPU60" s="64"/>
      <c r="VPV60" s="64"/>
      <c r="VPW60" s="64"/>
      <c r="VPX60" s="64"/>
      <c r="VPY60" s="64"/>
      <c r="VPZ60" s="64"/>
      <c r="VQA60" s="64"/>
      <c r="VQB60" s="64"/>
      <c r="VQC60" s="64"/>
      <c r="VQD60" s="64"/>
      <c r="VQE60" s="64"/>
      <c r="VQF60" s="64"/>
      <c r="VQG60" s="64"/>
      <c r="VQH60" s="64"/>
      <c r="VQI60" s="64"/>
      <c r="VQJ60" s="64"/>
      <c r="VQK60" s="64"/>
      <c r="VQL60" s="64"/>
      <c r="VQM60" s="64"/>
      <c r="VQN60" s="64"/>
      <c r="VQO60" s="64"/>
      <c r="VQP60" s="64"/>
      <c r="VQQ60" s="64"/>
      <c r="VQR60" s="64"/>
      <c r="VQS60" s="64"/>
      <c r="VQT60" s="64"/>
      <c r="VQU60" s="64"/>
      <c r="VQV60" s="64"/>
      <c r="VQW60" s="64"/>
      <c r="VQX60" s="64"/>
      <c r="VQY60" s="64"/>
      <c r="VQZ60" s="64"/>
      <c r="VRA60" s="64"/>
      <c r="VRB60" s="64"/>
      <c r="VRC60" s="64"/>
      <c r="VRD60" s="64"/>
      <c r="VRE60" s="64"/>
      <c r="VRF60" s="64"/>
      <c r="VRG60" s="64"/>
      <c r="VRH60" s="64"/>
      <c r="VRI60" s="64"/>
      <c r="VRJ60" s="64"/>
      <c r="VRK60" s="64"/>
      <c r="VRL60" s="64"/>
      <c r="VRM60" s="64"/>
      <c r="VRN60" s="64"/>
      <c r="VRO60" s="64"/>
      <c r="VRP60" s="64"/>
      <c r="VRQ60" s="64"/>
      <c r="VRR60" s="64"/>
      <c r="VRS60" s="64"/>
      <c r="VRT60" s="64"/>
      <c r="VRU60" s="64"/>
      <c r="VRV60" s="64"/>
      <c r="VRW60" s="64"/>
      <c r="VRX60" s="64"/>
      <c r="VRY60" s="64"/>
      <c r="VRZ60" s="64"/>
      <c r="VSA60" s="64"/>
      <c r="VSB60" s="64"/>
      <c r="VSC60" s="64"/>
      <c r="VSD60" s="64"/>
      <c r="VSE60" s="64"/>
      <c r="VSF60" s="64"/>
      <c r="VSG60" s="64"/>
      <c r="VSH60" s="64"/>
      <c r="VSI60" s="64"/>
      <c r="VSJ60" s="64"/>
      <c r="VSK60" s="64"/>
      <c r="VSL60" s="64"/>
      <c r="VSM60" s="64"/>
      <c r="VSN60" s="64"/>
      <c r="VSO60" s="64"/>
      <c r="VSP60" s="64"/>
      <c r="VSQ60" s="64"/>
      <c r="VSR60" s="64"/>
      <c r="VSS60" s="64"/>
      <c r="VST60" s="64"/>
      <c r="VSU60" s="64"/>
      <c r="VSV60" s="64"/>
      <c r="VSW60" s="64"/>
      <c r="VSX60" s="64"/>
      <c r="VSY60" s="64"/>
      <c r="VSZ60" s="64"/>
      <c r="VTA60" s="64"/>
      <c r="VTB60" s="64"/>
      <c r="VTC60" s="64"/>
      <c r="VTD60" s="64"/>
      <c r="VTE60" s="64"/>
      <c r="VTF60" s="64"/>
      <c r="VTG60" s="64"/>
      <c r="VTH60" s="64"/>
      <c r="VTI60" s="64"/>
      <c r="VTJ60" s="64"/>
      <c r="VTK60" s="64"/>
      <c r="VTL60" s="64"/>
      <c r="VTM60" s="64"/>
      <c r="VTN60" s="64"/>
      <c r="VTO60" s="64"/>
      <c r="VTP60" s="64"/>
      <c r="VTQ60" s="64"/>
      <c r="VTR60" s="64"/>
      <c r="VTS60" s="64"/>
      <c r="VTT60" s="64"/>
      <c r="VTU60" s="64"/>
      <c r="VTV60" s="64"/>
      <c r="VTW60" s="64"/>
      <c r="VTX60" s="64"/>
      <c r="VTY60" s="64"/>
      <c r="VTZ60" s="64"/>
      <c r="VUA60" s="64"/>
      <c r="VUB60" s="64"/>
      <c r="VUC60" s="64"/>
      <c r="VUD60" s="64"/>
      <c r="VUE60" s="64"/>
      <c r="VUF60" s="64"/>
      <c r="VUG60" s="64"/>
      <c r="VUH60" s="64"/>
      <c r="VUI60" s="64"/>
      <c r="VUJ60" s="64"/>
      <c r="VUK60" s="64"/>
      <c r="VUL60" s="64"/>
      <c r="VUM60" s="64"/>
      <c r="VUN60" s="64"/>
      <c r="VUO60" s="64"/>
      <c r="VUP60" s="64"/>
      <c r="VUQ60" s="64"/>
      <c r="VUR60" s="64"/>
      <c r="VUS60" s="64"/>
      <c r="VUT60" s="64"/>
      <c r="VUU60" s="64"/>
      <c r="VUV60" s="64"/>
      <c r="VUW60" s="64"/>
      <c r="VUX60" s="64"/>
      <c r="VUY60" s="64"/>
      <c r="VUZ60" s="64"/>
      <c r="VVA60" s="64"/>
      <c r="VVB60" s="64"/>
      <c r="VVC60" s="64"/>
      <c r="VVD60" s="64"/>
      <c r="VVE60" s="64"/>
      <c r="VVF60" s="64"/>
      <c r="VVG60" s="64"/>
      <c r="VVH60" s="64"/>
      <c r="VVI60" s="64"/>
      <c r="VVJ60" s="64"/>
      <c r="VVK60" s="64"/>
      <c r="VVL60" s="64"/>
      <c r="VVM60" s="64"/>
      <c r="VVN60" s="64"/>
      <c r="VVO60" s="64"/>
      <c r="VVP60" s="64"/>
      <c r="VVQ60" s="64"/>
      <c r="VVR60" s="64"/>
      <c r="VVS60" s="64"/>
      <c r="VVT60" s="64"/>
      <c r="VVU60" s="64"/>
      <c r="VVV60" s="64"/>
      <c r="VVW60" s="64"/>
      <c r="VVX60" s="64"/>
      <c r="VVY60" s="64"/>
      <c r="VVZ60" s="64"/>
      <c r="VWA60" s="64"/>
      <c r="VWB60" s="64"/>
      <c r="VWC60" s="64"/>
      <c r="VWD60" s="64"/>
      <c r="VWE60" s="64"/>
      <c r="VWF60" s="64"/>
      <c r="VWG60" s="64"/>
      <c r="VWH60" s="64"/>
      <c r="VWI60" s="64"/>
      <c r="VWJ60" s="64"/>
      <c r="VWK60" s="64"/>
      <c r="VWL60" s="64"/>
      <c r="VWM60" s="64"/>
      <c r="VWN60" s="64"/>
      <c r="VWO60" s="64"/>
      <c r="VWP60" s="64"/>
      <c r="VWQ60" s="64"/>
      <c r="VWR60" s="64"/>
      <c r="VWS60" s="64"/>
      <c r="VWT60" s="64"/>
      <c r="VWU60" s="64"/>
      <c r="VWV60" s="64"/>
      <c r="VWW60" s="64"/>
      <c r="VWX60" s="64"/>
      <c r="VWY60" s="64"/>
      <c r="VWZ60" s="64"/>
      <c r="VXA60" s="64"/>
      <c r="VXB60" s="64"/>
      <c r="VXC60" s="64"/>
      <c r="VXD60" s="64"/>
      <c r="VXE60" s="64"/>
      <c r="VXF60" s="64"/>
      <c r="VXG60" s="64"/>
      <c r="VXH60" s="64"/>
      <c r="VXI60" s="64"/>
      <c r="VXJ60" s="64"/>
      <c r="VXK60" s="64"/>
      <c r="VXL60" s="64"/>
      <c r="VXM60" s="64"/>
      <c r="VXN60" s="64"/>
      <c r="VXO60" s="64"/>
      <c r="VXP60" s="64"/>
      <c r="VXQ60" s="64"/>
      <c r="VXR60" s="64"/>
      <c r="VXS60" s="64"/>
      <c r="VXT60" s="64"/>
      <c r="VXU60" s="64"/>
      <c r="VXV60" s="64"/>
      <c r="VXW60" s="64"/>
      <c r="VXX60" s="64"/>
      <c r="VXY60" s="64"/>
      <c r="VXZ60" s="64"/>
      <c r="VYA60" s="64"/>
      <c r="VYB60" s="64"/>
      <c r="VYC60" s="64"/>
      <c r="VYD60" s="64"/>
      <c r="VYE60" s="64"/>
      <c r="VYF60" s="64"/>
      <c r="VYG60" s="64"/>
      <c r="VYH60" s="64"/>
      <c r="VYI60" s="64"/>
      <c r="VYJ60" s="64"/>
      <c r="VYK60" s="64"/>
      <c r="VYL60" s="64"/>
      <c r="VYM60" s="64"/>
      <c r="VYN60" s="64"/>
      <c r="VYO60" s="64"/>
      <c r="VYP60" s="64"/>
      <c r="VYQ60" s="64"/>
      <c r="VYR60" s="64"/>
      <c r="VYS60" s="64"/>
      <c r="VYT60" s="64"/>
      <c r="VYU60" s="64"/>
      <c r="VYV60" s="64"/>
      <c r="VYW60" s="64"/>
      <c r="VYX60" s="64"/>
      <c r="VYY60" s="64"/>
      <c r="VYZ60" s="64"/>
      <c r="VZA60" s="64"/>
      <c r="VZB60" s="64"/>
      <c r="VZC60" s="64"/>
      <c r="VZD60" s="64"/>
      <c r="VZE60" s="64"/>
      <c r="VZF60" s="64"/>
      <c r="VZG60" s="64"/>
      <c r="VZH60" s="64"/>
      <c r="VZI60" s="64"/>
      <c r="VZJ60" s="64"/>
      <c r="VZK60" s="64"/>
      <c r="VZL60" s="64"/>
      <c r="VZM60" s="64"/>
      <c r="VZN60" s="64"/>
      <c r="VZO60" s="64"/>
      <c r="VZP60" s="64"/>
      <c r="VZQ60" s="64"/>
      <c r="VZR60" s="64"/>
      <c r="VZS60" s="64"/>
      <c r="VZT60" s="64"/>
      <c r="VZU60" s="64"/>
      <c r="VZV60" s="64"/>
      <c r="VZW60" s="64"/>
      <c r="VZX60" s="64"/>
      <c r="VZY60" s="64"/>
      <c r="VZZ60" s="64"/>
      <c r="WAA60" s="64"/>
      <c r="WAB60" s="64"/>
      <c r="WAC60" s="64"/>
      <c r="WAD60" s="64"/>
      <c r="WAE60" s="64"/>
      <c r="WAF60" s="64"/>
      <c r="WAG60" s="64"/>
      <c r="WAH60" s="64"/>
      <c r="WAI60" s="64"/>
      <c r="WAJ60" s="64"/>
      <c r="WAK60" s="64"/>
      <c r="WAL60" s="64"/>
      <c r="WAM60" s="64"/>
      <c r="WAN60" s="64"/>
      <c r="WAO60" s="64"/>
      <c r="WAP60" s="64"/>
      <c r="WAQ60" s="64"/>
      <c r="WAR60" s="64"/>
      <c r="WAS60" s="64"/>
      <c r="WAT60" s="64"/>
      <c r="WAU60" s="64"/>
      <c r="WAV60" s="64"/>
      <c r="WAW60" s="64"/>
      <c r="WAX60" s="64"/>
      <c r="WAY60" s="64"/>
      <c r="WAZ60" s="64"/>
      <c r="WBA60" s="64"/>
      <c r="WBB60" s="64"/>
      <c r="WBC60" s="64"/>
      <c r="WBD60" s="64"/>
      <c r="WBE60" s="64"/>
      <c r="WBF60" s="64"/>
      <c r="WBG60" s="64"/>
      <c r="WBH60" s="64"/>
      <c r="WBI60" s="64"/>
      <c r="WBJ60" s="64"/>
      <c r="WBK60" s="64"/>
      <c r="WBL60" s="64"/>
      <c r="WBM60" s="64"/>
      <c r="WBN60" s="64"/>
      <c r="WBO60" s="64"/>
      <c r="WBP60" s="64"/>
      <c r="WBQ60" s="64"/>
      <c r="WBR60" s="64"/>
      <c r="WBS60" s="64"/>
      <c r="WBT60" s="64"/>
      <c r="WBU60" s="64"/>
      <c r="WBV60" s="64"/>
      <c r="WBW60" s="64"/>
      <c r="WBX60" s="64"/>
      <c r="WBY60" s="64"/>
      <c r="WBZ60" s="64"/>
      <c r="WCA60" s="64"/>
      <c r="WCB60" s="64"/>
      <c r="WCC60" s="64"/>
      <c r="WCD60" s="64"/>
      <c r="WCE60" s="64"/>
      <c r="WCF60" s="64"/>
      <c r="WCG60" s="64"/>
      <c r="WCH60" s="64"/>
      <c r="WCI60" s="64"/>
      <c r="WCJ60" s="64"/>
      <c r="WCK60" s="64"/>
      <c r="WCL60" s="64"/>
      <c r="WCM60" s="64"/>
      <c r="WCN60" s="64"/>
      <c r="WCO60" s="64"/>
      <c r="WCP60" s="64"/>
      <c r="WCQ60" s="64"/>
      <c r="WCR60" s="64"/>
      <c r="WCS60" s="64"/>
      <c r="WCT60" s="64"/>
      <c r="WCU60" s="64"/>
      <c r="WCV60" s="64"/>
      <c r="WCW60" s="64"/>
      <c r="WCX60" s="64"/>
      <c r="WCY60" s="64"/>
      <c r="WCZ60" s="64"/>
      <c r="WDA60" s="64"/>
      <c r="WDB60" s="64"/>
      <c r="WDC60" s="64"/>
      <c r="WDD60" s="64"/>
      <c r="WDE60" s="64"/>
      <c r="WDF60" s="64"/>
      <c r="WDG60" s="64"/>
      <c r="WDH60" s="64"/>
      <c r="WDI60" s="64"/>
      <c r="WDJ60" s="64"/>
      <c r="WDK60" s="64"/>
      <c r="WDL60" s="64"/>
      <c r="WDM60" s="64"/>
      <c r="WDN60" s="64"/>
      <c r="WDO60" s="64"/>
      <c r="WDP60" s="64"/>
      <c r="WDQ60" s="64"/>
      <c r="WDR60" s="64"/>
      <c r="WDS60" s="64"/>
      <c r="WDT60" s="64"/>
      <c r="WDU60" s="64"/>
      <c r="WDV60" s="64"/>
      <c r="WDW60" s="64"/>
      <c r="WDX60" s="64"/>
      <c r="WDY60" s="64"/>
      <c r="WDZ60" s="64"/>
      <c r="WEA60" s="64"/>
      <c r="WEB60" s="64"/>
      <c r="WEC60" s="64"/>
      <c r="WED60" s="64"/>
      <c r="WEE60" s="64"/>
      <c r="WEF60" s="64"/>
      <c r="WEG60" s="64"/>
      <c r="WEH60" s="64"/>
      <c r="WEI60" s="64"/>
      <c r="WEJ60" s="64"/>
      <c r="WEK60" s="64"/>
      <c r="WEL60" s="64"/>
      <c r="WEM60" s="64"/>
      <c r="WEN60" s="64"/>
      <c r="WEO60" s="64"/>
      <c r="WEP60" s="64"/>
      <c r="WEQ60" s="64"/>
      <c r="WER60" s="64"/>
      <c r="WES60" s="64"/>
      <c r="WET60" s="64"/>
      <c r="WEU60" s="64"/>
      <c r="WEV60" s="64"/>
      <c r="WEW60" s="64"/>
      <c r="WEX60" s="64"/>
      <c r="WEY60" s="64"/>
      <c r="WEZ60" s="64"/>
      <c r="WFA60" s="64"/>
      <c r="WFB60" s="64"/>
      <c r="WFC60" s="64"/>
      <c r="WFD60" s="64"/>
      <c r="WFE60" s="64"/>
      <c r="WFF60" s="64"/>
      <c r="WFG60" s="64"/>
      <c r="WFH60" s="64"/>
      <c r="WFI60" s="64"/>
      <c r="WFJ60" s="64"/>
      <c r="WFK60" s="64"/>
      <c r="WFL60" s="64"/>
      <c r="WFM60" s="64"/>
      <c r="WFN60" s="64"/>
      <c r="WFO60" s="64"/>
      <c r="WFP60" s="64"/>
      <c r="WFQ60" s="64"/>
      <c r="WFR60" s="64"/>
      <c r="WFS60" s="64"/>
      <c r="WFT60" s="64"/>
      <c r="WFU60" s="64"/>
      <c r="WFV60" s="64"/>
      <c r="WFW60" s="64"/>
      <c r="WFX60" s="64"/>
      <c r="WFY60" s="64"/>
      <c r="WFZ60" s="64"/>
      <c r="WGA60" s="64"/>
      <c r="WGB60" s="64"/>
      <c r="WGC60" s="64"/>
      <c r="WGD60" s="64"/>
      <c r="WGE60" s="64"/>
      <c r="WGF60" s="64"/>
      <c r="WGG60" s="64"/>
      <c r="WGH60" s="64"/>
      <c r="WGI60" s="64"/>
      <c r="WGJ60" s="64"/>
      <c r="WGK60" s="64"/>
      <c r="WGL60" s="64"/>
      <c r="WGM60" s="64"/>
      <c r="WGN60" s="64"/>
      <c r="WGO60" s="64"/>
      <c r="WGP60" s="64"/>
      <c r="WGQ60" s="64"/>
      <c r="WGR60" s="64"/>
      <c r="WGS60" s="64"/>
      <c r="WGT60" s="64"/>
      <c r="WGU60" s="64"/>
      <c r="WGV60" s="64"/>
      <c r="WGW60" s="64"/>
      <c r="WGX60" s="64"/>
      <c r="WGY60" s="64"/>
      <c r="WGZ60" s="64"/>
      <c r="WHA60" s="64"/>
      <c r="WHB60" s="64"/>
      <c r="WHC60" s="64"/>
      <c r="WHD60" s="64"/>
      <c r="WHE60" s="64"/>
      <c r="WHF60" s="64"/>
      <c r="WHG60" s="64"/>
      <c r="WHH60" s="64"/>
      <c r="WHI60" s="64"/>
      <c r="WHJ60" s="64"/>
      <c r="WHK60" s="64"/>
      <c r="WHL60" s="64"/>
      <c r="WHM60" s="64"/>
      <c r="WHN60" s="64"/>
      <c r="WHO60" s="64"/>
      <c r="WHP60" s="64"/>
      <c r="WHQ60" s="64"/>
      <c r="WHR60" s="64"/>
      <c r="WHS60" s="64"/>
      <c r="WHT60" s="64"/>
      <c r="WHU60" s="64"/>
      <c r="WHV60" s="64"/>
      <c r="WHW60" s="64"/>
      <c r="WHX60" s="64"/>
      <c r="WHY60" s="64"/>
      <c r="WHZ60" s="64"/>
      <c r="WIA60" s="64"/>
      <c r="WIB60" s="64"/>
      <c r="WIC60" s="64"/>
      <c r="WID60" s="64"/>
      <c r="WIE60" s="64"/>
      <c r="WIF60" s="64"/>
      <c r="WIG60" s="64"/>
      <c r="WIH60" s="64"/>
      <c r="WII60" s="64"/>
      <c r="WIJ60" s="64"/>
      <c r="WIK60" s="64"/>
      <c r="WIL60" s="64"/>
      <c r="WIM60" s="64"/>
      <c r="WIN60" s="64"/>
      <c r="WIO60" s="64"/>
      <c r="WIP60" s="64"/>
      <c r="WIQ60" s="64"/>
      <c r="WIR60" s="64"/>
      <c r="WIS60" s="64"/>
      <c r="WIT60" s="64"/>
      <c r="WIU60" s="64"/>
      <c r="WIV60" s="64"/>
      <c r="WIW60" s="64"/>
      <c r="WIX60" s="64"/>
      <c r="WIY60" s="64"/>
      <c r="WIZ60" s="64"/>
      <c r="WJA60" s="64"/>
      <c r="WJB60" s="64"/>
      <c r="WJC60" s="64"/>
      <c r="WJD60" s="64"/>
      <c r="WJE60" s="64"/>
      <c r="WJF60" s="64"/>
      <c r="WJG60" s="64"/>
      <c r="WJH60" s="64"/>
      <c r="WJI60" s="64"/>
      <c r="WJJ60" s="64"/>
      <c r="WJK60" s="64"/>
      <c r="WJL60" s="64"/>
      <c r="WJM60" s="64"/>
      <c r="WJN60" s="64"/>
      <c r="WJO60" s="64"/>
      <c r="WJP60" s="64"/>
      <c r="WJQ60" s="64"/>
      <c r="WJR60" s="64"/>
      <c r="WJS60" s="64"/>
      <c r="WJT60" s="64"/>
      <c r="WJU60" s="64"/>
      <c r="WJV60" s="64"/>
      <c r="WJW60" s="64"/>
      <c r="WJX60" s="64"/>
      <c r="WJY60" s="64"/>
      <c r="WJZ60" s="64"/>
      <c r="WKA60" s="64"/>
      <c r="WKB60" s="64"/>
      <c r="WKC60" s="64"/>
      <c r="WKD60" s="64"/>
      <c r="WKE60" s="64"/>
      <c r="WKF60" s="64"/>
      <c r="WKG60" s="64"/>
      <c r="WKH60" s="64"/>
      <c r="WKI60" s="64"/>
      <c r="WKJ60" s="64"/>
      <c r="WKK60" s="64"/>
      <c r="WKL60" s="64"/>
      <c r="WKM60" s="64"/>
      <c r="WKN60" s="64"/>
      <c r="WKO60" s="64"/>
      <c r="WKP60" s="64"/>
      <c r="WKQ60" s="64"/>
      <c r="WKR60" s="64"/>
      <c r="WKS60" s="64"/>
      <c r="WKT60" s="64"/>
      <c r="WKU60" s="64"/>
      <c r="WKV60" s="64"/>
      <c r="WKW60" s="64"/>
      <c r="WKX60" s="64"/>
      <c r="WKY60" s="64"/>
      <c r="WKZ60" s="64"/>
      <c r="WLA60" s="64"/>
      <c r="WLB60" s="64"/>
      <c r="WLC60" s="64"/>
      <c r="WLD60" s="64"/>
      <c r="WLE60" s="64"/>
      <c r="WLF60" s="64"/>
      <c r="WLG60" s="64"/>
      <c r="WLH60" s="64"/>
      <c r="WLI60" s="64"/>
      <c r="WLJ60" s="64"/>
      <c r="WLK60" s="64"/>
      <c r="WLL60" s="64"/>
      <c r="WLM60" s="64"/>
      <c r="WLN60" s="64"/>
      <c r="WLO60" s="64"/>
      <c r="WLP60" s="64"/>
      <c r="WLQ60" s="64"/>
      <c r="WLR60" s="64"/>
      <c r="WLS60" s="64"/>
      <c r="WLT60" s="64"/>
      <c r="WLU60" s="64"/>
      <c r="WLV60" s="64"/>
      <c r="WLW60" s="64"/>
      <c r="WLX60" s="64"/>
      <c r="WLY60" s="64"/>
      <c r="WLZ60" s="64"/>
      <c r="WMA60" s="64"/>
      <c r="WMB60" s="64"/>
      <c r="WMC60" s="64"/>
      <c r="WMD60" s="64"/>
      <c r="WME60" s="64"/>
      <c r="WMF60" s="64"/>
      <c r="WMG60" s="64"/>
      <c r="WMH60" s="64"/>
      <c r="WMI60" s="64"/>
      <c r="WMJ60" s="64"/>
      <c r="WMK60" s="64"/>
      <c r="WML60" s="64"/>
      <c r="WMM60" s="64"/>
      <c r="WMN60" s="64"/>
      <c r="WMO60" s="64"/>
      <c r="WMP60" s="64"/>
      <c r="WMQ60" s="64"/>
      <c r="WMR60" s="64"/>
      <c r="WMS60" s="64"/>
      <c r="WMT60" s="64"/>
      <c r="WMU60" s="64"/>
      <c r="WMV60" s="64"/>
      <c r="WMW60" s="64"/>
      <c r="WMX60" s="64"/>
      <c r="WMY60" s="64"/>
      <c r="WMZ60" s="64"/>
      <c r="WNA60" s="64"/>
      <c r="WNB60" s="64"/>
      <c r="WNC60" s="64"/>
      <c r="WND60" s="64"/>
      <c r="WNE60" s="64"/>
      <c r="WNF60" s="64"/>
      <c r="WNG60" s="64"/>
      <c r="WNH60" s="64"/>
      <c r="WNI60" s="64"/>
      <c r="WNJ60" s="64"/>
      <c r="WNK60" s="64"/>
      <c r="WNL60" s="64"/>
      <c r="WNM60" s="64"/>
      <c r="WNN60" s="64"/>
      <c r="WNO60" s="64"/>
      <c r="WNP60" s="64"/>
      <c r="WNQ60" s="64"/>
      <c r="WNR60" s="64"/>
      <c r="WNS60" s="64"/>
      <c r="WNT60" s="64"/>
      <c r="WNU60" s="64"/>
      <c r="WNV60" s="64"/>
      <c r="WNW60" s="64"/>
      <c r="WNX60" s="64"/>
      <c r="WNY60" s="64"/>
      <c r="WNZ60" s="64"/>
      <c r="WOA60" s="64"/>
      <c r="WOB60" s="64"/>
      <c r="WOC60" s="64"/>
      <c r="WOD60" s="64"/>
      <c r="WOE60" s="64"/>
      <c r="WOF60" s="64"/>
      <c r="WOG60" s="64"/>
      <c r="WOH60" s="64"/>
      <c r="WOI60" s="64"/>
      <c r="WOJ60" s="64"/>
      <c r="WOK60" s="64"/>
      <c r="WOL60" s="64"/>
      <c r="WOM60" s="64"/>
      <c r="WON60" s="64"/>
      <c r="WOO60" s="64"/>
      <c r="WOP60" s="64"/>
      <c r="WOQ60" s="64"/>
      <c r="WOR60" s="64"/>
      <c r="WOS60" s="64"/>
      <c r="WOT60" s="64"/>
      <c r="WOU60" s="64"/>
      <c r="WOV60" s="64"/>
      <c r="WOW60" s="64"/>
      <c r="WOX60" s="64"/>
      <c r="WOY60" s="64"/>
      <c r="WOZ60" s="64"/>
      <c r="WPA60" s="64"/>
      <c r="WPB60" s="64"/>
      <c r="WPC60" s="64"/>
      <c r="WPD60" s="64"/>
      <c r="WPE60" s="64"/>
      <c r="WPF60" s="64"/>
      <c r="WPG60" s="64"/>
      <c r="WPH60" s="64"/>
      <c r="WPI60" s="64"/>
      <c r="WPJ60" s="64"/>
      <c r="WPK60" s="64"/>
      <c r="WPL60" s="64"/>
      <c r="WPM60" s="64"/>
      <c r="WPN60" s="64"/>
      <c r="WPO60" s="64"/>
      <c r="WPP60" s="64"/>
      <c r="WPQ60" s="64"/>
      <c r="WPR60" s="64"/>
      <c r="WPS60" s="64"/>
      <c r="WPT60" s="64"/>
      <c r="WPU60" s="64"/>
      <c r="WPV60" s="64"/>
      <c r="WPW60" s="64"/>
      <c r="WPX60" s="64"/>
      <c r="WPY60" s="64"/>
      <c r="WPZ60" s="64"/>
      <c r="WQA60" s="64"/>
      <c r="WQB60" s="64"/>
      <c r="WQC60" s="64"/>
      <c r="WQD60" s="64"/>
      <c r="WQE60" s="64"/>
      <c r="WQF60" s="64"/>
      <c r="WQG60" s="64"/>
      <c r="WQH60" s="64"/>
      <c r="WQI60" s="64"/>
      <c r="WQJ60" s="64"/>
      <c r="WQK60" s="64"/>
      <c r="WQL60" s="64"/>
      <c r="WQM60" s="64"/>
      <c r="WQN60" s="64"/>
      <c r="WQO60" s="64"/>
      <c r="WQP60" s="64"/>
      <c r="WQQ60" s="64"/>
      <c r="WQR60" s="64"/>
      <c r="WQS60" s="64"/>
      <c r="WQT60" s="64"/>
      <c r="WQU60" s="64"/>
      <c r="WQV60" s="64"/>
      <c r="WQW60" s="64"/>
      <c r="WQX60" s="64"/>
      <c r="WQY60" s="64"/>
      <c r="WQZ60" s="64"/>
      <c r="WRA60" s="64"/>
      <c r="WRB60" s="64"/>
      <c r="WRC60" s="64"/>
      <c r="WRD60" s="64"/>
      <c r="WRE60" s="64"/>
      <c r="WRF60" s="64"/>
      <c r="WRG60" s="64"/>
      <c r="WRH60" s="64"/>
      <c r="WRI60" s="64"/>
      <c r="WRJ60" s="64"/>
      <c r="WRK60" s="64"/>
      <c r="WRL60" s="64"/>
      <c r="WRM60" s="64"/>
      <c r="WRN60" s="64"/>
      <c r="WRO60" s="64"/>
      <c r="WRP60" s="64"/>
      <c r="WRQ60" s="64"/>
      <c r="WRR60" s="64"/>
      <c r="WRS60" s="64"/>
      <c r="WRT60" s="64"/>
      <c r="WRU60" s="64"/>
      <c r="WRV60" s="64"/>
      <c r="WRW60" s="64"/>
      <c r="WRX60" s="64"/>
      <c r="WRY60" s="64"/>
      <c r="WRZ60" s="64"/>
      <c r="WSA60" s="64"/>
      <c r="WSB60" s="64"/>
      <c r="WSC60" s="64"/>
      <c r="WSD60" s="64"/>
      <c r="WSE60" s="64"/>
      <c r="WSF60" s="64"/>
      <c r="WSG60" s="64"/>
      <c r="WSH60" s="64"/>
      <c r="WSI60" s="64"/>
      <c r="WSJ60" s="64"/>
      <c r="WSK60" s="64"/>
      <c r="WSL60" s="64"/>
      <c r="WSM60" s="64"/>
      <c r="WSN60" s="64"/>
      <c r="WSO60" s="64"/>
      <c r="WSP60" s="64"/>
      <c r="WSQ60" s="64"/>
      <c r="WSR60" s="64"/>
      <c r="WSS60" s="64"/>
      <c r="WST60" s="64"/>
      <c r="WSU60" s="64"/>
      <c r="WSV60" s="64"/>
      <c r="WSW60" s="64"/>
      <c r="WSX60" s="64"/>
      <c r="WSY60" s="64"/>
      <c r="WSZ60" s="64"/>
      <c r="WTA60" s="64"/>
      <c r="WTB60" s="64"/>
      <c r="WTC60" s="64"/>
      <c r="WTD60" s="64"/>
      <c r="WTE60" s="64"/>
      <c r="WTF60" s="64"/>
      <c r="WTG60" s="64"/>
      <c r="WTH60" s="64"/>
      <c r="WTI60" s="64"/>
      <c r="WTJ60" s="64"/>
      <c r="WTK60" s="64"/>
      <c r="WTL60" s="64"/>
      <c r="WTM60" s="64"/>
      <c r="WTN60" s="64"/>
      <c r="WTO60" s="64"/>
      <c r="WTP60" s="64"/>
      <c r="WTQ60" s="64"/>
      <c r="WTR60" s="64"/>
      <c r="WTS60" s="64"/>
      <c r="WTT60" s="64"/>
      <c r="WTU60" s="64"/>
      <c r="WTV60" s="64"/>
      <c r="WTW60" s="64"/>
      <c r="WTX60" s="64"/>
      <c r="WTY60" s="64"/>
      <c r="WTZ60" s="64"/>
      <c r="WUA60" s="64"/>
      <c r="WUB60" s="64"/>
      <c r="WUC60" s="64"/>
      <c r="WUD60" s="64"/>
      <c r="WUE60" s="64"/>
      <c r="WUF60" s="64"/>
      <c r="WUG60" s="64"/>
      <c r="WUH60" s="64"/>
      <c r="WUI60" s="64"/>
      <c r="WUJ60" s="64"/>
      <c r="WUK60" s="64"/>
      <c r="WUL60" s="64"/>
      <c r="WUM60" s="64"/>
      <c r="WUN60" s="64"/>
      <c r="WUO60" s="64"/>
      <c r="WUP60" s="64"/>
      <c r="WUQ60" s="64"/>
      <c r="WUR60" s="64"/>
      <c r="WUS60" s="64"/>
      <c r="WUT60" s="64"/>
      <c r="WUU60" s="64"/>
      <c r="WUV60" s="64"/>
      <c r="WUW60" s="64"/>
      <c r="WUX60" s="64"/>
      <c r="WUY60" s="64"/>
      <c r="WUZ60" s="64"/>
      <c r="WVA60" s="64"/>
      <c r="WVB60" s="64"/>
      <c r="WVC60" s="64"/>
      <c r="WVD60" s="64"/>
      <c r="WVE60" s="64"/>
      <c r="WVF60" s="64"/>
      <c r="WVG60" s="64"/>
      <c r="WVH60" s="64"/>
      <c r="WVI60" s="64"/>
      <c r="WVJ60" s="64"/>
      <c r="WVK60" s="64"/>
      <c r="WVL60" s="64"/>
      <c r="WVM60" s="64"/>
      <c r="WVN60" s="64"/>
      <c r="WVO60" s="64"/>
      <c r="WVP60" s="64"/>
      <c r="WVQ60" s="64"/>
      <c r="WVR60" s="64"/>
      <c r="WVS60" s="64"/>
      <c r="WVT60" s="64"/>
      <c r="WVU60" s="64"/>
      <c r="WVV60" s="64"/>
      <c r="WVW60" s="64"/>
      <c r="WVX60" s="64"/>
      <c r="WVY60" s="64"/>
      <c r="WVZ60" s="64"/>
      <c r="WWA60" s="64"/>
      <c r="WWB60" s="64"/>
      <c r="WWC60" s="64"/>
      <c r="WWD60" s="64"/>
      <c r="WWE60" s="64"/>
      <c r="WWF60" s="64"/>
      <c r="WWG60" s="64"/>
      <c r="WWH60" s="64"/>
      <c r="WWI60" s="64"/>
      <c r="WWJ60" s="64"/>
      <c r="WWK60" s="64"/>
      <c r="WWL60" s="64"/>
      <c r="WWM60" s="64"/>
      <c r="WWN60" s="64"/>
      <c r="WWO60" s="64"/>
      <c r="WWP60" s="64"/>
      <c r="WWQ60" s="64"/>
      <c r="WWR60" s="64"/>
      <c r="WWS60" s="64"/>
      <c r="WWT60" s="64"/>
      <c r="WWU60" s="64"/>
      <c r="WWV60" s="64"/>
      <c r="WWW60" s="64"/>
      <c r="WWX60" s="64"/>
      <c r="WWY60" s="64"/>
      <c r="WWZ60" s="64"/>
      <c r="WXA60" s="64"/>
      <c r="WXB60" s="64"/>
      <c r="WXC60" s="64"/>
      <c r="WXD60" s="64"/>
      <c r="WXE60" s="64"/>
      <c r="WXF60" s="64"/>
      <c r="WXG60" s="64"/>
      <c r="WXH60" s="64"/>
      <c r="WXI60" s="64"/>
      <c r="WXJ60" s="64"/>
      <c r="WXK60" s="64"/>
      <c r="WXL60" s="64"/>
      <c r="WXM60" s="64"/>
      <c r="WXN60" s="64"/>
      <c r="WXO60" s="64"/>
      <c r="WXP60" s="64"/>
      <c r="WXQ60" s="64"/>
      <c r="WXR60" s="64"/>
      <c r="WXS60" s="64"/>
      <c r="WXT60" s="64"/>
      <c r="WXU60" s="64"/>
      <c r="WXV60" s="64"/>
      <c r="WXW60" s="64"/>
      <c r="WXX60" s="64"/>
      <c r="WXY60" s="64"/>
      <c r="WXZ60" s="64"/>
      <c r="WYA60" s="64"/>
      <c r="WYB60" s="64"/>
      <c r="WYC60" s="64"/>
      <c r="WYD60" s="64"/>
      <c r="WYE60" s="64"/>
      <c r="WYF60" s="64"/>
      <c r="WYG60" s="64"/>
      <c r="WYH60" s="64"/>
      <c r="WYI60" s="64"/>
      <c r="WYJ60" s="64"/>
      <c r="WYK60" s="64"/>
      <c r="WYL60" s="64"/>
      <c r="WYM60" s="64"/>
      <c r="WYN60" s="64"/>
      <c r="WYO60" s="64"/>
      <c r="WYP60" s="64"/>
      <c r="WYQ60" s="64"/>
      <c r="WYR60" s="64"/>
      <c r="WYS60" s="64"/>
      <c r="WYT60" s="64"/>
      <c r="WYU60" s="64"/>
      <c r="WYV60" s="64"/>
      <c r="WYW60" s="64"/>
      <c r="WYX60" s="64"/>
      <c r="WYY60" s="64"/>
      <c r="WYZ60" s="64"/>
      <c r="WZA60" s="64"/>
      <c r="WZB60" s="64"/>
      <c r="WZC60" s="64"/>
      <c r="WZD60" s="64"/>
      <c r="WZE60" s="64"/>
      <c r="WZF60" s="64"/>
      <c r="WZG60" s="64"/>
      <c r="WZH60" s="64"/>
      <c r="WZI60" s="64"/>
      <c r="WZJ60" s="64"/>
      <c r="WZK60" s="64"/>
      <c r="WZL60" s="64"/>
      <c r="WZM60" s="64"/>
      <c r="WZN60" s="64"/>
      <c r="WZO60" s="64"/>
      <c r="WZP60" s="64"/>
      <c r="WZQ60" s="64"/>
      <c r="WZR60" s="64"/>
      <c r="WZS60" s="64"/>
      <c r="WZT60" s="64"/>
      <c r="WZU60" s="64"/>
      <c r="WZV60" s="64"/>
      <c r="WZW60" s="64"/>
      <c r="WZX60" s="64"/>
      <c r="WZY60" s="64"/>
      <c r="WZZ60" s="64"/>
      <c r="XAA60" s="64"/>
      <c r="XAB60" s="64"/>
      <c r="XAC60" s="64"/>
      <c r="XAD60" s="64"/>
      <c r="XAE60" s="64"/>
      <c r="XAF60" s="64"/>
      <c r="XAG60" s="64"/>
      <c r="XAH60" s="64"/>
      <c r="XAI60" s="64"/>
      <c r="XAJ60" s="64"/>
      <c r="XAK60" s="64"/>
      <c r="XAL60" s="64"/>
      <c r="XAM60" s="64"/>
      <c r="XAN60" s="64"/>
      <c r="XAO60" s="64"/>
      <c r="XAP60" s="64"/>
      <c r="XAQ60" s="64"/>
      <c r="XAR60" s="64"/>
      <c r="XAS60" s="64"/>
      <c r="XAT60" s="64"/>
      <c r="XAU60" s="64"/>
      <c r="XAV60" s="64"/>
      <c r="XAW60" s="64"/>
      <c r="XAX60" s="64"/>
      <c r="XAY60" s="64"/>
      <c r="XAZ60" s="64"/>
      <c r="XBA60" s="64"/>
      <c r="XBB60" s="64"/>
      <c r="XBC60" s="64"/>
      <c r="XBD60" s="64"/>
      <c r="XBE60" s="64"/>
      <c r="XBF60" s="64"/>
      <c r="XBG60" s="64"/>
      <c r="XBH60" s="64"/>
      <c r="XBI60" s="64"/>
      <c r="XBJ60" s="64"/>
      <c r="XBK60" s="64"/>
      <c r="XBL60" s="64"/>
      <c r="XBM60" s="64"/>
      <c r="XBN60" s="64"/>
      <c r="XBO60" s="64"/>
      <c r="XBP60" s="64"/>
      <c r="XBQ60" s="64"/>
      <c r="XBR60" s="64"/>
      <c r="XBS60" s="64"/>
      <c r="XBT60" s="64"/>
      <c r="XBU60" s="64"/>
      <c r="XBV60" s="64"/>
      <c r="XBW60" s="64"/>
      <c r="XBX60" s="64"/>
      <c r="XBY60" s="64"/>
      <c r="XBZ60" s="64"/>
      <c r="XCA60" s="64"/>
      <c r="XCB60" s="64"/>
      <c r="XCC60" s="64"/>
      <c r="XCD60" s="64"/>
      <c r="XCE60" s="64"/>
      <c r="XCF60" s="64"/>
      <c r="XCG60" s="64"/>
      <c r="XCH60" s="64"/>
      <c r="XCI60" s="64"/>
      <c r="XCJ60" s="64"/>
      <c r="XCK60" s="64"/>
      <c r="XCL60" s="64"/>
      <c r="XCM60" s="64"/>
      <c r="XCN60" s="64"/>
      <c r="XCO60" s="64"/>
      <c r="XCP60" s="64"/>
      <c r="XCQ60" s="64"/>
      <c r="XCR60" s="64"/>
      <c r="XCS60" s="64"/>
      <c r="XCT60" s="64"/>
      <c r="XCU60" s="64"/>
      <c r="XCV60" s="64"/>
      <c r="XCW60" s="64"/>
      <c r="XCX60" s="64"/>
      <c r="XCY60" s="64"/>
      <c r="XCZ60" s="64"/>
      <c r="XDA60" s="64"/>
      <c r="XDB60" s="64"/>
      <c r="XDC60" s="64"/>
      <c r="XDD60" s="64"/>
      <c r="XDE60" s="64"/>
      <c r="XDF60" s="64"/>
      <c r="XDG60" s="64"/>
      <c r="XDH60" s="64"/>
      <c r="XDI60" s="64"/>
      <c r="XDJ60" s="64"/>
      <c r="XDK60" s="64"/>
      <c r="XDL60" s="64"/>
      <c r="XDM60" s="64"/>
      <c r="XDN60" s="64"/>
      <c r="XDO60" s="64"/>
      <c r="XDP60" s="64"/>
      <c r="XDQ60" s="64"/>
      <c r="XDR60" s="64"/>
      <c r="XDS60" s="64"/>
      <c r="XDT60" s="64"/>
      <c r="XDU60" s="64"/>
      <c r="XDV60" s="64"/>
      <c r="XDW60" s="64"/>
      <c r="XDX60" s="64"/>
      <c r="XDY60" s="64"/>
      <c r="XDZ60" s="64"/>
      <c r="XEA60" s="64"/>
      <c r="XEB60" s="64"/>
      <c r="XEC60" s="64"/>
      <c r="XED60" s="64"/>
      <c r="XEE60" s="64"/>
      <c r="XEF60" s="64"/>
      <c r="XEG60" s="64"/>
      <c r="XEH60" s="64"/>
      <c r="XEI60" s="64"/>
      <c r="XEJ60" s="64"/>
      <c r="XEK60" s="64"/>
      <c r="XEL60" s="64"/>
      <c r="XEM60" s="64"/>
      <c r="XEN60" s="64"/>
      <c r="XEO60" s="64"/>
      <c r="XEP60" s="64"/>
      <c r="XEQ60" s="64"/>
      <c r="XER60" s="64"/>
      <c r="XES60" s="64"/>
      <c r="XET60" s="64"/>
      <c r="XEU60" s="64"/>
      <c r="XEV60" s="64"/>
      <c r="XEW60" s="64"/>
      <c r="XEX60" s="64"/>
      <c r="XEY60" s="64"/>
      <c r="XEZ60" s="64"/>
      <c r="XFA60" s="64"/>
      <c r="XFB60" s="64"/>
      <c r="XFC60" s="64"/>
      <c r="XFD60" s="64"/>
    </row>
    <row r="61" ht="25.95" customHeight="1" spans="1:16">
      <c r="A61" s="1" t="s">
        <v>157</v>
      </c>
      <c r="B61" s="221" t="s">
        <v>214</v>
      </c>
      <c r="C61" s="1">
        <v>10</v>
      </c>
      <c r="D61" s="1"/>
      <c r="E61" s="1"/>
      <c r="F61" s="1">
        <v>4</v>
      </c>
      <c r="G61" s="1"/>
      <c r="H61" s="1"/>
      <c r="I61" s="1"/>
      <c r="J61" s="1"/>
      <c r="K61" s="1"/>
      <c r="L61" s="1"/>
      <c r="M61" s="1"/>
      <c r="N61" s="1"/>
      <c r="O61" s="1"/>
      <c r="P61" s="1"/>
    </row>
    <row r="62" ht="25.95" customHeight="1" spans="1:16">
      <c r="A62" s="1" t="s">
        <v>167</v>
      </c>
      <c r="B62" s="221" t="s">
        <v>215</v>
      </c>
      <c r="C62" s="1"/>
      <c r="D62" s="1"/>
      <c r="E62" s="1"/>
      <c r="F62" s="1">
        <v>2</v>
      </c>
      <c r="G62" s="1">
        <v>8</v>
      </c>
      <c r="H62" s="1"/>
      <c r="I62" s="1"/>
      <c r="J62" s="1"/>
      <c r="K62" s="1"/>
      <c r="L62" s="1"/>
      <c r="M62" s="1"/>
      <c r="N62" s="1"/>
      <c r="O62" s="1"/>
      <c r="P62" s="1"/>
    </row>
    <row r="63" ht="25.95" customHeight="1" spans="1:16">
      <c r="A63" s="1" t="s">
        <v>162</v>
      </c>
      <c r="B63" s="221" t="s">
        <v>216</v>
      </c>
      <c r="C63" s="1"/>
      <c r="D63" s="1"/>
      <c r="E63" s="1"/>
      <c r="F63" s="1">
        <v>2</v>
      </c>
      <c r="G63" s="1">
        <v>8</v>
      </c>
      <c r="H63" s="1"/>
      <c r="I63" s="1"/>
      <c r="J63" s="1"/>
      <c r="K63" s="1"/>
      <c r="L63" s="1"/>
      <c r="M63" s="1"/>
      <c r="N63" s="1"/>
      <c r="O63" s="1"/>
      <c r="P63" s="1"/>
    </row>
    <row r="64" ht="25.95" customHeight="1" spans="1:16">
      <c r="A64" s="1" t="s">
        <v>167</v>
      </c>
      <c r="B64" s="221" t="s">
        <v>217</v>
      </c>
      <c r="C64" s="1">
        <v>6</v>
      </c>
      <c r="D64" s="1"/>
      <c r="E64" s="1"/>
      <c r="F64" s="1">
        <v>2</v>
      </c>
      <c r="G64" s="1"/>
      <c r="H64" s="1"/>
      <c r="I64" s="1"/>
      <c r="J64" s="1"/>
      <c r="K64" s="1"/>
      <c r="L64" s="1"/>
      <c r="M64" s="1"/>
      <c r="N64" s="1"/>
      <c r="O64" s="1"/>
      <c r="P64" s="1"/>
    </row>
    <row r="65" ht="25.95" customHeight="1" spans="1:16">
      <c r="A65" s="1" t="s">
        <v>162</v>
      </c>
      <c r="B65" s="221" t="s">
        <v>218</v>
      </c>
      <c r="C65" s="1">
        <v>8</v>
      </c>
      <c r="D65" s="1"/>
      <c r="E65" s="1"/>
      <c r="F65" s="1">
        <v>2</v>
      </c>
      <c r="G65" s="1"/>
      <c r="H65" s="1"/>
      <c r="I65" s="1"/>
      <c r="J65" s="1"/>
      <c r="K65" s="1"/>
      <c r="L65" s="1"/>
      <c r="M65" s="1"/>
      <c r="N65" s="1"/>
      <c r="O65" s="1"/>
      <c r="P65" s="1"/>
    </row>
    <row r="66" ht="25.95" customHeight="1" spans="1:16">
      <c r="A66" s="1" t="s">
        <v>149</v>
      </c>
      <c r="B66" s="221" t="s">
        <v>219</v>
      </c>
      <c r="C66" s="1"/>
      <c r="D66" s="1"/>
      <c r="E66" s="1"/>
      <c r="F66" s="1"/>
      <c r="G66" s="1">
        <v>36</v>
      </c>
      <c r="H66" s="1"/>
      <c r="I66" s="1"/>
      <c r="J66" s="1"/>
      <c r="K66" s="1"/>
      <c r="L66" s="1"/>
      <c r="M66" s="1"/>
      <c r="N66" s="1"/>
      <c r="O66" s="1"/>
      <c r="P66" s="1"/>
    </row>
    <row r="67" ht="25.95" customHeight="1" spans="1:16">
      <c r="A67" s="1" t="s">
        <v>151</v>
      </c>
      <c r="B67" s="221" t="s">
        <v>220</v>
      </c>
      <c r="C67" s="1"/>
      <c r="D67" s="1"/>
      <c r="E67" s="1"/>
      <c r="F67" s="1"/>
      <c r="G67" s="1">
        <v>26</v>
      </c>
      <c r="H67" s="1"/>
      <c r="I67" s="1"/>
      <c r="J67" s="1"/>
      <c r="K67" s="1"/>
      <c r="L67" s="1"/>
      <c r="M67" s="1"/>
      <c r="N67" s="1"/>
      <c r="O67" s="1"/>
      <c r="P67" s="1"/>
    </row>
    <row r="68" ht="25.95" customHeight="1" spans="1:16">
      <c r="A68" s="1" t="s">
        <v>155</v>
      </c>
      <c r="B68" s="221" t="s">
        <v>221</v>
      </c>
      <c r="C68" s="1"/>
      <c r="D68" s="1"/>
      <c r="E68" s="1"/>
      <c r="F68" s="1"/>
      <c r="G68" s="1">
        <v>22</v>
      </c>
      <c r="H68" s="1"/>
      <c r="I68" s="1"/>
      <c r="J68" s="1"/>
      <c r="K68" s="1"/>
      <c r="L68" s="1"/>
      <c r="M68" s="1"/>
      <c r="N68" s="1"/>
      <c r="O68" s="1"/>
      <c r="P68" s="1"/>
    </row>
    <row r="69" ht="25.95" customHeight="1" spans="1:16">
      <c r="A69" s="1" t="s">
        <v>157</v>
      </c>
      <c r="B69" s="221" t="s">
        <v>222</v>
      </c>
      <c r="C69" s="1"/>
      <c r="D69" s="1"/>
      <c r="E69" s="1"/>
      <c r="F69" s="1"/>
      <c r="G69" s="1">
        <v>16</v>
      </c>
      <c r="H69" s="1"/>
      <c r="I69" s="1"/>
      <c r="J69" s="1"/>
      <c r="K69" s="1"/>
      <c r="L69" s="1"/>
      <c r="M69" s="1"/>
      <c r="N69" s="1"/>
      <c r="O69" s="1"/>
      <c r="P69" s="1"/>
    </row>
    <row r="70" ht="25.95" customHeight="1" spans="1:16">
      <c r="A70" s="1" t="s">
        <v>162</v>
      </c>
      <c r="B70" s="221" t="s">
        <v>223</v>
      </c>
      <c r="C70" s="1"/>
      <c r="D70" s="1"/>
      <c r="E70" s="1"/>
      <c r="F70" s="1"/>
      <c r="G70" s="1">
        <v>12</v>
      </c>
      <c r="H70" s="1"/>
      <c r="I70" s="1"/>
      <c r="J70" s="1"/>
      <c r="K70" s="1"/>
      <c r="L70" s="1"/>
      <c r="M70" s="1"/>
      <c r="N70" s="1"/>
      <c r="O70" s="1"/>
      <c r="P70" s="1"/>
    </row>
    <row r="71" ht="25.95" customHeight="1" spans="1:16">
      <c r="A71" s="1" t="s">
        <v>167</v>
      </c>
      <c r="B71" s="221" t="s">
        <v>224</v>
      </c>
      <c r="C71" s="1"/>
      <c r="D71" s="1"/>
      <c r="E71" s="1"/>
      <c r="F71" s="1"/>
      <c r="G71" s="1">
        <v>10</v>
      </c>
      <c r="H71" s="1"/>
      <c r="I71" s="1"/>
      <c r="J71" s="1"/>
      <c r="K71" s="1"/>
      <c r="L71" s="1"/>
      <c r="M71" s="1"/>
      <c r="N71" s="1"/>
      <c r="O71" s="1"/>
      <c r="P71" s="1"/>
    </row>
    <row r="72" ht="25.95" customHeight="1" spans="1:16">
      <c r="A72" s="1" t="s">
        <v>162</v>
      </c>
      <c r="B72" s="221" t="s">
        <v>225</v>
      </c>
      <c r="C72" s="1">
        <v>2</v>
      </c>
      <c r="D72" s="1"/>
      <c r="E72" s="1"/>
      <c r="F72" s="1"/>
      <c r="G72" s="1">
        <v>10</v>
      </c>
      <c r="H72" s="1"/>
      <c r="I72" s="1"/>
      <c r="J72" s="1"/>
      <c r="K72" s="1"/>
      <c r="L72" s="1"/>
      <c r="M72" s="1"/>
      <c r="N72" s="1"/>
      <c r="O72" s="1"/>
      <c r="P72" s="1"/>
    </row>
    <row r="73" ht="25.95" customHeight="1" spans="1:16">
      <c r="A73" s="1" t="s">
        <v>162</v>
      </c>
      <c r="B73" s="221" t="s">
        <v>226</v>
      </c>
      <c r="C73" s="1"/>
      <c r="D73" s="1"/>
      <c r="E73" s="1"/>
      <c r="F73" s="1"/>
      <c r="G73" s="1">
        <v>10</v>
      </c>
      <c r="H73" s="1"/>
      <c r="I73" s="1"/>
      <c r="J73" s="1"/>
      <c r="K73" s="1">
        <v>2</v>
      </c>
      <c r="L73" s="1"/>
      <c r="M73" s="1"/>
      <c r="N73" s="1"/>
      <c r="O73" s="1"/>
      <c r="P73" s="1"/>
    </row>
    <row r="74" ht="25.95" customHeight="1" spans="1:16">
      <c r="A74" s="1" t="s">
        <v>155</v>
      </c>
      <c r="B74" s="221" t="s">
        <v>227</v>
      </c>
      <c r="C74" s="1">
        <v>12</v>
      </c>
      <c r="D74" s="1"/>
      <c r="E74" s="1"/>
      <c r="F74" s="1"/>
      <c r="G74" s="1">
        <v>6</v>
      </c>
      <c r="H74" s="1"/>
      <c r="I74" s="1"/>
      <c r="J74" s="1"/>
      <c r="K74" s="1"/>
      <c r="L74" s="1"/>
      <c r="M74" s="1"/>
      <c r="N74" s="1"/>
      <c r="O74" s="1"/>
      <c r="P74" s="1"/>
    </row>
    <row r="75" ht="25.95" customHeight="1" spans="1:16">
      <c r="A75" s="1" t="s">
        <v>173</v>
      </c>
      <c r="B75" s="221" t="s">
        <v>228</v>
      </c>
      <c r="C75" s="1"/>
      <c r="D75" s="1"/>
      <c r="E75" s="1"/>
      <c r="F75" s="1"/>
      <c r="G75" s="1">
        <v>6</v>
      </c>
      <c r="H75" s="1"/>
      <c r="I75" s="1"/>
      <c r="J75" s="1"/>
      <c r="K75" s="1"/>
      <c r="L75" s="1"/>
      <c r="M75" s="1"/>
      <c r="N75" s="1"/>
      <c r="O75" s="1"/>
      <c r="P75" s="1"/>
    </row>
    <row r="76" ht="25.95" customHeight="1" spans="1:16">
      <c r="A76" s="1" t="s">
        <v>162</v>
      </c>
      <c r="B76" s="221" t="s">
        <v>229</v>
      </c>
      <c r="C76" s="1">
        <v>8</v>
      </c>
      <c r="D76" s="1"/>
      <c r="E76" s="1"/>
      <c r="F76" s="1"/>
      <c r="G76" s="1">
        <v>4</v>
      </c>
      <c r="H76" s="1"/>
      <c r="I76" s="1"/>
      <c r="J76" s="1"/>
      <c r="K76" s="1"/>
      <c r="L76" s="1"/>
      <c r="M76" s="1"/>
      <c r="N76" s="1"/>
      <c r="O76" s="1"/>
      <c r="P76" s="1"/>
    </row>
    <row r="77" ht="25.95" customHeight="1" spans="1:16">
      <c r="A77" s="1" t="s">
        <v>162</v>
      </c>
      <c r="B77" s="221" t="s">
        <v>230</v>
      </c>
      <c r="C77" s="1"/>
      <c r="D77" s="1"/>
      <c r="E77" s="1"/>
      <c r="F77" s="1"/>
      <c r="G77" s="1">
        <v>4</v>
      </c>
      <c r="H77" s="1"/>
      <c r="I77" s="1"/>
      <c r="J77" s="1"/>
      <c r="K77" s="1">
        <v>8</v>
      </c>
      <c r="L77" s="1"/>
      <c r="M77" s="1"/>
      <c r="N77" s="1"/>
      <c r="O77" s="1"/>
      <c r="P77" s="1"/>
    </row>
    <row r="78" ht="25.95" customHeight="1" spans="1:16">
      <c r="A78" s="1" t="s">
        <v>167</v>
      </c>
      <c r="B78" s="221" t="s">
        <v>231</v>
      </c>
      <c r="C78" s="1">
        <v>6</v>
      </c>
      <c r="D78" s="1"/>
      <c r="E78" s="1"/>
      <c r="F78" s="1"/>
      <c r="G78" s="1">
        <v>2</v>
      </c>
      <c r="H78" s="1"/>
      <c r="I78" s="1"/>
      <c r="J78" s="1"/>
      <c r="K78" s="1"/>
      <c r="L78" s="1"/>
      <c r="M78" s="1"/>
      <c r="N78" s="1"/>
      <c r="O78" s="1"/>
      <c r="P78" s="1"/>
    </row>
    <row r="79" ht="25.95" customHeight="1" spans="1:16">
      <c r="A79" s="1" t="s">
        <v>173</v>
      </c>
      <c r="B79" s="221" t="s">
        <v>232</v>
      </c>
      <c r="C79" s="1"/>
      <c r="D79" s="1"/>
      <c r="E79" s="1"/>
      <c r="F79" s="1"/>
      <c r="G79" s="1">
        <v>2</v>
      </c>
      <c r="H79" s="1"/>
      <c r="I79" s="1"/>
      <c r="J79" s="1"/>
      <c r="K79" s="1">
        <v>2</v>
      </c>
      <c r="L79" s="1"/>
      <c r="M79" s="1"/>
      <c r="N79" s="1"/>
      <c r="O79" s="1"/>
      <c r="P79" s="1"/>
    </row>
    <row r="80" ht="25.95" customHeight="1" spans="1:16">
      <c r="A80" s="1" t="s">
        <v>173</v>
      </c>
      <c r="B80" s="221" t="s">
        <v>233</v>
      </c>
      <c r="C80" s="1"/>
      <c r="D80" s="1"/>
      <c r="E80" s="1"/>
      <c r="F80" s="1"/>
      <c r="G80" s="1">
        <v>2</v>
      </c>
      <c r="H80" s="1"/>
      <c r="I80" s="1"/>
      <c r="J80" s="1">
        <v>2</v>
      </c>
      <c r="K80" s="1"/>
      <c r="L80" s="1"/>
      <c r="M80" s="1"/>
      <c r="N80" s="1"/>
      <c r="O80" s="1"/>
      <c r="P80" s="1"/>
    </row>
    <row r="81" ht="25.95" customHeight="1" spans="1:16">
      <c r="A81" s="1" t="s">
        <v>173</v>
      </c>
      <c r="B81" s="221" t="s">
        <v>234</v>
      </c>
      <c r="C81" s="1"/>
      <c r="D81" s="1"/>
      <c r="E81" s="1"/>
      <c r="F81" s="1"/>
      <c r="G81" s="1">
        <v>2</v>
      </c>
      <c r="H81" s="1"/>
      <c r="I81" s="1"/>
      <c r="J81" s="1"/>
      <c r="K81" s="1"/>
      <c r="L81" s="1"/>
      <c r="M81" s="1"/>
      <c r="N81" s="1"/>
      <c r="O81" s="1"/>
      <c r="P81" s="1"/>
    </row>
    <row r="82" ht="25.95" customHeight="1" spans="1:16">
      <c r="A82" s="1" t="s">
        <v>167</v>
      </c>
      <c r="B82" s="221" t="s">
        <v>235</v>
      </c>
      <c r="C82" s="1">
        <v>6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25.95" customHeight="1" spans="1:16">
      <c r="A83" s="1" t="s">
        <v>167</v>
      </c>
      <c r="B83" s="221" t="s">
        <v>236</v>
      </c>
      <c r="C83" s="1">
        <v>6</v>
      </c>
      <c r="D83" s="1"/>
      <c r="E83" s="1"/>
      <c r="F83" s="1"/>
      <c r="G83" s="1"/>
      <c r="H83" s="1"/>
      <c r="I83" s="1"/>
      <c r="J83" s="1">
        <v>2</v>
      </c>
      <c r="K83" s="1"/>
      <c r="L83" s="1"/>
      <c r="M83" s="1"/>
      <c r="N83" s="1"/>
      <c r="O83" s="1"/>
      <c r="P83" s="1"/>
    </row>
    <row r="84" ht="25.95" customHeight="1" spans="1:16">
      <c r="A84" s="1" t="s">
        <v>167</v>
      </c>
      <c r="B84" s="221" t="s">
        <v>237</v>
      </c>
      <c r="C84" s="1"/>
      <c r="D84" s="1"/>
      <c r="E84" s="1"/>
      <c r="F84" s="1"/>
      <c r="G84" s="1"/>
      <c r="H84" s="1"/>
      <c r="I84" s="1"/>
      <c r="J84" s="1">
        <v>2</v>
      </c>
      <c r="K84" s="1"/>
      <c r="L84" s="1">
        <v>12</v>
      </c>
      <c r="M84" s="1"/>
      <c r="N84" s="1"/>
      <c r="O84" s="1"/>
      <c r="P84" s="1"/>
    </row>
    <row r="85" ht="25.95" customHeight="1" spans="1:16">
      <c r="A85" s="1" t="s">
        <v>167</v>
      </c>
      <c r="B85" s="221" t="s">
        <v>238</v>
      </c>
      <c r="C85" s="1"/>
      <c r="D85" s="1"/>
      <c r="E85" s="1"/>
      <c r="F85" s="1"/>
      <c r="G85" s="1"/>
      <c r="H85" s="1"/>
      <c r="I85" s="1"/>
      <c r="J85" s="1">
        <v>6</v>
      </c>
      <c r="K85" s="1">
        <v>2</v>
      </c>
      <c r="L85" s="1"/>
      <c r="M85" s="1"/>
      <c r="N85" s="1"/>
      <c r="O85" s="1"/>
      <c r="P85" s="1"/>
    </row>
    <row r="86" ht="25.95" customHeight="1" spans="1:16">
      <c r="A86" s="1" t="s">
        <v>167</v>
      </c>
      <c r="B86" s="221" t="s">
        <v>239</v>
      </c>
      <c r="C86" s="1"/>
      <c r="D86" s="1"/>
      <c r="E86" s="1"/>
      <c r="F86" s="1"/>
      <c r="G86" s="1"/>
      <c r="H86" s="1"/>
      <c r="I86" s="1"/>
      <c r="J86" s="1"/>
      <c r="K86" s="1"/>
      <c r="L86" s="1">
        <v>14</v>
      </c>
      <c r="M86" s="1"/>
      <c r="N86" s="1"/>
      <c r="O86" s="1"/>
      <c r="P86" s="1"/>
    </row>
    <row r="87" ht="25.95" customHeight="1" spans="1:16">
      <c r="A87" s="1" t="s">
        <v>167</v>
      </c>
      <c r="B87" s="221" t="s">
        <v>240</v>
      </c>
      <c r="C87" s="1"/>
      <c r="D87" s="1"/>
      <c r="E87" s="1"/>
      <c r="F87" s="1"/>
      <c r="G87" s="1"/>
      <c r="H87" s="1"/>
      <c r="I87" s="1">
        <v>6</v>
      </c>
      <c r="J87" s="1"/>
      <c r="K87" s="1"/>
      <c r="L87" s="1"/>
      <c r="M87" s="1"/>
      <c r="N87" s="1"/>
      <c r="O87" s="1"/>
      <c r="P87" s="1"/>
    </row>
    <row r="88" ht="25.95" customHeight="1" spans="1:16">
      <c r="A88" s="1" t="s">
        <v>167</v>
      </c>
      <c r="B88" s="221" t="s">
        <v>241</v>
      </c>
      <c r="C88" s="1"/>
      <c r="D88" s="1"/>
      <c r="E88" s="1"/>
      <c r="F88" s="1"/>
      <c r="G88" s="1"/>
      <c r="H88" s="1">
        <v>10</v>
      </c>
      <c r="I88" s="1"/>
      <c r="J88" s="1"/>
      <c r="K88" s="1"/>
      <c r="L88" s="1"/>
      <c r="M88" s="1"/>
      <c r="N88" s="1"/>
      <c r="O88" s="1"/>
      <c r="P88" s="1"/>
    </row>
    <row r="89" ht="25.95" customHeight="1" spans="1:16">
      <c r="A89" s="1" t="s">
        <v>167</v>
      </c>
      <c r="B89" s="221" t="s">
        <v>242</v>
      </c>
      <c r="C89" s="1"/>
      <c r="D89" s="1"/>
      <c r="E89" s="1"/>
      <c r="F89" s="1"/>
      <c r="G89" s="1"/>
      <c r="H89" s="1">
        <v>8</v>
      </c>
      <c r="I89" s="1">
        <v>2</v>
      </c>
      <c r="J89" s="1"/>
      <c r="K89" s="1"/>
      <c r="L89" s="1"/>
      <c r="M89" s="1"/>
      <c r="N89" s="1"/>
      <c r="O89" s="1"/>
      <c r="P89" s="1"/>
    </row>
    <row r="90" ht="25.95" customHeight="1" spans="1:16">
      <c r="A90" s="1" t="s">
        <v>167</v>
      </c>
      <c r="B90" s="221" t="s">
        <v>243</v>
      </c>
      <c r="C90" s="1"/>
      <c r="D90" s="1"/>
      <c r="E90" s="1"/>
      <c r="F90" s="1"/>
      <c r="G90" s="1"/>
      <c r="H90" s="1"/>
      <c r="I90" s="1"/>
      <c r="J90" s="1"/>
      <c r="K90" s="1">
        <v>6</v>
      </c>
      <c r="L90" s="1"/>
      <c r="M90" s="1"/>
      <c r="N90" s="1"/>
      <c r="O90" s="1"/>
      <c r="P90" s="1"/>
    </row>
    <row r="91" ht="25.95" customHeight="1" spans="1:16">
      <c r="A91" s="1" t="s">
        <v>167</v>
      </c>
      <c r="B91" s="221" t="s">
        <v>244</v>
      </c>
      <c r="C91" s="1"/>
      <c r="D91" s="1"/>
      <c r="E91" s="1"/>
      <c r="F91" s="1"/>
      <c r="G91" s="1"/>
      <c r="H91" s="1"/>
      <c r="I91" s="1"/>
      <c r="J91" s="1">
        <v>2</v>
      </c>
      <c r="K91" s="1">
        <v>6</v>
      </c>
      <c r="L91" s="1"/>
      <c r="M91" s="1"/>
      <c r="N91" s="1"/>
      <c r="O91" s="1"/>
      <c r="P91" s="1"/>
    </row>
    <row r="92" ht="25.95" customHeight="1" spans="1:16">
      <c r="A92" s="1" t="s">
        <v>167</v>
      </c>
      <c r="B92" s="221" t="s">
        <v>245</v>
      </c>
      <c r="C92" s="1"/>
      <c r="D92" s="1"/>
      <c r="E92" s="1"/>
      <c r="F92" s="1"/>
      <c r="G92" s="1"/>
      <c r="H92" s="1"/>
      <c r="I92" s="1"/>
      <c r="J92" s="1">
        <v>6</v>
      </c>
      <c r="K92" s="1"/>
      <c r="L92" s="1"/>
      <c r="M92" s="1"/>
      <c r="N92" s="1"/>
      <c r="O92" s="1"/>
      <c r="P92" s="1"/>
    </row>
    <row r="93" ht="25.95" customHeight="1" spans="1:16">
      <c r="A93" s="1" t="s">
        <v>149</v>
      </c>
      <c r="B93" s="221" t="s">
        <v>246</v>
      </c>
      <c r="C93" s="1">
        <v>26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25.95" customHeight="1" spans="1:16">
      <c r="A94" s="1" t="s">
        <v>149</v>
      </c>
      <c r="B94" s="221" t="s">
        <v>247</v>
      </c>
      <c r="C94" s="1"/>
      <c r="D94" s="1"/>
      <c r="E94" s="1"/>
      <c r="F94" s="1"/>
      <c r="G94" s="1"/>
      <c r="H94" s="1"/>
      <c r="I94" s="1">
        <v>26</v>
      </c>
      <c r="J94" s="1"/>
      <c r="K94" s="1"/>
      <c r="L94" s="1"/>
      <c r="M94" s="1"/>
      <c r="N94" s="1"/>
      <c r="O94" s="1"/>
      <c r="P94" s="1"/>
    </row>
    <row r="95" ht="25.95" customHeight="1" spans="1:16">
      <c r="A95" s="1" t="s">
        <v>149</v>
      </c>
      <c r="B95" s="221" t="s">
        <v>248</v>
      </c>
      <c r="C95" s="1"/>
      <c r="D95" s="1"/>
      <c r="E95" s="1"/>
      <c r="F95" s="1"/>
      <c r="G95" s="1"/>
      <c r="H95" s="1"/>
      <c r="I95" s="1"/>
      <c r="J95" s="1">
        <v>20</v>
      </c>
      <c r="K95" s="1">
        <v>8</v>
      </c>
      <c r="L95" s="1"/>
      <c r="M95" s="1"/>
      <c r="N95" s="1"/>
      <c r="O95" s="1"/>
      <c r="P95" s="1"/>
    </row>
    <row r="96" ht="25.95" customHeight="1" spans="1:16">
      <c r="A96" s="1" t="s">
        <v>149</v>
      </c>
      <c r="B96" s="221" t="s">
        <v>249</v>
      </c>
      <c r="C96" s="1"/>
      <c r="D96" s="1"/>
      <c r="E96" s="1"/>
      <c r="F96" s="1"/>
      <c r="G96" s="1"/>
      <c r="H96" s="1"/>
      <c r="I96" s="1"/>
      <c r="J96" s="1">
        <v>8</v>
      </c>
      <c r="K96" s="1">
        <v>20</v>
      </c>
      <c r="L96" s="1"/>
      <c r="M96" s="1"/>
      <c r="N96" s="1"/>
      <c r="O96" s="1"/>
      <c r="P96" s="1"/>
    </row>
    <row r="97" ht="25.95" customHeight="1" spans="1:16">
      <c r="A97" s="1" t="s">
        <v>162</v>
      </c>
      <c r="B97" s="221" t="s">
        <v>250</v>
      </c>
      <c r="C97" s="1">
        <v>10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25.95" customHeight="1" spans="1:16">
      <c r="A98" s="1" t="s">
        <v>162</v>
      </c>
      <c r="B98" s="221" t="s">
        <v>251</v>
      </c>
      <c r="C98" s="1">
        <v>8</v>
      </c>
      <c r="D98" s="1"/>
      <c r="E98" s="1"/>
      <c r="F98" s="1"/>
      <c r="G98" s="1"/>
      <c r="H98" s="1"/>
      <c r="I98" s="1"/>
      <c r="J98" s="1">
        <v>2</v>
      </c>
      <c r="K98" s="1"/>
      <c r="L98" s="1"/>
      <c r="M98" s="1"/>
      <c r="N98" s="1"/>
      <c r="O98" s="1"/>
      <c r="P98" s="1"/>
    </row>
    <row r="99" ht="25.95" customHeight="1" spans="1:16">
      <c r="A99" s="1" t="s">
        <v>162</v>
      </c>
      <c r="B99" s="221" t="s">
        <v>252</v>
      </c>
      <c r="C99" s="1">
        <v>8</v>
      </c>
      <c r="D99" s="1"/>
      <c r="E99" s="1"/>
      <c r="F99" s="1"/>
      <c r="G99" s="1"/>
      <c r="H99" s="1">
        <v>4</v>
      </c>
      <c r="I99" s="1"/>
      <c r="J99" s="1"/>
      <c r="K99" s="1"/>
      <c r="L99" s="1"/>
      <c r="M99" s="1"/>
      <c r="N99" s="1"/>
      <c r="O99" s="1"/>
      <c r="P99" s="1"/>
    </row>
    <row r="100" ht="25.95" customHeight="1" spans="1:16">
      <c r="A100" s="1" t="s">
        <v>162</v>
      </c>
      <c r="B100" s="221" t="s">
        <v>253</v>
      </c>
      <c r="C100" s="1"/>
      <c r="D100" s="1"/>
      <c r="E100" s="1"/>
      <c r="F100" s="1"/>
      <c r="G100" s="1"/>
      <c r="H100" s="1">
        <v>10</v>
      </c>
      <c r="I100" s="1">
        <v>2</v>
      </c>
      <c r="J100" s="1"/>
      <c r="K100" s="1"/>
      <c r="L100" s="1"/>
      <c r="M100" s="1"/>
      <c r="N100" s="1"/>
      <c r="O100" s="1"/>
      <c r="P100" s="1"/>
    </row>
    <row r="101" ht="25.95" customHeight="1" spans="1:16">
      <c r="A101" s="1" t="s">
        <v>162</v>
      </c>
      <c r="B101" s="221" t="s">
        <v>254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>
        <v>4</v>
      </c>
      <c r="N101" s="1">
        <v>10</v>
      </c>
      <c r="O101" s="1"/>
      <c r="P101" s="1"/>
    </row>
    <row r="102" ht="25.95" customHeight="1" spans="1:16">
      <c r="A102" s="1" t="s">
        <v>162</v>
      </c>
      <c r="B102" s="221" t="s">
        <v>255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>
        <v>2</v>
      </c>
      <c r="N102" s="1">
        <v>8</v>
      </c>
      <c r="O102" s="1"/>
      <c r="P102" s="1"/>
    </row>
    <row r="103" ht="25.95" customHeight="1" spans="1:16">
      <c r="A103" s="1" t="s">
        <v>162</v>
      </c>
      <c r="B103" s="221" t="s">
        <v>256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>
        <v>8</v>
      </c>
      <c r="N103" s="1">
        <v>2</v>
      </c>
      <c r="O103" s="1"/>
      <c r="P103" s="1"/>
    </row>
    <row r="104" ht="25.95" customHeight="1" spans="1:16">
      <c r="A104" s="1" t="s">
        <v>162</v>
      </c>
      <c r="B104" s="221" t="s">
        <v>257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>
        <v>10</v>
      </c>
      <c r="N104" s="1">
        <v>4</v>
      </c>
      <c r="O104" s="1"/>
      <c r="P104" s="1"/>
    </row>
    <row r="105" ht="25.95" customHeight="1" spans="1:16">
      <c r="A105" s="1" t="s">
        <v>162</v>
      </c>
      <c r="B105" s="221" t="s">
        <v>258</v>
      </c>
      <c r="C105" s="1"/>
      <c r="D105" s="1"/>
      <c r="E105" s="1"/>
      <c r="F105" s="1"/>
      <c r="G105" s="1"/>
      <c r="H105" s="1"/>
      <c r="I105" s="1"/>
      <c r="J105" s="1">
        <v>2</v>
      </c>
      <c r="K105" s="1">
        <v>8</v>
      </c>
      <c r="L105" s="1"/>
      <c r="M105" s="1"/>
      <c r="N105" s="1"/>
      <c r="O105" s="1"/>
      <c r="P105" s="1"/>
    </row>
    <row r="106" ht="25.95" customHeight="1" spans="1:16">
      <c r="A106" s="1" t="s">
        <v>162</v>
      </c>
      <c r="B106" s="221" t="s">
        <v>259</v>
      </c>
      <c r="C106" s="1"/>
      <c r="D106" s="1"/>
      <c r="E106" s="1"/>
      <c r="F106" s="1"/>
      <c r="G106" s="1"/>
      <c r="H106" s="1"/>
      <c r="I106" s="1"/>
      <c r="J106" s="1"/>
      <c r="K106" s="1">
        <v>10</v>
      </c>
      <c r="L106" s="1"/>
      <c r="M106" s="1"/>
      <c r="N106" s="1"/>
      <c r="O106" s="1"/>
      <c r="P106" s="1"/>
    </row>
    <row r="107" ht="25.95" customHeight="1" spans="1:16">
      <c r="A107" s="1" t="s">
        <v>162</v>
      </c>
      <c r="B107" s="221" t="s">
        <v>260</v>
      </c>
      <c r="C107" s="1"/>
      <c r="D107" s="1"/>
      <c r="E107" s="1"/>
      <c r="F107" s="1"/>
      <c r="G107" s="1"/>
      <c r="H107" s="1">
        <v>4</v>
      </c>
      <c r="I107" s="1">
        <v>8</v>
      </c>
      <c r="J107" s="1"/>
      <c r="K107" s="1"/>
      <c r="L107" s="1"/>
      <c r="M107" s="1"/>
      <c r="N107" s="1"/>
      <c r="O107" s="1"/>
      <c r="P107" s="1"/>
    </row>
    <row r="108" ht="25.95" customHeight="1" spans="1:16">
      <c r="A108" s="1" t="s">
        <v>162</v>
      </c>
      <c r="B108" s="221" t="s">
        <v>261</v>
      </c>
      <c r="C108" s="1"/>
      <c r="D108" s="1"/>
      <c r="E108" s="1"/>
      <c r="F108" s="1"/>
      <c r="G108" s="1"/>
      <c r="H108" s="1"/>
      <c r="I108" s="1"/>
      <c r="J108" s="1">
        <v>10</v>
      </c>
      <c r="K108" s="1"/>
      <c r="L108" s="1"/>
      <c r="M108" s="1"/>
      <c r="N108" s="1"/>
      <c r="O108" s="1"/>
      <c r="P108" s="1"/>
    </row>
    <row r="109" ht="25.95" customHeight="1" spans="1:16">
      <c r="A109" s="1" t="s">
        <v>162</v>
      </c>
      <c r="B109" s="221" t="s">
        <v>262</v>
      </c>
      <c r="C109" s="1"/>
      <c r="D109" s="1"/>
      <c r="E109" s="1"/>
      <c r="F109" s="1"/>
      <c r="G109" s="1"/>
      <c r="H109" s="1"/>
      <c r="I109" s="1"/>
      <c r="J109" s="1">
        <v>8</v>
      </c>
      <c r="K109" s="1">
        <v>2</v>
      </c>
      <c r="L109" s="1"/>
      <c r="M109" s="1"/>
      <c r="N109" s="1"/>
      <c r="O109" s="1"/>
      <c r="P109" s="1"/>
    </row>
    <row r="110" ht="25.95" customHeight="1" spans="1:16">
      <c r="A110" s="1" t="s">
        <v>162</v>
      </c>
      <c r="B110" s="221" t="s">
        <v>263</v>
      </c>
      <c r="C110" s="1"/>
      <c r="D110" s="1"/>
      <c r="E110" s="1"/>
      <c r="F110" s="1"/>
      <c r="G110" s="1"/>
      <c r="H110" s="1">
        <v>4</v>
      </c>
      <c r="I110" s="1"/>
      <c r="J110" s="1">
        <v>8</v>
      </c>
      <c r="K110" s="1"/>
      <c r="L110" s="1"/>
      <c r="M110" s="1"/>
      <c r="N110" s="1"/>
      <c r="O110" s="1"/>
      <c r="P110" s="1"/>
    </row>
    <row r="111" ht="25.95" customHeight="1" spans="1:16">
      <c r="A111" s="1" t="s">
        <v>162</v>
      </c>
      <c r="B111" s="221" t="s">
        <v>264</v>
      </c>
      <c r="C111" s="1"/>
      <c r="D111" s="1"/>
      <c r="E111" s="1"/>
      <c r="F111" s="1"/>
      <c r="G111" s="1"/>
      <c r="H111" s="1"/>
      <c r="I111" s="1"/>
      <c r="J111" s="1">
        <v>8</v>
      </c>
      <c r="K111" s="1"/>
      <c r="L111" s="1">
        <v>6</v>
      </c>
      <c r="M111" s="1"/>
      <c r="N111" s="1"/>
      <c r="O111" s="1"/>
      <c r="P111" s="1"/>
    </row>
    <row r="112" ht="25.95" customHeight="1" spans="1:16">
      <c r="A112" s="1" t="s">
        <v>162</v>
      </c>
      <c r="B112" s="221" t="s">
        <v>265</v>
      </c>
      <c r="C112" s="1"/>
      <c r="D112" s="1"/>
      <c r="E112" s="1"/>
      <c r="F112" s="1"/>
      <c r="G112" s="1"/>
      <c r="H112" s="1"/>
      <c r="I112" s="1">
        <v>10</v>
      </c>
      <c r="J112" s="1"/>
      <c r="K112" s="1"/>
      <c r="L112" s="1"/>
      <c r="M112" s="1"/>
      <c r="N112" s="1"/>
      <c r="O112" s="1"/>
      <c r="P112" s="1"/>
    </row>
    <row r="113" customFormat="1" ht="25.95" customHeight="1" spans="1:16384">
      <c r="A113" s="1" t="s">
        <v>162</v>
      </c>
      <c r="B113" s="221" t="s">
        <v>266</v>
      </c>
      <c r="C113" s="1"/>
      <c r="D113" s="1"/>
      <c r="E113" s="1"/>
      <c r="F113" s="1"/>
      <c r="G113" s="1"/>
      <c r="H113" s="1"/>
      <c r="I113" s="1">
        <v>2</v>
      </c>
      <c r="J113" s="1"/>
      <c r="K113" s="1">
        <v>8</v>
      </c>
      <c r="L113" s="1"/>
      <c r="M113" s="1"/>
      <c r="N113" s="1"/>
      <c r="O113" s="1"/>
      <c r="P113" s="1"/>
      <c r="Q113" s="75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/>
      <c r="DH113" s="64"/>
      <c r="DI113" s="64"/>
      <c r="DJ113" s="64"/>
      <c r="DK113" s="64"/>
      <c r="DL113" s="64"/>
      <c r="DM113" s="64"/>
      <c r="DN113" s="64"/>
      <c r="DO113" s="64"/>
      <c r="DP113" s="64"/>
      <c r="DQ113" s="64"/>
      <c r="DR113" s="64"/>
      <c r="DS113" s="64"/>
      <c r="DT113" s="64"/>
      <c r="DU113" s="64"/>
      <c r="DV113" s="64"/>
      <c r="DW113" s="64"/>
      <c r="DX113" s="64"/>
      <c r="DY113" s="64"/>
      <c r="DZ113" s="64"/>
      <c r="EA113" s="64"/>
      <c r="EB113" s="64"/>
      <c r="EC113" s="64"/>
      <c r="ED113" s="64"/>
      <c r="EE113" s="64"/>
      <c r="EF113" s="64"/>
      <c r="EG113" s="64"/>
      <c r="EH113" s="64"/>
      <c r="EI113" s="64"/>
      <c r="EJ113" s="64"/>
      <c r="EK113" s="64"/>
      <c r="EL113" s="64"/>
      <c r="EM113" s="64"/>
      <c r="EN113" s="64"/>
      <c r="EO113" s="64"/>
      <c r="EP113" s="64"/>
      <c r="EQ113" s="64"/>
      <c r="ER113" s="64"/>
      <c r="ES113" s="64"/>
      <c r="ET113" s="64"/>
      <c r="EU113" s="64"/>
      <c r="EV113" s="64"/>
      <c r="EW113" s="64"/>
      <c r="EX113" s="64"/>
      <c r="EY113" s="64"/>
      <c r="EZ113" s="64"/>
      <c r="FA113" s="64"/>
      <c r="FB113" s="64"/>
      <c r="FC113" s="64"/>
      <c r="FD113" s="64"/>
      <c r="FE113" s="64"/>
      <c r="FF113" s="64"/>
      <c r="FG113" s="64"/>
      <c r="FH113" s="64"/>
      <c r="FI113" s="64"/>
      <c r="FJ113" s="64"/>
      <c r="FK113" s="64"/>
      <c r="FL113" s="64"/>
      <c r="FM113" s="64"/>
      <c r="FN113" s="64"/>
      <c r="FO113" s="64"/>
      <c r="FP113" s="64"/>
      <c r="FQ113" s="64"/>
      <c r="FR113" s="64"/>
      <c r="FS113" s="64"/>
      <c r="FT113" s="64"/>
      <c r="FU113" s="64"/>
      <c r="FV113" s="64"/>
      <c r="FW113" s="64"/>
      <c r="FX113" s="64"/>
      <c r="FY113" s="64"/>
      <c r="FZ113" s="64"/>
      <c r="GA113" s="64"/>
      <c r="GB113" s="64"/>
      <c r="GC113" s="64"/>
      <c r="GD113" s="64"/>
      <c r="GE113" s="64"/>
      <c r="GF113" s="64"/>
      <c r="GG113" s="64"/>
      <c r="GH113" s="64"/>
      <c r="GI113" s="64"/>
      <c r="GJ113" s="64"/>
      <c r="GK113" s="64"/>
      <c r="GL113" s="64"/>
      <c r="GM113" s="64"/>
      <c r="GN113" s="64"/>
      <c r="GO113" s="64"/>
      <c r="GP113" s="64"/>
      <c r="GQ113" s="64"/>
      <c r="GR113" s="64"/>
      <c r="GS113" s="64"/>
      <c r="GT113" s="64"/>
      <c r="GU113" s="64"/>
      <c r="GV113" s="64"/>
      <c r="GW113" s="64"/>
      <c r="GX113" s="64"/>
      <c r="GY113" s="64"/>
      <c r="GZ113" s="64"/>
      <c r="HA113" s="64"/>
      <c r="HB113" s="64"/>
      <c r="HC113" s="64"/>
      <c r="HD113" s="64"/>
      <c r="HE113" s="64"/>
      <c r="HF113" s="64"/>
      <c r="HG113" s="64"/>
      <c r="HH113" s="64"/>
      <c r="HI113" s="64"/>
      <c r="HJ113" s="64"/>
      <c r="HK113" s="64"/>
      <c r="HL113" s="64"/>
      <c r="HM113" s="64"/>
      <c r="HN113" s="64"/>
      <c r="HO113" s="64"/>
      <c r="HP113" s="64"/>
      <c r="HQ113" s="64"/>
      <c r="HR113" s="64"/>
      <c r="HS113" s="64"/>
      <c r="HT113" s="64"/>
      <c r="HU113" s="64"/>
      <c r="HV113" s="64"/>
      <c r="HW113" s="64"/>
      <c r="HX113" s="64"/>
      <c r="HY113" s="64"/>
      <c r="HZ113" s="64"/>
      <c r="IA113" s="64"/>
      <c r="IB113" s="64"/>
      <c r="IC113" s="64"/>
      <c r="ID113" s="64"/>
      <c r="IE113" s="64"/>
      <c r="IF113" s="64"/>
      <c r="IG113" s="64"/>
      <c r="IH113" s="64"/>
      <c r="II113" s="64"/>
      <c r="IJ113" s="64"/>
      <c r="IK113" s="64"/>
      <c r="IL113" s="64"/>
      <c r="IM113" s="64"/>
      <c r="IN113" s="64"/>
      <c r="IO113" s="64"/>
      <c r="IP113" s="64"/>
      <c r="IQ113" s="64"/>
      <c r="IR113" s="64"/>
      <c r="IS113" s="64"/>
      <c r="IT113" s="64"/>
      <c r="IU113" s="64"/>
      <c r="IV113" s="64"/>
      <c r="IW113" s="64"/>
      <c r="IX113" s="64"/>
      <c r="IY113" s="64"/>
      <c r="IZ113" s="64"/>
      <c r="JA113" s="64"/>
      <c r="JB113" s="64"/>
      <c r="JC113" s="64"/>
      <c r="JD113" s="64"/>
      <c r="JE113" s="64"/>
      <c r="JF113" s="64"/>
      <c r="JG113" s="64"/>
      <c r="JH113" s="64"/>
      <c r="JI113" s="64"/>
      <c r="JJ113" s="64"/>
      <c r="JK113" s="64"/>
      <c r="JL113" s="64"/>
      <c r="JM113" s="64"/>
      <c r="JN113" s="64"/>
      <c r="JO113" s="64"/>
      <c r="JP113" s="64"/>
      <c r="JQ113" s="64"/>
      <c r="JR113" s="64"/>
      <c r="JS113" s="64"/>
      <c r="JT113" s="64"/>
      <c r="JU113" s="64"/>
      <c r="JV113" s="64"/>
      <c r="JW113" s="64"/>
      <c r="JX113" s="64"/>
      <c r="JY113" s="64"/>
      <c r="JZ113" s="64"/>
      <c r="KA113" s="64"/>
      <c r="KB113" s="64"/>
      <c r="KC113" s="64"/>
      <c r="KD113" s="64"/>
      <c r="KE113" s="64"/>
      <c r="KF113" s="64"/>
      <c r="KG113" s="64"/>
      <c r="KH113" s="64"/>
      <c r="KI113" s="64"/>
      <c r="KJ113" s="64"/>
      <c r="KK113" s="64"/>
      <c r="KL113" s="64"/>
      <c r="KM113" s="64"/>
      <c r="KN113" s="64"/>
      <c r="KO113" s="64"/>
      <c r="KP113" s="64"/>
      <c r="KQ113" s="64"/>
      <c r="KR113" s="64"/>
      <c r="KS113" s="64"/>
      <c r="KT113" s="64"/>
      <c r="KU113" s="64"/>
      <c r="KV113" s="64"/>
      <c r="KW113" s="64"/>
      <c r="KX113" s="64"/>
      <c r="KY113" s="64"/>
      <c r="KZ113" s="64"/>
      <c r="LA113" s="64"/>
      <c r="LB113" s="64"/>
      <c r="LC113" s="64"/>
      <c r="LD113" s="64"/>
      <c r="LE113" s="64"/>
      <c r="LF113" s="64"/>
      <c r="LG113" s="64"/>
      <c r="LH113" s="64"/>
      <c r="LI113" s="64"/>
      <c r="LJ113" s="64"/>
      <c r="LK113" s="64"/>
      <c r="LL113" s="64"/>
      <c r="LM113" s="64"/>
      <c r="LN113" s="64"/>
      <c r="LO113" s="64"/>
      <c r="LP113" s="64"/>
      <c r="LQ113" s="64"/>
      <c r="LR113" s="64"/>
      <c r="LS113" s="64"/>
      <c r="LT113" s="64"/>
      <c r="LU113" s="64"/>
      <c r="LV113" s="64"/>
      <c r="LW113" s="64"/>
      <c r="LX113" s="64"/>
      <c r="LY113" s="64"/>
      <c r="LZ113" s="64"/>
      <c r="MA113" s="64"/>
      <c r="MB113" s="64"/>
      <c r="MC113" s="64"/>
      <c r="MD113" s="64"/>
      <c r="ME113" s="64"/>
      <c r="MF113" s="64"/>
      <c r="MG113" s="64"/>
      <c r="MH113" s="64"/>
      <c r="MI113" s="64"/>
      <c r="MJ113" s="64"/>
      <c r="MK113" s="64"/>
      <c r="ML113" s="64"/>
      <c r="MM113" s="64"/>
      <c r="MN113" s="64"/>
      <c r="MO113" s="64"/>
      <c r="MP113" s="64"/>
      <c r="MQ113" s="64"/>
      <c r="MR113" s="64"/>
      <c r="MS113" s="64"/>
      <c r="MT113" s="64"/>
      <c r="MU113" s="64"/>
      <c r="MV113" s="64"/>
      <c r="MW113" s="64"/>
      <c r="MX113" s="64"/>
      <c r="MY113" s="64"/>
      <c r="MZ113" s="64"/>
      <c r="NA113" s="64"/>
      <c r="NB113" s="64"/>
      <c r="NC113" s="64"/>
      <c r="ND113" s="64"/>
      <c r="NE113" s="64"/>
      <c r="NF113" s="64"/>
      <c r="NG113" s="64"/>
      <c r="NH113" s="64"/>
      <c r="NI113" s="64"/>
      <c r="NJ113" s="64"/>
      <c r="NK113" s="64"/>
      <c r="NL113" s="64"/>
      <c r="NM113" s="64"/>
      <c r="NN113" s="64"/>
      <c r="NO113" s="64"/>
      <c r="NP113" s="64"/>
      <c r="NQ113" s="64"/>
      <c r="NR113" s="64"/>
      <c r="NS113" s="64"/>
      <c r="NT113" s="64"/>
      <c r="NU113" s="64"/>
      <c r="NV113" s="64"/>
      <c r="NW113" s="64"/>
      <c r="NX113" s="64"/>
      <c r="NY113" s="64"/>
      <c r="NZ113" s="64"/>
      <c r="OA113" s="64"/>
      <c r="OB113" s="64"/>
      <c r="OC113" s="64"/>
      <c r="OD113" s="64"/>
      <c r="OE113" s="64"/>
      <c r="OF113" s="64"/>
      <c r="OG113" s="64"/>
      <c r="OH113" s="64"/>
      <c r="OI113" s="64"/>
      <c r="OJ113" s="64"/>
      <c r="OK113" s="64"/>
      <c r="OL113" s="64"/>
      <c r="OM113" s="64"/>
      <c r="ON113" s="64"/>
      <c r="OO113" s="64"/>
      <c r="OP113" s="64"/>
      <c r="OQ113" s="64"/>
      <c r="OR113" s="64"/>
      <c r="OS113" s="64"/>
      <c r="OT113" s="64"/>
      <c r="OU113" s="64"/>
      <c r="OV113" s="64"/>
      <c r="OW113" s="64"/>
      <c r="OX113" s="64"/>
      <c r="OY113" s="64"/>
      <c r="OZ113" s="64"/>
      <c r="PA113" s="64"/>
      <c r="PB113" s="64"/>
      <c r="PC113" s="64"/>
      <c r="PD113" s="64"/>
      <c r="PE113" s="64"/>
      <c r="PF113" s="64"/>
      <c r="PG113" s="64"/>
      <c r="PH113" s="64"/>
      <c r="PI113" s="64"/>
      <c r="PJ113" s="64"/>
      <c r="PK113" s="64"/>
      <c r="PL113" s="64"/>
      <c r="PM113" s="64"/>
      <c r="PN113" s="64"/>
      <c r="PO113" s="64"/>
      <c r="PP113" s="64"/>
      <c r="PQ113" s="64"/>
      <c r="PR113" s="64"/>
      <c r="PS113" s="64"/>
      <c r="PT113" s="64"/>
      <c r="PU113" s="64"/>
      <c r="PV113" s="64"/>
      <c r="PW113" s="64"/>
      <c r="PX113" s="64"/>
      <c r="PY113" s="64"/>
      <c r="PZ113" s="64"/>
      <c r="QA113" s="64"/>
      <c r="QB113" s="64"/>
      <c r="QC113" s="64"/>
      <c r="QD113" s="64"/>
      <c r="QE113" s="64"/>
      <c r="QF113" s="64"/>
      <c r="QG113" s="64"/>
      <c r="QH113" s="64"/>
      <c r="QI113" s="64"/>
      <c r="QJ113" s="64"/>
      <c r="QK113" s="64"/>
      <c r="QL113" s="64"/>
      <c r="QM113" s="64"/>
      <c r="QN113" s="64"/>
      <c r="QO113" s="64"/>
      <c r="QP113" s="64"/>
      <c r="QQ113" s="64"/>
      <c r="QR113" s="64"/>
      <c r="QS113" s="64"/>
      <c r="QT113" s="64"/>
      <c r="QU113" s="64"/>
      <c r="QV113" s="64"/>
      <c r="QW113" s="64"/>
      <c r="QX113" s="64"/>
      <c r="QY113" s="64"/>
      <c r="QZ113" s="64"/>
      <c r="RA113" s="64"/>
      <c r="RB113" s="64"/>
      <c r="RC113" s="64"/>
      <c r="RD113" s="64"/>
      <c r="RE113" s="64"/>
      <c r="RF113" s="64"/>
      <c r="RG113" s="64"/>
      <c r="RH113" s="64"/>
      <c r="RI113" s="64"/>
      <c r="RJ113" s="64"/>
      <c r="RK113" s="64"/>
      <c r="RL113" s="64"/>
      <c r="RM113" s="64"/>
      <c r="RN113" s="64"/>
      <c r="RO113" s="64"/>
      <c r="RP113" s="64"/>
      <c r="RQ113" s="64"/>
      <c r="RR113" s="64"/>
      <c r="RS113" s="64"/>
      <c r="RT113" s="64"/>
      <c r="RU113" s="64"/>
      <c r="RV113" s="64"/>
      <c r="RW113" s="64"/>
      <c r="RX113" s="64"/>
      <c r="RY113" s="64"/>
      <c r="RZ113" s="64"/>
      <c r="SA113" s="64"/>
      <c r="SB113" s="64"/>
      <c r="SC113" s="64"/>
      <c r="SD113" s="64"/>
      <c r="SE113" s="64"/>
      <c r="SF113" s="64"/>
      <c r="SG113" s="64"/>
      <c r="SH113" s="64"/>
      <c r="SI113" s="64"/>
      <c r="SJ113" s="64"/>
      <c r="SK113" s="64"/>
      <c r="SL113" s="64"/>
      <c r="SM113" s="64"/>
      <c r="SN113" s="64"/>
      <c r="SO113" s="64"/>
      <c r="SP113" s="64"/>
      <c r="SQ113" s="64"/>
      <c r="SR113" s="64"/>
      <c r="SS113" s="64"/>
      <c r="ST113" s="64"/>
      <c r="SU113" s="64"/>
      <c r="SV113" s="64"/>
      <c r="SW113" s="64"/>
      <c r="SX113" s="64"/>
      <c r="SY113" s="64"/>
      <c r="SZ113" s="64"/>
      <c r="TA113" s="64"/>
      <c r="TB113" s="64"/>
      <c r="TC113" s="64"/>
      <c r="TD113" s="64"/>
      <c r="TE113" s="64"/>
      <c r="TF113" s="64"/>
      <c r="TG113" s="64"/>
      <c r="TH113" s="64"/>
      <c r="TI113" s="64"/>
      <c r="TJ113" s="64"/>
      <c r="TK113" s="64"/>
      <c r="TL113" s="64"/>
      <c r="TM113" s="64"/>
      <c r="TN113" s="64"/>
      <c r="TO113" s="64"/>
      <c r="TP113" s="64"/>
      <c r="TQ113" s="64"/>
      <c r="TR113" s="64"/>
      <c r="TS113" s="64"/>
      <c r="TT113" s="64"/>
      <c r="TU113" s="64"/>
      <c r="TV113" s="64"/>
      <c r="TW113" s="64"/>
      <c r="TX113" s="64"/>
      <c r="TY113" s="64"/>
      <c r="TZ113" s="64"/>
      <c r="UA113" s="64"/>
      <c r="UB113" s="64"/>
      <c r="UC113" s="64"/>
      <c r="UD113" s="64"/>
      <c r="UE113" s="64"/>
      <c r="UF113" s="64"/>
      <c r="UG113" s="64"/>
      <c r="UH113" s="64"/>
      <c r="UI113" s="64"/>
      <c r="UJ113" s="64"/>
      <c r="UK113" s="64"/>
      <c r="UL113" s="64"/>
      <c r="UM113" s="64"/>
      <c r="UN113" s="64"/>
      <c r="UO113" s="64"/>
      <c r="UP113" s="64"/>
      <c r="UQ113" s="64"/>
      <c r="UR113" s="64"/>
      <c r="US113" s="64"/>
      <c r="UT113" s="64"/>
      <c r="UU113" s="64"/>
      <c r="UV113" s="64"/>
      <c r="UW113" s="64"/>
      <c r="UX113" s="64"/>
      <c r="UY113" s="64"/>
      <c r="UZ113" s="64"/>
      <c r="VA113" s="64"/>
      <c r="VB113" s="64"/>
      <c r="VC113" s="64"/>
      <c r="VD113" s="64"/>
      <c r="VE113" s="64"/>
      <c r="VF113" s="64"/>
      <c r="VG113" s="64"/>
      <c r="VH113" s="64"/>
      <c r="VI113" s="64"/>
      <c r="VJ113" s="64"/>
      <c r="VK113" s="64"/>
      <c r="VL113" s="64"/>
      <c r="VM113" s="64"/>
      <c r="VN113" s="64"/>
      <c r="VO113" s="64"/>
      <c r="VP113" s="64"/>
      <c r="VQ113" s="64"/>
      <c r="VR113" s="64"/>
      <c r="VS113" s="64"/>
      <c r="VT113" s="64"/>
      <c r="VU113" s="64"/>
      <c r="VV113" s="64"/>
      <c r="VW113" s="64"/>
      <c r="VX113" s="64"/>
      <c r="VY113" s="64"/>
      <c r="VZ113" s="64"/>
      <c r="WA113" s="64"/>
      <c r="WB113" s="64"/>
      <c r="WC113" s="64"/>
      <c r="WD113" s="64"/>
      <c r="WE113" s="64"/>
      <c r="WF113" s="64"/>
      <c r="WG113" s="64"/>
      <c r="WH113" s="64"/>
      <c r="WI113" s="64"/>
      <c r="WJ113" s="64"/>
      <c r="WK113" s="64"/>
      <c r="WL113" s="64"/>
      <c r="WM113" s="64"/>
      <c r="WN113" s="64"/>
      <c r="WO113" s="64"/>
      <c r="WP113" s="64"/>
      <c r="WQ113" s="64"/>
      <c r="WR113" s="64"/>
      <c r="WS113" s="64"/>
      <c r="WT113" s="64"/>
      <c r="WU113" s="64"/>
      <c r="WV113" s="64"/>
      <c r="WW113" s="64"/>
      <c r="WX113" s="64"/>
      <c r="WY113" s="64"/>
      <c r="WZ113" s="64"/>
      <c r="XA113" s="64"/>
      <c r="XB113" s="64"/>
      <c r="XC113" s="64"/>
      <c r="XD113" s="64"/>
      <c r="XE113" s="64"/>
      <c r="XF113" s="64"/>
      <c r="XG113" s="64"/>
      <c r="XH113" s="64"/>
      <c r="XI113" s="64"/>
      <c r="XJ113" s="64"/>
      <c r="XK113" s="64"/>
      <c r="XL113" s="64"/>
      <c r="XM113" s="64"/>
      <c r="XN113" s="64"/>
      <c r="XO113" s="64"/>
      <c r="XP113" s="64"/>
      <c r="XQ113" s="64"/>
      <c r="XR113" s="64"/>
      <c r="XS113" s="64"/>
      <c r="XT113" s="64"/>
      <c r="XU113" s="64"/>
      <c r="XV113" s="64"/>
      <c r="XW113" s="64"/>
      <c r="XX113" s="64"/>
      <c r="XY113" s="64"/>
      <c r="XZ113" s="64"/>
      <c r="YA113" s="64"/>
      <c r="YB113" s="64"/>
      <c r="YC113" s="64"/>
      <c r="YD113" s="64"/>
      <c r="YE113" s="64"/>
      <c r="YF113" s="64"/>
      <c r="YG113" s="64"/>
      <c r="YH113" s="64"/>
      <c r="YI113" s="64"/>
      <c r="YJ113" s="64"/>
      <c r="YK113" s="64"/>
      <c r="YL113" s="64"/>
      <c r="YM113" s="64"/>
      <c r="YN113" s="64"/>
      <c r="YO113" s="64"/>
      <c r="YP113" s="64"/>
      <c r="YQ113" s="64"/>
      <c r="YR113" s="64"/>
      <c r="YS113" s="64"/>
      <c r="YT113" s="64"/>
      <c r="YU113" s="64"/>
      <c r="YV113" s="64"/>
      <c r="YW113" s="64"/>
      <c r="YX113" s="64"/>
      <c r="YY113" s="64"/>
      <c r="YZ113" s="64"/>
      <c r="ZA113" s="64"/>
      <c r="ZB113" s="64"/>
      <c r="ZC113" s="64"/>
      <c r="ZD113" s="64"/>
      <c r="ZE113" s="64"/>
      <c r="ZF113" s="64"/>
      <c r="ZG113" s="64"/>
      <c r="ZH113" s="64"/>
      <c r="ZI113" s="64"/>
      <c r="ZJ113" s="64"/>
      <c r="ZK113" s="64"/>
      <c r="ZL113" s="64"/>
      <c r="ZM113" s="64"/>
      <c r="ZN113" s="64"/>
      <c r="ZO113" s="64"/>
      <c r="ZP113" s="64"/>
      <c r="ZQ113" s="64"/>
      <c r="ZR113" s="64"/>
      <c r="ZS113" s="64"/>
      <c r="ZT113" s="64"/>
      <c r="ZU113" s="64"/>
      <c r="ZV113" s="64"/>
      <c r="ZW113" s="64"/>
      <c r="ZX113" s="64"/>
      <c r="ZY113" s="64"/>
      <c r="ZZ113" s="64"/>
      <c r="AAA113" s="64"/>
      <c r="AAB113" s="64"/>
      <c r="AAC113" s="64"/>
      <c r="AAD113" s="64"/>
      <c r="AAE113" s="64"/>
      <c r="AAF113" s="64"/>
      <c r="AAG113" s="64"/>
      <c r="AAH113" s="64"/>
      <c r="AAI113" s="64"/>
      <c r="AAJ113" s="64"/>
      <c r="AAK113" s="64"/>
      <c r="AAL113" s="64"/>
      <c r="AAM113" s="64"/>
      <c r="AAN113" s="64"/>
      <c r="AAO113" s="64"/>
      <c r="AAP113" s="64"/>
      <c r="AAQ113" s="64"/>
      <c r="AAR113" s="64"/>
      <c r="AAS113" s="64"/>
      <c r="AAT113" s="64"/>
      <c r="AAU113" s="64"/>
      <c r="AAV113" s="64"/>
      <c r="AAW113" s="64"/>
      <c r="AAX113" s="64"/>
      <c r="AAY113" s="64"/>
      <c r="AAZ113" s="64"/>
      <c r="ABA113" s="64"/>
      <c r="ABB113" s="64"/>
      <c r="ABC113" s="64"/>
      <c r="ABD113" s="64"/>
      <c r="ABE113" s="64"/>
      <c r="ABF113" s="64"/>
      <c r="ABG113" s="64"/>
      <c r="ABH113" s="64"/>
      <c r="ABI113" s="64"/>
      <c r="ABJ113" s="64"/>
      <c r="ABK113" s="64"/>
      <c r="ABL113" s="64"/>
      <c r="ABM113" s="64"/>
      <c r="ABN113" s="64"/>
      <c r="ABO113" s="64"/>
      <c r="ABP113" s="64"/>
      <c r="ABQ113" s="64"/>
      <c r="ABR113" s="64"/>
      <c r="ABS113" s="64"/>
      <c r="ABT113" s="64"/>
      <c r="ABU113" s="64"/>
      <c r="ABV113" s="64"/>
      <c r="ABW113" s="64"/>
      <c r="ABX113" s="64"/>
      <c r="ABY113" s="64"/>
      <c r="ABZ113" s="64"/>
      <c r="ACA113" s="64"/>
      <c r="ACB113" s="64"/>
      <c r="ACC113" s="64"/>
      <c r="ACD113" s="64"/>
      <c r="ACE113" s="64"/>
      <c r="ACF113" s="64"/>
      <c r="ACG113" s="64"/>
      <c r="ACH113" s="64"/>
      <c r="ACI113" s="64"/>
      <c r="ACJ113" s="64"/>
      <c r="ACK113" s="64"/>
      <c r="ACL113" s="64"/>
      <c r="ACM113" s="64"/>
      <c r="ACN113" s="64"/>
      <c r="ACO113" s="64"/>
      <c r="ACP113" s="64"/>
      <c r="ACQ113" s="64"/>
      <c r="ACR113" s="64"/>
      <c r="ACS113" s="64"/>
      <c r="ACT113" s="64"/>
      <c r="ACU113" s="64"/>
      <c r="ACV113" s="64"/>
      <c r="ACW113" s="64"/>
      <c r="ACX113" s="64"/>
      <c r="ACY113" s="64"/>
      <c r="ACZ113" s="64"/>
      <c r="ADA113" s="64"/>
      <c r="ADB113" s="64"/>
      <c r="ADC113" s="64"/>
      <c r="ADD113" s="64"/>
      <c r="ADE113" s="64"/>
      <c r="ADF113" s="64"/>
      <c r="ADG113" s="64"/>
      <c r="ADH113" s="64"/>
      <c r="ADI113" s="64"/>
      <c r="ADJ113" s="64"/>
      <c r="ADK113" s="64"/>
      <c r="ADL113" s="64"/>
      <c r="ADM113" s="64"/>
      <c r="ADN113" s="64"/>
      <c r="ADO113" s="64"/>
      <c r="ADP113" s="64"/>
      <c r="ADQ113" s="64"/>
      <c r="ADR113" s="64"/>
      <c r="ADS113" s="64"/>
      <c r="ADT113" s="64"/>
      <c r="ADU113" s="64"/>
      <c r="ADV113" s="64"/>
      <c r="ADW113" s="64"/>
      <c r="ADX113" s="64"/>
      <c r="ADY113" s="64"/>
      <c r="ADZ113" s="64"/>
      <c r="AEA113" s="64"/>
      <c r="AEB113" s="64"/>
      <c r="AEC113" s="64"/>
      <c r="AED113" s="64"/>
      <c r="AEE113" s="64"/>
      <c r="AEF113" s="64"/>
      <c r="AEG113" s="64"/>
      <c r="AEH113" s="64"/>
      <c r="AEI113" s="64"/>
      <c r="AEJ113" s="64"/>
      <c r="AEK113" s="64"/>
      <c r="AEL113" s="64"/>
      <c r="AEM113" s="64"/>
      <c r="AEN113" s="64"/>
      <c r="AEO113" s="64"/>
      <c r="AEP113" s="64"/>
      <c r="AEQ113" s="64"/>
      <c r="AER113" s="64"/>
      <c r="AES113" s="64"/>
      <c r="AET113" s="64"/>
      <c r="AEU113" s="64"/>
      <c r="AEV113" s="64"/>
      <c r="AEW113" s="64"/>
      <c r="AEX113" s="64"/>
      <c r="AEY113" s="64"/>
      <c r="AEZ113" s="64"/>
      <c r="AFA113" s="64"/>
      <c r="AFB113" s="64"/>
      <c r="AFC113" s="64"/>
      <c r="AFD113" s="64"/>
      <c r="AFE113" s="64"/>
      <c r="AFF113" s="64"/>
      <c r="AFG113" s="64"/>
      <c r="AFH113" s="64"/>
      <c r="AFI113" s="64"/>
      <c r="AFJ113" s="64"/>
      <c r="AFK113" s="64"/>
      <c r="AFL113" s="64"/>
      <c r="AFM113" s="64"/>
      <c r="AFN113" s="64"/>
      <c r="AFO113" s="64"/>
      <c r="AFP113" s="64"/>
      <c r="AFQ113" s="64"/>
      <c r="AFR113" s="64"/>
      <c r="AFS113" s="64"/>
      <c r="AFT113" s="64"/>
      <c r="AFU113" s="64"/>
      <c r="AFV113" s="64"/>
      <c r="AFW113" s="64"/>
      <c r="AFX113" s="64"/>
      <c r="AFY113" s="64"/>
      <c r="AFZ113" s="64"/>
      <c r="AGA113" s="64"/>
      <c r="AGB113" s="64"/>
      <c r="AGC113" s="64"/>
      <c r="AGD113" s="64"/>
      <c r="AGE113" s="64"/>
      <c r="AGF113" s="64"/>
      <c r="AGG113" s="64"/>
      <c r="AGH113" s="64"/>
      <c r="AGI113" s="64"/>
      <c r="AGJ113" s="64"/>
      <c r="AGK113" s="64"/>
      <c r="AGL113" s="64"/>
      <c r="AGM113" s="64"/>
      <c r="AGN113" s="64"/>
      <c r="AGO113" s="64"/>
      <c r="AGP113" s="64"/>
      <c r="AGQ113" s="64"/>
      <c r="AGR113" s="64"/>
      <c r="AGS113" s="64"/>
      <c r="AGT113" s="64"/>
      <c r="AGU113" s="64"/>
      <c r="AGV113" s="64"/>
      <c r="AGW113" s="64"/>
      <c r="AGX113" s="64"/>
      <c r="AGY113" s="64"/>
      <c r="AGZ113" s="64"/>
      <c r="AHA113" s="64"/>
      <c r="AHB113" s="64"/>
      <c r="AHC113" s="64"/>
      <c r="AHD113" s="64"/>
      <c r="AHE113" s="64"/>
      <c r="AHF113" s="64"/>
      <c r="AHG113" s="64"/>
      <c r="AHH113" s="64"/>
      <c r="AHI113" s="64"/>
      <c r="AHJ113" s="64"/>
      <c r="AHK113" s="64"/>
      <c r="AHL113" s="64"/>
      <c r="AHM113" s="64"/>
      <c r="AHN113" s="64"/>
      <c r="AHO113" s="64"/>
      <c r="AHP113" s="64"/>
      <c r="AHQ113" s="64"/>
      <c r="AHR113" s="64"/>
      <c r="AHS113" s="64"/>
      <c r="AHT113" s="64"/>
      <c r="AHU113" s="64"/>
      <c r="AHV113" s="64"/>
      <c r="AHW113" s="64"/>
      <c r="AHX113" s="64"/>
      <c r="AHY113" s="64"/>
      <c r="AHZ113" s="64"/>
      <c r="AIA113" s="64"/>
      <c r="AIB113" s="64"/>
      <c r="AIC113" s="64"/>
      <c r="AID113" s="64"/>
      <c r="AIE113" s="64"/>
      <c r="AIF113" s="64"/>
      <c r="AIG113" s="64"/>
      <c r="AIH113" s="64"/>
      <c r="AII113" s="64"/>
      <c r="AIJ113" s="64"/>
      <c r="AIK113" s="64"/>
      <c r="AIL113" s="64"/>
      <c r="AIM113" s="64"/>
      <c r="AIN113" s="64"/>
      <c r="AIO113" s="64"/>
      <c r="AIP113" s="64"/>
      <c r="AIQ113" s="64"/>
      <c r="AIR113" s="64"/>
      <c r="AIS113" s="64"/>
      <c r="AIT113" s="64"/>
      <c r="AIU113" s="64"/>
      <c r="AIV113" s="64"/>
      <c r="AIW113" s="64"/>
      <c r="AIX113" s="64"/>
      <c r="AIY113" s="64"/>
      <c r="AIZ113" s="64"/>
      <c r="AJA113" s="64"/>
      <c r="AJB113" s="64"/>
      <c r="AJC113" s="64"/>
      <c r="AJD113" s="64"/>
      <c r="AJE113" s="64"/>
      <c r="AJF113" s="64"/>
      <c r="AJG113" s="64"/>
      <c r="AJH113" s="64"/>
      <c r="AJI113" s="64"/>
      <c r="AJJ113" s="64"/>
      <c r="AJK113" s="64"/>
      <c r="AJL113" s="64"/>
      <c r="AJM113" s="64"/>
      <c r="AJN113" s="64"/>
      <c r="AJO113" s="64"/>
      <c r="AJP113" s="64"/>
      <c r="AJQ113" s="64"/>
      <c r="AJR113" s="64"/>
      <c r="AJS113" s="64"/>
      <c r="AJT113" s="64"/>
      <c r="AJU113" s="64"/>
      <c r="AJV113" s="64"/>
      <c r="AJW113" s="64"/>
      <c r="AJX113" s="64"/>
      <c r="AJY113" s="64"/>
      <c r="AJZ113" s="64"/>
      <c r="AKA113" s="64"/>
      <c r="AKB113" s="64"/>
      <c r="AKC113" s="64"/>
      <c r="AKD113" s="64"/>
      <c r="AKE113" s="64"/>
      <c r="AKF113" s="64"/>
      <c r="AKG113" s="64"/>
      <c r="AKH113" s="64"/>
      <c r="AKI113" s="64"/>
      <c r="AKJ113" s="64"/>
      <c r="AKK113" s="64"/>
      <c r="AKL113" s="64"/>
      <c r="AKM113" s="64"/>
      <c r="AKN113" s="64"/>
      <c r="AKO113" s="64"/>
      <c r="AKP113" s="64"/>
      <c r="AKQ113" s="64"/>
      <c r="AKR113" s="64"/>
      <c r="AKS113" s="64"/>
      <c r="AKT113" s="64"/>
      <c r="AKU113" s="64"/>
      <c r="AKV113" s="64"/>
      <c r="AKW113" s="64"/>
      <c r="AKX113" s="64"/>
      <c r="AKY113" s="64"/>
      <c r="AKZ113" s="64"/>
      <c r="ALA113" s="64"/>
      <c r="ALB113" s="64"/>
      <c r="ALC113" s="64"/>
      <c r="ALD113" s="64"/>
      <c r="ALE113" s="64"/>
      <c r="ALF113" s="64"/>
      <c r="ALG113" s="64"/>
      <c r="ALH113" s="64"/>
      <c r="ALI113" s="64"/>
      <c r="ALJ113" s="64"/>
      <c r="ALK113" s="64"/>
      <c r="ALL113" s="64"/>
      <c r="ALM113" s="64"/>
      <c r="ALN113" s="64"/>
      <c r="ALO113" s="64"/>
      <c r="ALP113" s="64"/>
      <c r="ALQ113" s="64"/>
      <c r="ALR113" s="64"/>
      <c r="ALS113" s="64"/>
      <c r="ALT113" s="64"/>
      <c r="ALU113" s="64"/>
      <c r="ALV113" s="64"/>
      <c r="ALW113" s="64"/>
      <c r="ALX113" s="64"/>
      <c r="ALY113" s="64"/>
      <c r="ALZ113" s="64"/>
      <c r="AMA113" s="64"/>
      <c r="AMB113" s="64"/>
      <c r="AMC113" s="64"/>
      <c r="AMD113" s="64"/>
      <c r="AME113" s="64"/>
      <c r="AMF113" s="64"/>
      <c r="AMG113" s="64"/>
      <c r="AMH113" s="64"/>
      <c r="AMI113" s="64"/>
      <c r="AMJ113" s="64"/>
      <c r="AMK113" s="64"/>
      <c r="AML113" s="64"/>
      <c r="AMM113" s="64"/>
      <c r="AMN113" s="64"/>
      <c r="AMO113" s="64"/>
      <c r="AMP113" s="64"/>
      <c r="AMQ113" s="64"/>
      <c r="AMR113" s="64"/>
      <c r="AMS113" s="64"/>
      <c r="AMT113" s="64"/>
      <c r="AMU113" s="64"/>
      <c r="AMV113" s="64"/>
      <c r="AMW113" s="64"/>
      <c r="AMX113" s="64"/>
      <c r="AMY113" s="64"/>
      <c r="AMZ113" s="64"/>
      <c r="ANA113" s="64"/>
      <c r="ANB113" s="64"/>
      <c r="ANC113" s="64"/>
      <c r="AND113" s="64"/>
      <c r="ANE113" s="64"/>
      <c r="ANF113" s="64"/>
      <c r="ANG113" s="64"/>
      <c r="ANH113" s="64"/>
      <c r="ANI113" s="64"/>
      <c r="ANJ113" s="64"/>
      <c r="ANK113" s="64"/>
      <c r="ANL113" s="64"/>
      <c r="ANM113" s="64"/>
      <c r="ANN113" s="64"/>
      <c r="ANO113" s="64"/>
      <c r="ANP113" s="64"/>
      <c r="ANQ113" s="64"/>
      <c r="ANR113" s="64"/>
      <c r="ANS113" s="64"/>
      <c r="ANT113" s="64"/>
      <c r="ANU113" s="64"/>
      <c r="ANV113" s="64"/>
      <c r="ANW113" s="64"/>
      <c r="ANX113" s="64"/>
      <c r="ANY113" s="64"/>
      <c r="ANZ113" s="64"/>
      <c r="AOA113" s="64"/>
      <c r="AOB113" s="64"/>
      <c r="AOC113" s="64"/>
      <c r="AOD113" s="64"/>
      <c r="AOE113" s="64"/>
      <c r="AOF113" s="64"/>
      <c r="AOG113" s="64"/>
      <c r="AOH113" s="64"/>
      <c r="AOI113" s="64"/>
      <c r="AOJ113" s="64"/>
      <c r="AOK113" s="64"/>
      <c r="AOL113" s="64"/>
      <c r="AOM113" s="64"/>
      <c r="AON113" s="64"/>
      <c r="AOO113" s="64"/>
      <c r="AOP113" s="64"/>
      <c r="AOQ113" s="64"/>
      <c r="AOR113" s="64"/>
      <c r="AOS113" s="64"/>
      <c r="AOT113" s="64"/>
      <c r="AOU113" s="64"/>
      <c r="AOV113" s="64"/>
      <c r="AOW113" s="64"/>
      <c r="AOX113" s="64"/>
      <c r="AOY113" s="64"/>
      <c r="AOZ113" s="64"/>
      <c r="APA113" s="64"/>
      <c r="APB113" s="64"/>
      <c r="APC113" s="64"/>
      <c r="APD113" s="64"/>
      <c r="APE113" s="64"/>
      <c r="APF113" s="64"/>
      <c r="APG113" s="64"/>
      <c r="APH113" s="64"/>
      <c r="API113" s="64"/>
      <c r="APJ113" s="64"/>
      <c r="APK113" s="64"/>
      <c r="APL113" s="64"/>
      <c r="APM113" s="64"/>
      <c r="APN113" s="64"/>
      <c r="APO113" s="64"/>
      <c r="APP113" s="64"/>
      <c r="APQ113" s="64"/>
      <c r="APR113" s="64"/>
      <c r="APS113" s="64"/>
      <c r="APT113" s="64"/>
      <c r="APU113" s="64"/>
      <c r="APV113" s="64"/>
      <c r="APW113" s="64"/>
      <c r="APX113" s="64"/>
      <c r="APY113" s="64"/>
      <c r="APZ113" s="64"/>
      <c r="AQA113" s="64"/>
      <c r="AQB113" s="64"/>
      <c r="AQC113" s="64"/>
      <c r="AQD113" s="64"/>
      <c r="AQE113" s="64"/>
      <c r="AQF113" s="64"/>
      <c r="AQG113" s="64"/>
      <c r="AQH113" s="64"/>
      <c r="AQI113" s="64"/>
      <c r="AQJ113" s="64"/>
      <c r="AQK113" s="64"/>
      <c r="AQL113" s="64"/>
      <c r="AQM113" s="64"/>
      <c r="AQN113" s="64"/>
      <c r="AQO113" s="64"/>
      <c r="AQP113" s="64"/>
      <c r="AQQ113" s="64"/>
      <c r="AQR113" s="64"/>
      <c r="AQS113" s="64"/>
      <c r="AQT113" s="64"/>
      <c r="AQU113" s="64"/>
      <c r="AQV113" s="64"/>
      <c r="AQW113" s="64"/>
      <c r="AQX113" s="64"/>
      <c r="AQY113" s="64"/>
      <c r="AQZ113" s="64"/>
      <c r="ARA113" s="64"/>
      <c r="ARB113" s="64"/>
      <c r="ARC113" s="64"/>
      <c r="ARD113" s="64"/>
      <c r="ARE113" s="64"/>
      <c r="ARF113" s="64"/>
      <c r="ARG113" s="64"/>
      <c r="ARH113" s="64"/>
      <c r="ARI113" s="64"/>
      <c r="ARJ113" s="64"/>
      <c r="ARK113" s="64"/>
      <c r="ARL113" s="64"/>
      <c r="ARM113" s="64"/>
      <c r="ARN113" s="64"/>
      <c r="ARO113" s="64"/>
      <c r="ARP113" s="64"/>
      <c r="ARQ113" s="64"/>
      <c r="ARR113" s="64"/>
      <c r="ARS113" s="64"/>
      <c r="ART113" s="64"/>
      <c r="ARU113" s="64"/>
      <c r="ARV113" s="64"/>
      <c r="ARW113" s="64"/>
      <c r="ARX113" s="64"/>
      <c r="ARY113" s="64"/>
      <c r="ARZ113" s="64"/>
      <c r="ASA113" s="64"/>
      <c r="ASB113" s="64"/>
      <c r="ASC113" s="64"/>
      <c r="ASD113" s="64"/>
      <c r="ASE113" s="64"/>
      <c r="ASF113" s="64"/>
      <c r="ASG113" s="64"/>
      <c r="ASH113" s="64"/>
      <c r="ASI113" s="64"/>
      <c r="ASJ113" s="64"/>
      <c r="ASK113" s="64"/>
      <c r="ASL113" s="64"/>
      <c r="ASM113" s="64"/>
      <c r="ASN113" s="64"/>
      <c r="ASO113" s="64"/>
      <c r="ASP113" s="64"/>
      <c r="ASQ113" s="64"/>
      <c r="ASR113" s="64"/>
      <c r="ASS113" s="64"/>
      <c r="AST113" s="64"/>
      <c r="ASU113" s="64"/>
      <c r="ASV113" s="64"/>
      <c r="ASW113" s="64"/>
      <c r="ASX113" s="64"/>
      <c r="ASY113" s="64"/>
      <c r="ASZ113" s="64"/>
      <c r="ATA113" s="64"/>
      <c r="ATB113" s="64"/>
      <c r="ATC113" s="64"/>
      <c r="ATD113" s="64"/>
      <c r="ATE113" s="64"/>
      <c r="ATF113" s="64"/>
      <c r="ATG113" s="64"/>
      <c r="ATH113" s="64"/>
      <c r="ATI113" s="64"/>
      <c r="ATJ113" s="64"/>
      <c r="ATK113" s="64"/>
      <c r="ATL113" s="64"/>
      <c r="ATM113" s="64"/>
      <c r="ATN113" s="64"/>
      <c r="ATO113" s="64"/>
      <c r="ATP113" s="64"/>
      <c r="ATQ113" s="64"/>
      <c r="ATR113" s="64"/>
      <c r="ATS113" s="64"/>
      <c r="ATT113" s="64"/>
      <c r="ATU113" s="64"/>
      <c r="ATV113" s="64"/>
      <c r="ATW113" s="64"/>
      <c r="ATX113" s="64"/>
      <c r="ATY113" s="64"/>
      <c r="ATZ113" s="64"/>
      <c r="AUA113" s="64"/>
      <c r="AUB113" s="64"/>
      <c r="AUC113" s="64"/>
      <c r="AUD113" s="64"/>
      <c r="AUE113" s="64"/>
      <c r="AUF113" s="64"/>
      <c r="AUG113" s="64"/>
      <c r="AUH113" s="64"/>
      <c r="AUI113" s="64"/>
      <c r="AUJ113" s="64"/>
      <c r="AUK113" s="64"/>
      <c r="AUL113" s="64"/>
      <c r="AUM113" s="64"/>
      <c r="AUN113" s="64"/>
      <c r="AUO113" s="64"/>
      <c r="AUP113" s="64"/>
      <c r="AUQ113" s="64"/>
      <c r="AUR113" s="64"/>
      <c r="AUS113" s="64"/>
      <c r="AUT113" s="64"/>
      <c r="AUU113" s="64"/>
      <c r="AUV113" s="64"/>
      <c r="AUW113" s="64"/>
      <c r="AUX113" s="64"/>
      <c r="AUY113" s="64"/>
      <c r="AUZ113" s="64"/>
      <c r="AVA113" s="64"/>
      <c r="AVB113" s="64"/>
      <c r="AVC113" s="64"/>
      <c r="AVD113" s="64"/>
      <c r="AVE113" s="64"/>
      <c r="AVF113" s="64"/>
      <c r="AVG113" s="64"/>
      <c r="AVH113" s="64"/>
      <c r="AVI113" s="64"/>
      <c r="AVJ113" s="64"/>
      <c r="AVK113" s="64"/>
      <c r="AVL113" s="64"/>
      <c r="AVM113" s="64"/>
      <c r="AVN113" s="64"/>
      <c r="AVO113" s="64"/>
      <c r="AVP113" s="64"/>
      <c r="AVQ113" s="64"/>
      <c r="AVR113" s="64"/>
      <c r="AVS113" s="64"/>
      <c r="AVT113" s="64"/>
      <c r="AVU113" s="64"/>
      <c r="AVV113" s="64"/>
      <c r="AVW113" s="64"/>
      <c r="AVX113" s="64"/>
      <c r="AVY113" s="64"/>
      <c r="AVZ113" s="64"/>
      <c r="AWA113" s="64"/>
      <c r="AWB113" s="64"/>
      <c r="AWC113" s="64"/>
      <c r="AWD113" s="64"/>
      <c r="AWE113" s="64"/>
      <c r="AWF113" s="64"/>
      <c r="AWG113" s="64"/>
      <c r="AWH113" s="64"/>
      <c r="AWI113" s="64"/>
      <c r="AWJ113" s="64"/>
      <c r="AWK113" s="64"/>
      <c r="AWL113" s="64"/>
      <c r="AWM113" s="64"/>
      <c r="AWN113" s="64"/>
      <c r="AWO113" s="64"/>
      <c r="AWP113" s="64"/>
      <c r="AWQ113" s="64"/>
      <c r="AWR113" s="64"/>
      <c r="AWS113" s="64"/>
      <c r="AWT113" s="64"/>
      <c r="AWU113" s="64"/>
      <c r="AWV113" s="64"/>
      <c r="AWW113" s="64"/>
      <c r="AWX113" s="64"/>
      <c r="AWY113" s="64"/>
      <c r="AWZ113" s="64"/>
      <c r="AXA113" s="64"/>
      <c r="AXB113" s="64"/>
      <c r="AXC113" s="64"/>
      <c r="AXD113" s="64"/>
      <c r="AXE113" s="64"/>
      <c r="AXF113" s="64"/>
      <c r="AXG113" s="64"/>
      <c r="AXH113" s="64"/>
      <c r="AXI113" s="64"/>
      <c r="AXJ113" s="64"/>
      <c r="AXK113" s="64"/>
      <c r="AXL113" s="64"/>
      <c r="AXM113" s="64"/>
      <c r="AXN113" s="64"/>
      <c r="AXO113" s="64"/>
      <c r="AXP113" s="64"/>
      <c r="AXQ113" s="64"/>
      <c r="AXR113" s="64"/>
      <c r="AXS113" s="64"/>
      <c r="AXT113" s="64"/>
      <c r="AXU113" s="64"/>
      <c r="AXV113" s="64"/>
      <c r="AXW113" s="64"/>
      <c r="AXX113" s="64"/>
      <c r="AXY113" s="64"/>
      <c r="AXZ113" s="64"/>
      <c r="AYA113" s="64"/>
      <c r="AYB113" s="64"/>
      <c r="AYC113" s="64"/>
      <c r="AYD113" s="64"/>
      <c r="AYE113" s="64"/>
      <c r="AYF113" s="64"/>
      <c r="AYG113" s="64"/>
      <c r="AYH113" s="64"/>
      <c r="AYI113" s="64"/>
      <c r="AYJ113" s="64"/>
      <c r="AYK113" s="64"/>
      <c r="AYL113" s="64"/>
      <c r="AYM113" s="64"/>
      <c r="AYN113" s="64"/>
      <c r="AYO113" s="64"/>
      <c r="AYP113" s="64"/>
      <c r="AYQ113" s="64"/>
      <c r="AYR113" s="64"/>
      <c r="AYS113" s="64"/>
      <c r="AYT113" s="64"/>
      <c r="AYU113" s="64"/>
      <c r="AYV113" s="64"/>
      <c r="AYW113" s="64"/>
      <c r="AYX113" s="64"/>
      <c r="AYY113" s="64"/>
      <c r="AYZ113" s="64"/>
      <c r="AZA113" s="64"/>
      <c r="AZB113" s="64"/>
      <c r="AZC113" s="64"/>
      <c r="AZD113" s="64"/>
      <c r="AZE113" s="64"/>
      <c r="AZF113" s="64"/>
      <c r="AZG113" s="64"/>
      <c r="AZH113" s="64"/>
      <c r="AZI113" s="64"/>
      <c r="AZJ113" s="64"/>
      <c r="AZK113" s="64"/>
      <c r="AZL113" s="64"/>
      <c r="AZM113" s="64"/>
      <c r="AZN113" s="64"/>
      <c r="AZO113" s="64"/>
      <c r="AZP113" s="64"/>
      <c r="AZQ113" s="64"/>
      <c r="AZR113" s="64"/>
      <c r="AZS113" s="64"/>
      <c r="AZT113" s="64"/>
      <c r="AZU113" s="64"/>
      <c r="AZV113" s="64"/>
      <c r="AZW113" s="64"/>
      <c r="AZX113" s="64"/>
      <c r="AZY113" s="64"/>
      <c r="AZZ113" s="64"/>
      <c r="BAA113" s="64"/>
      <c r="BAB113" s="64"/>
      <c r="BAC113" s="64"/>
      <c r="BAD113" s="64"/>
      <c r="BAE113" s="64"/>
      <c r="BAF113" s="64"/>
      <c r="BAG113" s="64"/>
      <c r="BAH113" s="64"/>
      <c r="BAI113" s="64"/>
      <c r="BAJ113" s="64"/>
      <c r="BAK113" s="64"/>
      <c r="BAL113" s="64"/>
      <c r="BAM113" s="64"/>
      <c r="BAN113" s="64"/>
      <c r="BAO113" s="64"/>
      <c r="BAP113" s="64"/>
      <c r="BAQ113" s="64"/>
      <c r="BAR113" s="64"/>
      <c r="BAS113" s="64"/>
      <c r="BAT113" s="64"/>
      <c r="BAU113" s="64"/>
      <c r="BAV113" s="64"/>
      <c r="BAW113" s="64"/>
      <c r="BAX113" s="64"/>
      <c r="BAY113" s="64"/>
      <c r="BAZ113" s="64"/>
      <c r="BBA113" s="64"/>
      <c r="BBB113" s="64"/>
      <c r="BBC113" s="64"/>
      <c r="BBD113" s="64"/>
      <c r="BBE113" s="64"/>
      <c r="BBF113" s="64"/>
      <c r="BBG113" s="64"/>
      <c r="BBH113" s="64"/>
      <c r="BBI113" s="64"/>
      <c r="BBJ113" s="64"/>
      <c r="BBK113" s="64"/>
      <c r="BBL113" s="64"/>
      <c r="BBM113" s="64"/>
      <c r="BBN113" s="64"/>
      <c r="BBO113" s="64"/>
      <c r="BBP113" s="64"/>
      <c r="BBQ113" s="64"/>
      <c r="BBR113" s="64"/>
      <c r="BBS113" s="64"/>
      <c r="BBT113" s="64"/>
      <c r="BBU113" s="64"/>
      <c r="BBV113" s="64"/>
      <c r="BBW113" s="64"/>
      <c r="BBX113" s="64"/>
      <c r="BBY113" s="64"/>
      <c r="BBZ113" s="64"/>
      <c r="BCA113" s="64"/>
      <c r="BCB113" s="64"/>
      <c r="BCC113" s="64"/>
      <c r="BCD113" s="64"/>
      <c r="BCE113" s="64"/>
      <c r="BCF113" s="64"/>
      <c r="BCG113" s="64"/>
      <c r="BCH113" s="64"/>
      <c r="BCI113" s="64"/>
      <c r="BCJ113" s="64"/>
      <c r="BCK113" s="64"/>
      <c r="BCL113" s="64"/>
      <c r="BCM113" s="64"/>
      <c r="BCN113" s="64"/>
      <c r="BCO113" s="64"/>
      <c r="BCP113" s="64"/>
      <c r="BCQ113" s="64"/>
      <c r="BCR113" s="64"/>
      <c r="BCS113" s="64"/>
      <c r="BCT113" s="64"/>
      <c r="BCU113" s="64"/>
      <c r="BCV113" s="64"/>
      <c r="BCW113" s="64"/>
      <c r="BCX113" s="64"/>
      <c r="BCY113" s="64"/>
      <c r="BCZ113" s="64"/>
      <c r="BDA113" s="64"/>
      <c r="BDB113" s="64"/>
      <c r="BDC113" s="64"/>
      <c r="BDD113" s="64"/>
      <c r="BDE113" s="64"/>
      <c r="BDF113" s="64"/>
      <c r="BDG113" s="64"/>
      <c r="BDH113" s="64"/>
      <c r="BDI113" s="64"/>
      <c r="BDJ113" s="64"/>
      <c r="BDK113" s="64"/>
      <c r="BDL113" s="64"/>
      <c r="BDM113" s="64"/>
      <c r="BDN113" s="64"/>
      <c r="BDO113" s="64"/>
      <c r="BDP113" s="64"/>
      <c r="BDQ113" s="64"/>
      <c r="BDR113" s="64"/>
      <c r="BDS113" s="64"/>
      <c r="BDT113" s="64"/>
      <c r="BDU113" s="64"/>
      <c r="BDV113" s="64"/>
      <c r="BDW113" s="64"/>
      <c r="BDX113" s="64"/>
      <c r="BDY113" s="64"/>
      <c r="BDZ113" s="64"/>
      <c r="BEA113" s="64"/>
      <c r="BEB113" s="64"/>
      <c r="BEC113" s="64"/>
      <c r="BED113" s="64"/>
      <c r="BEE113" s="64"/>
      <c r="BEF113" s="64"/>
      <c r="BEG113" s="64"/>
      <c r="BEH113" s="64"/>
      <c r="BEI113" s="64"/>
      <c r="BEJ113" s="64"/>
      <c r="BEK113" s="64"/>
      <c r="BEL113" s="64"/>
      <c r="BEM113" s="64"/>
      <c r="BEN113" s="64"/>
      <c r="BEO113" s="64"/>
      <c r="BEP113" s="64"/>
      <c r="BEQ113" s="64"/>
      <c r="BER113" s="64"/>
      <c r="BES113" s="64"/>
      <c r="BET113" s="64"/>
      <c r="BEU113" s="64"/>
      <c r="BEV113" s="64"/>
      <c r="BEW113" s="64"/>
      <c r="BEX113" s="64"/>
      <c r="BEY113" s="64"/>
      <c r="BEZ113" s="64"/>
      <c r="BFA113" s="64"/>
      <c r="BFB113" s="64"/>
      <c r="BFC113" s="64"/>
      <c r="BFD113" s="64"/>
      <c r="BFE113" s="64"/>
      <c r="BFF113" s="64"/>
      <c r="BFG113" s="64"/>
      <c r="BFH113" s="64"/>
      <c r="BFI113" s="64"/>
      <c r="BFJ113" s="64"/>
      <c r="BFK113" s="64"/>
      <c r="BFL113" s="64"/>
      <c r="BFM113" s="64"/>
      <c r="BFN113" s="64"/>
      <c r="BFO113" s="64"/>
      <c r="BFP113" s="64"/>
      <c r="BFQ113" s="64"/>
      <c r="BFR113" s="64"/>
      <c r="BFS113" s="64"/>
      <c r="BFT113" s="64"/>
      <c r="BFU113" s="64"/>
      <c r="BFV113" s="64"/>
      <c r="BFW113" s="64"/>
      <c r="BFX113" s="64"/>
      <c r="BFY113" s="64"/>
      <c r="BFZ113" s="64"/>
      <c r="BGA113" s="64"/>
      <c r="BGB113" s="64"/>
      <c r="BGC113" s="64"/>
      <c r="BGD113" s="64"/>
      <c r="BGE113" s="64"/>
      <c r="BGF113" s="64"/>
      <c r="BGG113" s="64"/>
      <c r="BGH113" s="64"/>
      <c r="BGI113" s="64"/>
      <c r="BGJ113" s="64"/>
      <c r="BGK113" s="64"/>
      <c r="BGL113" s="64"/>
      <c r="BGM113" s="64"/>
      <c r="BGN113" s="64"/>
      <c r="BGO113" s="64"/>
      <c r="BGP113" s="64"/>
      <c r="BGQ113" s="64"/>
      <c r="BGR113" s="64"/>
      <c r="BGS113" s="64"/>
      <c r="BGT113" s="64"/>
      <c r="BGU113" s="64"/>
      <c r="BGV113" s="64"/>
      <c r="BGW113" s="64"/>
      <c r="BGX113" s="64"/>
      <c r="BGY113" s="64"/>
      <c r="BGZ113" s="64"/>
      <c r="BHA113" s="64"/>
      <c r="BHB113" s="64"/>
      <c r="BHC113" s="64"/>
      <c r="BHD113" s="64"/>
      <c r="BHE113" s="64"/>
      <c r="BHF113" s="64"/>
      <c r="BHG113" s="64"/>
      <c r="BHH113" s="64"/>
      <c r="BHI113" s="64"/>
      <c r="BHJ113" s="64"/>
      <c r="BHK113" s="64"/>
      <c r="BHL113" s="64"/>
      <c r="BHM113" s="64"/>
      <c r="BHN113" s="64"/>
      <c r="BHO113" s="64"/>
      <c r="BHP113" s="64"/>
      <c r="BHQ113" s="64"/>
      <c r="BHR113" s="64"/>
      <c r="BHS113" s="64"/>
      <c r="BHT113" s="64"/>
      <c r="BHU113" s="64"/>
      <c r="BHV113" s="64"/>
      <c r="BHW113" s="64"/>
      <c r="BHX113" s="64"/>
      <c r="BHY113" s="64"/>
      <c r="BHZ113" s="64"/>
      <c r="BIA113" s="64"/>
      <c r="BIB113" s="64"/>
      <c r="BIC113" s="64"/>
      <c r="BID113" s="64"/>
      <c r="BIE113" s="64"/>
      <c r="BIF113" s="64"/>
      <c r="BIG113" s="64"/>
      <c r="BIH113" s="64"/>
      <c r="BII113" s="64"/>
      <c r="BIJ113" s="64"/>
      <c r="BIK113" s="64"/>
      <c r="BIL113" s="64"/>
      <c r="BIM113" s="64"/>
      <c r="BIN113" s="64"/>
      <c r="BIO113" s="64"/>
      <c r="BIP113" s="64"/>
      <c r="BIQ113" s="64"/>
      <c r="BIR113" s="64"/>
      <c r="BIS113" s="64"/>
      <c r="BIT113" s="64"/>
      <c r="BIU113" s="64"/>
      <c r="BIV113" s="64"/>
      <c r="BIW113" s="64"/>
      <c r="BIX113" s="64"/>
      <c r="BIY113" s="64"/>
      <c r="BIZ113" s="64"/>
      <c r="BJA113" s="64"/>
      <c r="BJB113" s="64"/>
      <c r="BJC113" s="64"/>
      <c r="BJD113" s="64"/>
      <c r="BJE113" s="64"/>
      <c r="BJF113" s="64"/>
      <c r="BJG113" s="64"/>
      <c r="BJH113" s="64"/>
      <c r="BJI113" s="64"/>
      <c r="BJJ113" s="64"/>
      <c r="BJK113" s="64"/>
      <c r="BJL113" s="64"/>
      <c r="BJM113" s="64"/>
      <c r="BJN113" s="64"/>
      <c r="BJO113" s="64"/>
      <c r="BJP113" s="64"/>
      <c r="BJQ113" s="64"/>
      <c r="BJR113" s="64"/>
      <c r="BJS113" s="64"/>
      <c r="BJT113" s="64"/>
      <c r="BJU113" s="64"/>
      <c r="BJV113" s="64"/>
      <c r="BJW113" s="64"/>
      <c r="BJX113" s="64"/>
      <c r="BJY113" s="64"/>
      <c r="BJZ113" s="64"/>
      <c r="BKA113" s="64"/>
      <c r="BKB113" s="64"/>
      <c r="BKC113" s="64"/>
      <c r="BKD113" s="64"/>
      <c r="BKE113" s="64"/>
      <c r="BKF113" s="64"/>
      <c r="BKG113" s="64"/>
      <c r="BKH113" s="64"/>
      <c r="BKI113" s="64"/>
      <c r="BKJ113" s="64"/>
      <c r="BKK113" s="64"/>
      <c r="BKL113" s="64"/>
      <c r="BKM113" s="64"/>
      <c r="BKN113" s="64"/>
      <c r="BKO113" s="64"/>
      <c r="BKP113" s="64"/>
      <c r="BKQ113" s="64"/>
      <c r="BKR113" s="64"/>
      <c r="BKS113" s="64"/>
      <c r="BKT113" s="64"/>
      <c r="BKU113" s="64"/>
      <c r="BKV113" s="64"/>
      <c r="BKW113" s="64"/>
      <c r="BKX113" s="64"/>
      <c r="BKY113" s="64"/>
      <c r="BKZ113" s="64"/>
      <c r="BLA113" s="64"/>
      <c r="BLB113" s="64"/>
      <c r="BLC113" s="64"/>
      <c r="BLD113" s="64"/>
      <c r="BLE113" s="64"/>
      <c r="BLF113" s="64"/>
      <c r="BLG113" s="64"/>
      <c r="BLH113" s="64"/>
      <c r="BLI113" s="64"/>
      <c r="BLJ113" s="64"/>
      <c r="BLK113" s="64"/>
      <c r="BLL113" s="64"/>
      <c r="BLM113" s="64"/>
      <c r="BLN113" s="64"/>
      <c r="BLO113" s="64"/>
      <c r="BLP113" s="64"/>
      <c r="BLQ113" s="64"/>
      <c r="BLR113" s="64"/>
      <c r="BLS113" s="64"/>
      <c r="BLT113" s="64"/>
      <c r="BLU113" s="64"/>
      <c r="BLV113" s="64"/>
      <c r="BLW113" s="64"/>
      <c r="BLX113" s="64"/>
      <c r="BLY113" s="64"/>
      <c r="BLZ113" s="64"/>
      <c r="BMA113" s="64"/>
      <c r="BMB113" s="64"/>
      <c r="BMC113" s="64"/>
      <c r="BMD113" s="64"/>
      <c r="BME113" s="64"/>
      <c r="BMF113" s="64"/>
      <c r="BMG113" s="64"/>
      <c r="BMH113" s="64"/>
      <c r="BMI113" s="64"/>
      <c r="BMJ113" s="64"/>
      <c r="BMK113" s="64"/>
      <c r="BML113" s="64"/>
      <c r="BMM113" s="64"/>
      <c r="BMN113" s="64"/>
      <c r="BMO113" s="64"/>
      <c r="BMP113" s="64"/>
      <c r="BMQ113" s="64"/>
      <c r="BMR113" s="64"/>
      <c r="BMS113" s="64"/>
      <c r="BMT113" s="64"/>
      <c r="BMU113" s="64"/>
      <c r="BMV113" s="64"/>
      <c r="BMW113" s="64"/>
      <c r="BMX113" s="64"/>
      <c r="BMY113" s="64"/>
      <c r="BMZ113" s="64"/>
      <c r="BNA113" s="64"/>
      <c r="BNB113" s="64"/>
      <c r="BNC113" s="64"/>
      <c r="BND113" s="64"/>
      <c r="BNE113" s="64"/>
      <c r="BNF113" s="64"/>
      <c r="BNG113" s="64"/>
      <c r="BNH113" s="64"/>
      <c r="BNI113" s="64"/>
      <c r="BNJ113" s="64"/>
      <c r="BNK113" s="64"/>
      <c r="BNL113" s="64"/>
      <c r="BNM113" s="64"/>
      <c r="BNN113" s="64"/>
      <c r="BNO113" s="64"/>
      <c r="BNP113" s="64"/>
      <c r="BNQ113" s="64"/>
      <c r="BNR113" s="64"/>
      <c r="BNS113" s="64"/>
      <c r="BNT113" s="64"/>
      <c r="BNU113" s="64"/>
      <c r="BNV113" s="64"/>
      <c r="BNW113" s="64"/>
      <c r="BNX113" s="64"/>
      <c r="BNY113" s="64"/>
      <c r="BNZ113" s="64"/>
      <c r="BOA113" s="64"/>
      <c r="BOB113" s="64"/>
      <c r="BOC113" s="64"/>
      <c r="BOD113" s="64"/>
      <c r="BOE113" s="64"/>
      <c r="BOF113" s="64"/>
      <c r="BOG113" s="64"/>
      <c r="BOH113" s="64"/>
      <c r="BOI113" s="64"/>
      <c r="BOJ113" s="64"/>
      <c r="BOK113" s="64"/>
      <c r="BOL113" s="64"/>
      <c r="BOM113" s="64"/>
      <c r="BON113" s="64"/>
      <c r="BOO113" s="64"/>
      <c r="BOP113" s="64"/>
      <c r="BOQ113" s="64"/>
      <c r="BOR113" s="64"/>
      <c r="BOS113" s="64"/>
      <c r="BOT113" s="64"/>
      <c r="BOU113" s="64"/>
      <c r="BOV113" s="64"/>
      <c r="BOW113" s="64"/>
      <c r="BOX113" s="64"/>
      <c r="BOY113" s="64"/>
      <c r="BOZ113" s="64"/>
      <c r="BPA113" s="64"/>
      <c r="BPB113" s="64"/>
      <c r="BPC113" s="64"/>
      <c r="BPD113" s="64"/>
      <c r="BPE113" s="64"/>
      <c r="BPF113" s="64"/>
      <c r="BPG113" s="64"/>
      <c r="BPH113" s="64"/>
      <c r="BPI113" s="64"/>
      <c r="BPJ113" s="64"/>
      <c r="BPK113" s="64"/>
      <c r="BPL113" s="64"/>
      <c r="BPM113" s="64"/>
      <c r="BPN113" s="64"/>
      <c r="BPO113" s="64"/>
      <c r="BPP113" s="64"/>
      <c r="BPQ113" s="64"/>
      <c r="BPR113" s="64"/>
      <c r="BPS113" s="64"/>
      <c r="BPT113" s="64"/>
      <c r="BPU113" s="64"/>
      <c r="BPV113" s="64"/>
      <c r="BPW113" s="64"/>
      <c r="BPX113" s="64"/>
      <c r="BPY113" s="64"/>
      <c r="BPZ113" s="64"/>
      <c r="BQA113" s="64"/>
      <c r="BQB113" s="64"/>
      <c r="BQC113" s="64"/>
      <c r="BQD113" s="64"/>
      <c r="BQE113" s="64"/>
      <c r="BQF113" s="64"/>
      <c r="BQG113" s="64"/>
      <c r="BQH113" s="64"/>
      <c r="BQI113" s="64"/>
      <c r="BQJ113" s="64"/>
      <c r="BQK113" s="64"/>
      <c r="BQL113" s="64"/>
      <c r="BQM113" s="64"/>
      <c r="BQN113" s="64"/>
      <c r="BQO113" s="64"/>
      <c r="BQP113" s="64"/>
      <c r="BQQ113" s="64"/>
      <c r="BQR113" s="64"/>
      <c r="BQS113" s="64"/>
      <c r="BQT113" s="64"/>
      <c r="BQU113" s="64"/>
      <c r="BQV113" s="64"/>
      <c r="BQW113" s="64"/>
      <c r="BQX113" s="64"/>
      <c r="BQY113" s="64"/>
      <c r="BQZ113" s="64"/>
      <c r="BRA113" s="64"/>
      <c r="BRB113" s="64"/>
      <c r="BRC113" s="64"/>
      <c r="BRD113" s="64"/>
      <c r="BRE113" s="64"/>
      <c r="BRF113" s="64"/>
      <c r="BRG113" s="64"/>
      <c r="BRH113" s="64"/>
      <c r="BRI113" s="64"/>
      <c r="BRJ113" s="64"/>
      <c r="BRK113" s="64"/>
      <c r="BRL113" s="64"/>
      <c r="BRM113" s="64"/>
      <c r="BRN113" s="64"/>
      <c r="BRO113" s="64"/>
      <c r="BRP113" s="64"/>
      <c r="BRQ113" s="64"/>
      <c r="BRR113" s="64"/>
      <c r="BRS113" s="64"/>
      <c r="BRT113" s="64"/>
      <c r="BRU113" s="64"/>
      <c r="BRV113" s="64"/>
      <c r="BRW113" s="64"/>
      <c r="BRX113" s="64"/>
      <c r="BRY113" s="64"/>
      <c r="BRZ113" s="64"/>
      <c r="BSA113" s="64"/>
      <c r="BSB113" s="64"/>
      <c r="BSC113" s="64"/>
      <c r="BSD113" s="64"/>
      <c r="BSE113" s="64"/>
      <c r="BSF113" s="64"/>
      <c r="BSG113" s="64"/>
      <c r="BSH113" s="64"/>
      <c r="BSI113" s="64"/>
      <c r="BSJ113" s="64"/>
      <c r="BSK113" s="64"/>
      <c r="BSL113" s="64"/>
      <c r="BSM113" s="64"/>
      <c r="BSN113" s="64"/>
      <c r="BSO113" s="64"/>
      <c r="BSP113" s="64"/>
      <c r="BSQ113" s="64"/>
      <c r="BSR113" s="64"/>
      <c r="BSS113" s="64"/>
      <c r="BST113" s="64"/>
      <c r="BSU113" s="64"/>
      <c r="BSV113" s="64"/>
      <c r="BSW113" s="64"/>
      <c r="BSX113" s="64"/>
      <c r="BSY113" s="64"/>
      <c r="BSZ113" s="64"/>
      <c r="BTA113" s="64"/>
      <c r="BTB113" s="64"/>
      <c r="BTC113" s="64"/>
      <c r="BTD113" s="64"/>
      <c r="BTE113" s="64"/>
      <c r="BTF113" s="64"/>
      <c r="BTG113" s="64"/>
      <c r="BTH113" s="64"/>
      <c r="BTI113" s="64"/>
      <c r="BTJ113" s="64"/>
      <c r="BTK113" s="64"/>
      <c r="BTL113" s="64"/>
      <c r="BTM113" s="64"/>
      <c r="BTN113" s="64"/>
      <c r="BTO113" s="64"/>
      <c r="BTP113" s="64"/>
      <c r="BTQ113" s="64"/>
      <c r="BTR113" s="64"/>
      <c r="BTS113" s="64"/>
      <c r="BTT113" s="64"/>
      <c r="BTU113" s="64"/>
      <c r="BTV113" s="64"/>
      <c r="BTW113" s="64"/>
      <c r="BTX113" s="64"/>
      <c r="BTY113" s="64"/>
      <c r="BTZ113" s="64"/>
      <c r="BUA113" s="64"/>
      <c r="BUB113" s="64"/>
      <c r="BUC113" s="64"/>
      <c r="BUD113" s="64"/>
      <c r="BUE113" s="64"/>
      <c r="BUF113" s="64"/>
      <c r="BUG113" s="64"/>
      <c r="BUH113" s="64"/>
      <c r="BUI113" s="64"/>
      <c r="BUJ113" s="64"/>
      <c r="BUK113" s="64"/>
      <c r="BUL113" s="64"/>
      <c r="BUM113" s="64"/>
      <c r="BUN113" s="64"/>
      <c r="BUO113" s="64"/>
      <c r="BUP113" s="64"/>
      <c r="BUQ113" s="64"/>
      <c r="BUR113" s="64"/>
      <c r="BUS113" s="64"/>
      <c r="BUT113" s="64"/>
      <c r="BUU113" s="64"/>
      <c r="BUV113" s="64"/>
      <c r="BUW113" s="64"/>
      <c r="BUX113" s="64"/>
      <c r="BUY113" s="64"/>
      <c r="BUZ113" s="64"/>
      <c r="BVA113" s="64"/>
      <c r="BVB113" s="64"/>
      <c r="BVC113" s="64"/>
      <c r="BVD113" s="64"/>
      <c r="BVE113" s="64"/>
      <c r="BVF113" s="64"/>
      <c r="BVG113" s="64"/>
      <c r="BVH113" s="64"/>
      <c r="BVI113" s="64"/>
      <c r="BVJ113" s="64"/>
      <c r="BVK113" s="64"/>
      <c r="BVL113" s="64"/>
      <c r="BVM113" s="64"/>
      <c r="BVN113" s="64"/>
      <c r="BVO113" s="64"/>
      <c r="BVP113" s="64"/>
      <c r="BVQ113" s="64"/>
      <c r="BVR113" s="64"/>
      <c r="BVS113" s="64"/>
      <c r="BVT113" s="64"/>
      <c r="BVU113" s="64"/>
      <c r="BVV113" s="64"/>
      <c r="BVW113" s="64"/>
      <c r="BVX113" s="64"/>
      <c r="BVY113" s="64"/>
      <c r="BVZ113" s="64"/>
      <c r="BWA113" s="64"/>
      <c r="BWB113" s="64"/>
      <c r="BWC113" s="64"/>
      <c r="BWD113" s="64"/>
      <c r="BWE113" s="64"/>
      <c r="BWF113" s="64"/>
      <c r="BWG113" s="64"/>
      <c r="BWH113" s="64"/>
      <c r="BWI113" s="64"/>
      <c r="BWJ113" s="64"/>
      <c r="BWK113" s="64"/>
      <c r="BWL113" s="64"/>
      <c r="BWM113" s="64"/>
      <c r="BWN113" s="64"/>
      <c r="BWO113" s="64"/>
      <c r="BWP113" s="64"/>
      <c r="BWQ113" s="64"/>
      <c r="BWR113" s="64"/>
      <c r="BWS113" s="64"/>
      <c r="BWT113" s="64"/>
      <c r="BWU113" s="64"/>
      <c r="BWV113" s="64"/>
      <c r="BWW113" s="64"/>
      <c r="BWX113" s="64"/>
      <c r="BWY113" s="64"/>
      <c r="BWZ113" s="64"/>
      <c r="BXA113" s="64"/>
      <c r="BXB113" s="64"/>
      <c r="BXC113" s="64"/>
      <c r="BXD113" s="64"/>
      <c r="BXE113" s="64"/>
      <c r="BXF113" s="64"/>
      <c r="BXG113" s="64"/>
      <c r="BXH113" s="64"/>
      <c r="BXI113" s="64"/>
      <c r="BXJ113" s="64"/>
      <c r="BXK113" s="64"/>
      <c r="BXL113" s="64"/>
      <c r="BXM113" s="64"/>
      <c r="BXN113" s="64"/>
      <c r="BXO113" s="64"/>
      <c r="BXP113" s="64"/>
      <c r="BXQ113" s="64"/>
      <c r="BXR113" s="64"/>
      <c r="BXS113" s="64"/>
      <c r="BXT113" s="64"/>
      <c r="BXU113" s="64"/>
      <c r="BXV113" s="64"/>
      <c r="BXW113" s="64"/>
      <c r="BXX113" s="64"/>
      <c r="BXY113" s="64"/>
      <c r="BXZ113" s="64"/>
      <c r="BYA113" s="64"/>
      <c r="BYB113" s="64"/>
      <c r="BYC113" s="64"/>
      <c r="BYD113" s="64"/>
      <c r="BYE113" s="64"/>
      <c r="BYF113" s="64"/>
      <c r="BYG113" s="64"/>
      <c r="BYH113" s="64"/>
      <c r="BYI113" s="64"/>
      <c r="BYJ113" s="64"/>
      <c r="BYK113" s="64"/>
      <c r="BYL113" s="64"/>
      <c r="BYM113" s="64"/>
      <c r="BYN113" s="64"/>
      <c r="BYO113" s="64"/>
      <c r="BYP113" s="64"/>
      <c r="BYQ113" s="64"/>
      <c r="BYR113" s="64"/>
      <c r="BYS113" s="64"/>
      <c r="BYT113" s="64"/>
      <c r="BYU113" s="64"/>
      <c r="BYV113" s="64"/>
      <c r="BYW113" s="64"/>
      <c r="BYX113" s="64"/>
      <c r="BYY113" s="64"/>
      <c r="BYZ113" s="64"/>
      <c r="BZA113" s="64"/>
      <c r="BZB113" s="64"/>
      <c r="BZC113" s="64"/>
      <c r="BZD113" s="64"/>
      <c r="BZE113" s="64"/>
      <c r="BZF113" s="64"/>
      <c r="BZG113" s="64"/>
      <c r="BZH113" s="64"/>
      <c r="BZI113" s="64"/>
      <c r="BZJ113" s="64"/>
      <c r="BZK113" s="64"/>
      <c r="BZL113" s="64"/>
      <c r="BZM113" s="64"/>
      <c r="BZN113" s="64"/>
      <c r="BZO113" s="64"/>
      <c r="BZP113" s="64"/>
      <c r="BZQ113" s="64"/>
      <c r="BZR113" s="64"/>
      <c r="BZS113" s="64"/>
      <c r="BZT113" s="64"/>
      <c r="BZU113" s="64"/>
      <c r="BZV113" s="64"/>
      <c r="BZW113" s="64"/>
      <c r="BZX113" s="64"/>
      <c r="BZY113" s="64"/>
      <c r="BZZ113" s="64"/>
      <c r="CAA113" s="64"/>
      <c r="CAB113" s="64"/>
      <c r="CAC113" s="64"/>
      <c r="CAD113" s="64"/>
      <c r="CAE113" s="64"/>
      <c r="CAF113" s="64"/>
      <c r="CAG113" s="64"/>
      <c r="CAH113" s="64"/>
      <c r="CAI113" s="64"/>
      <c r="CAJ113" s="64"/>
      <c r="CAK113" s="64"/>
      <c r="CAL113" s="64"/>
      <c r="CAM113" s="64"/>
      <c r="CAN113" s="64"/>
      <c r="CAO113" s="64"/>
      <c r="CAP113" s="64"/>
      <c r="CAQ113" s="64"/>
      <c r="CAR113" s="64"/>
      <c r="CAS113" s="64"/>
      <c r="CAT113" s="64"/>
      <c r="CAU113" s="64"/>
      <c r="CAV113" s="64"/>
      <c r="CAW113" s="64"/>
      <c r="CAX113" s="64"/>
      <c r="CAY113" s="64"/>
      <c r="CAZ113" s="64"/>
      <c r="CBA113" s="64"/>
      <c r="CBB113" s="64"/>
      <c r="CBC113" s="64"/>
      <c r="CBD113" s="64"/>
      <c r="CBE113" s="64"/>
      <c r="CBF113" s="64"/>
      <c r="CBG113" s="64"/>
      <c r="CBH113" s="64"/>
      <c r="CBI113" s="64"/>
      <c r="CBJ113" s="64"/>
      <c r="CBK113" s="64"/>
      <c r="CBL113" s="64"/>
      <c r="CBM113" s="64"/>
      <c r="CBN113" s="64"/>
      <c r="CBO113" s="64"/>
      <c r="CBP113" s="64"/>
      <c r="CBQ113" s="64"/>
      <c r="CBR113" s="64"/>
      <c r="CBS113" s="64"/>
      <c r="CBT113" s="64"/>
      <c r="CBU113" s="64"/>
      <c r="CBV113" s="64"/>
      <c r="CBW113" s="64"/>
      <c r="CBX113" s="64"/>
      <c r="CBY113" s="64"/>
      <c r="CBZ113" s="64"/>
      <c r="CCA113" s="64"/>
      <c r="CCB113" s="64"/>
      <c r="CCC113" s="64"/>
      <c r="CCD113" s="64"/>
      <c r="CCE113" s="64"/>
      <c r="CCF113" s="64"/>
      <c r="CCG113" s="64"/>
      <c r="CCH113" s="64"/>
      <c r="CCI113" s="64"/>
      <c r="CCJ113" s="64"/>
      <c r="CCK113" s="64"/>
      <c r="CCL113" s="64"/>
      <c r="CCM113" s="64"/>
      <c r="CCN113" s="64"/>
      <c r="CCO113" s="64"/>
      <c r="CCP113" s="64"/>
      <c r="CCQ113" s="64"/>
      <c r="CCR113" s="64"/>
      <c r="CCS113" s="64"/>
      <c r="CCT113" s="64"/>
      <c r="CCU113" s="64"/>
      <c r="CCV113" s="64"/>
      <c r="CCW113" s="64"/>
      <c r="CCX113" s="64"/>
      <c r="CCY113" s="64"/>
      <c r="CCZ113" s="64"/>
      <c r="CDA113" s="64"/>
      <c r="CDB113" s="64"/>
      <c r="CDC113" s="64"/>
      <c r="CDD113" s="64"/>
      <c r="CDE113" s="64"/>
      <c r="CDF113" s="64"/>
      <c r="CDG113" s="64"/>
      <c r="CDH113" s="64"/>
      <c r="CDI113" s="64"/>
      <c r="CDJ113" s="64"/>
      <c r="CDK113" s="64"/>
      <c r="CDL113" s="64"/>
      <c r="CDM113" s="64"/>
      <c r="CDN113" s="64"/>
      <c r="CDO113" s="64"/>
      <c r="CDP113" s="64"/>
      <c r="CDQ113" s="64"/>
      <c r="CDR113" s="64"/>
      <c r="CDS113" s="64"/>
      <c r="CDT113" s="64"/>
      <c r="CDU113" s="64"/>
      <c r="CDV113" s="64"/>
      <c r="CDW113" s="64"/>
      <c r="CDX113" s="64"/>
      <c r="CDY113" s="64"/>
      <c r="CDZ113" s="64"/>
      <c r="CEA113" s="64"/>
      <c r="CEB113" s="64"/>
      <c r="CEC113" s="64"/>
      <c r="CED113" s="64"/>
      <c r="CEE113" s="64"/>
      <c r="CEF113" s="64"/>
      <c r="CEG113" s="64"/>
      <c r="CEH113" s="64"/>
      <c r="CEI113" s="64"/>
      <c r="CEJ113" s="64"/>
      <c r="CEK113" s="64"/>
      <c r="CEL113" s="64"/>
      <c r="CEM113" s="64"/>
      <c r="CEN113" s="64"/>
      <c r="CEO113" s="64"/>
      <c r="CEP113" s="64"/>
      <c r="CEQ113" s="64"/>
      <c r="CER113" s="64"/>
      <c r="CES113" s="64"/>
      <c r="CET113" s="64"/>
      <c r="CEU113" s="64"/>
      <c r="CEV113" s="64"/>
      <c r="CEW113" s="64"/>
      <c r="CEX113" s="64"/>
      <c r="CEY113" s="64"/>
      <c r="CEZ113" s="64"/>
      <c r="CFA113" s="64"/>
      <c r="CFB113" s="64"/>
      <c r="CFC113" s="64"/>
      <c r="CFD113" s="64"/>
      <c r="CFE113" s="64"/>
      <c r="CFF113" s="64"/>
      <c r="CFG113" s="64"/>
      <c r="CFH113" s="64"/>
      <c r="CFI113" s="64"/>
      <c r="CFJ113" s="64"/>
      <c r="CFK113" s="64"/>
      <c r="CFL113" s="64"/>
      <c r="CFM113" s="64"/>
      <c r="CFN113" s="64"/>
      <c r="CFO113" s="64"/>
      <c r="CFP113" s="64"/>
      <c r="CFQ113" s="64"/>
      <c r="CFR113" s="64"/>
      <c r="CFS113" s="64"/>
      <c r="CFT113" s="64"/>
      <c r="CFU113" s="64"/>
      <c r="CFV113" s="64"/>
      <c r="CFW113" s="64"/>
      <c r="CFX113" s="64"/>
      <c r="CFY113" s="64"/>
      <c r="CFZ113" s="64"/>
      <c r="CGA113" s="64"/>
      <c r="CGB113" s="64"/>
      <c r="CGC113" s="64"/>
      <c r="CGD113" s="64"/>
      <c r="CGE113" s="64"/>
      <c r="CGF113" s="64"/>
      <c r="CGG113" s="64"/>
      <c r="CGH113" s="64"/>
      <c r="CGI113" s="64"/>
      <c r="CGJ113" s="64"/>
      <c r="CGK113" s="64"/>
      <c r="CGL113" s="64"/>
      <c r="CGM113" s="64"/>
      <c r="CGN113" s="64"/>
      <c r="CGO113" s="64"/>
      <c r="CGP113" s="64"/>
      <c r="CGQ113" s="64"/>
      <c r="CGR113" s="64"/>
      <c r="CGS113" s="64"/>
      <c r="CGT113" s="64"/>
      <c r="CGU113" s="64"/>
      <c r="CGV113" s="64"/>
      <c r="CGW113" s="64"/>
      <c r="CGX113" s="64"/>
      <c r="CGY113" s="64"/>
      <c r="CGZ113" s="64"/>
      <c r="CHA113" s="64"/>
      <c r="CHB113" s="64"/>
      <c r="CHC113" s="64"/>
      <c r="CHD113" s="64"/>
      <c r="CHE113" s="64"/>
      <c r="CHF113" s="64"/>
      <c r="CHG113" s="64"/>
      <c r="CHH113" s="64"/>
      <c r="CHI113" s="64"/>
      <c r="CHJ113" s="64"/>
      <c r="CHK113" s="64"/>
      <c r="CHL113" s="64"/>
      <c r="CHM113" s="64"/>
      <c r="CHN113" s="64"/>
      <c r="CHO113" s="64"/>
      <c r="CHP113" s="64"/>
      <c r="CHQ113" s="64"/>
      <c r="CHR113" s="64"/>
      <c r="CHS113" s="64"/>
      <c r="CHT113" s="64"/>
      <c r="CHU113" s="64"/>
      <c r="CHV113" s="64"/>
      <c r="CHW113" s="64"/>
      <c r="CHX113" s="64"/>
      <c r="CHY113" s="64"/>
      <c r="CHZ113" s="64"/>
      <c r="CIA113" s="64"/>
      <c r="CIB113" s="64"/>
      <c r="CIC113" s="64"/>
      <c r="CID113" s="64"/>
      <c r="CIE113" s="64"/>
      <c r="CIF113" s="64"/>
      <c r="CIG113" s="64"/>
      <c r="CIH113" s="64"/>
      <c r="CII113" s="64"/>
      <c r="CIJ113" s="64"/>
      <c r="CIK113" s="64"/>
      <c r="CIL113" s="64"/>
      <c r="CIM113" s="64"/>
      <c r="CIN113" s="64"/>
      <c r="CIO113" s="64"/>
      <c r="CIP113" s="64"/>
      <c r="CIQ113" s="64"/>
      <c r="CIR113" s="64"/>
      <c r="CIS113" s="64"/>
      <c r="CIT113" s="64"/>
      <c r="CIU113" s="64"/>
      <c r="CIV113" s="64"/>
      <c r="CIW113" s="64"/>
      <c r="CIX113" s="64"/>
      <c r="CIY113" s="64"/>
      <c r="CIZ113" s="64"/>
      <c r="CJA113" s="64"/>
      <c r="CJB113" s="64"/>
      <c r="CJC113" s="64"/>
      <c r="CJD113" s="64"/>
      <c r="CJE113" s="64"/>
      <c r="CJF113" s="64"/>
      <c r="CJG113" s="64"/>
      <c r="CJH113" s="64"/>
      <c r="CJI113" s="64"/>
      <c r="CJJ113" s="64"/>
      <c r="CJK113" s="64"/>
      <c r="CJL113" s="64"/>
      <c r="CJM113" s="64"/>
      <c r="CJN113" s="64"/>
      <c r="CJO113" s="64"/>
      <c r="CJP113" s="64"/>
      <c r="CJQ113" s="64"/>
      <c r="CJR113" s="64"/>
      <c r="CJS113" s="64"/>
      <c r="CJT113" s="64"/>
      <c r="CJU113" s="64"/>
      <c r="CJV113" s="64"/>
      <c r="CJW113" s="64"/>
      <c r="CJX113" s="64"/>
      <c r="CJY113" s="64"/>
      <c r="CJZ113" s="64"/>
      <c r="CKA113" s="64"/>
      <c r="CKB113" s="64"/>
      <c r="CKC113" s="64"/>
      <c r="CKD113" s="64"/>
      <c r="CKE113" s="64"/>
      <c r="CKF113" s="64"/>
      <c r="CKG113" s="64"/>
      <c r="CKH113" s="64"/>
      <c r="CKI113" s="64"/>
      <c r="CKJ113" s="64"/>
      <c r="CKK113" s="64"/>
      <c r="CKL113" s="64"/>
      <c r="CKM113" s="64"/>
      <c r="CKN113" s="64"/>
      <c r="CKO113" s="64"/>
      <c r="CKP113" s="64"/>
      <c r="CKQ113" s="64"/>
      <c r="CKR113" s="64"/>
      <c r="CKS113" s="64"/>
      <c r="CKT113" s="64"/>
      <c r="CKU113" s="64"/>
      <c r="CKV113" s="64"/>
      <c r="CKW113" s="64"/>
      <c r="CKX113" s="64"/>
      <c r="CKY113" s="64"/>
      <c r="CKZ113" s="64"/>
      <c r="CLA113" s="64"/>
      <c r="CLB113" s="64"/>
      <c r="CLC113" s="64"/>
      <c r="CLD113" s="64"/>
      <c r="CLE113" s="64"/>
      <c r="CLF113" s="64"/>
      <c r="CLG113" s="64"/>
      <c r="CLH113" s="64"/>
      <c r="CLI113" s="64"/>
      <c r="CLJ113" s="64"/>
      <c r="CLK113" s="64"/>
      <c r="CLL113" s="64"/>
      <c r="CLM113" s="64"/>
      <c r="CLN113" s="64"/>
      <c r="CLO113" s="64"/>
      <c r="CLP113" s="64"/>
      <c r="CLQ113" s="64"/>
      <c r="CLR113" s="64"/>
      <c r="CLS113" s="64"/>
      <c r="CLT113" s="64"/>
      <c r="CLU113" s="64"/>
      <c r="CLV113" s="64"/>
      <c r="CLW113" s="64"/>
      <c r="CLX113" s="64"/>
      <c r="CLY113" s="64"/>
      <c r="CLZ113" s="64"/>
      <c r="CMA113" s="64"/>
      <c r="CMB113" s="64"/>
      <c r="CMC113" s="64"/>
      <c r="CMD113" s="64"/>
      <c r="CME113" s="64"/>
      <c r="CMF113" s="64"/>
      <c r="CMG113" s="64"/>
      <c r="CMH113" s="64"/>
      <c r="CMI113" s="64"/>
      <c r="CMJ113" s="64"/>
      <c r="CMK113" s="64"/>
      <c r="CML113" s="64"/>
      <c r="CMM113" s="64"/>
      <c r="CMN113" s="64"/>
      <c r="CMO113" s="64"/>
      <c r="CMP113" s="64"/>
      <c r="CMQ113" s="64"/>
      <c r="CMR113" s="64"/>
      <c r="CMS113" s="64"/>
      <c r="CMT113" s="64"/>
      <c r="CMU113" s="64"/>
      <c r="CMV113" s="64"/>
      <c r="CMW113" s="64"/>
      <c r="CMX113" s="64"/>
      <c r="CMY113" s="64"/>
      <c r="CMZ113" s="64"/>
      <c r="CNA113" s="64"/>
      <c r="CNB113" s="64"/>
      <c r="CNC113" s="64"/>
      <c r="CND113" s="64"/>
      <c r="CNE113" s="64"/>
      <c r="CNF113" s="64"/>
      <c r="CNG113" s="64"/>
      <c r="CNH113" s="64"/>
      <c r="CNI113" s="64"/>
      <c r="CNJ113" s="64"/>
      <c r="CNK113" s="64"/>
      <c r="CNL113" s="64"/>
      <c r="CNM113" s="64"/>
      <c r="CNN113" s="64"/>
      <c r="CNO113" s="64"/>
      <c r="CNP113" s="64"/>
      <c r="CNQ113" s="64"/>
      <c r="CNR113" s="64"/>
      <c r="CNS113" s="64"/>
      <c r="CNT113" s="64"/>
      <c r="CNU113" s="64"/>
      <c r="CNV113" s="64"/>
      <c r="CNW113" s="64"/>
      <c r="CNX113" s="64"/>
      <c r="CNY113" s="64"/>
      <c r="CNZ113" s="64"/>
      <c r="COA113" s="64"/>
      <c r="COB113" s="64"/>
      <c r="COC113" s="64"/>
      <c r="COD113" s="64"/>
      <c r="COE113" s="64"/>
      <c r="COF113" s="64"/>
      <c r="COG113" s="64"/>
      <c r="COH113" s="64"/>
      <c r="COI113" s="64"/>
      <c r="COJ113" s="64"/>
      <c r="COK113" s="64"/>
      <c r="COL113" s="64"/>
      <c r="COM113" s="64"/>
      <c r="CON113" s="64"/>
      <c r="COO113" s="64"/>
      <c r="COP113" s="64"/>
      <c r="COQ113" s="64"/>
      <c r="COR113" s="64"/>
      <c r="COS113" s="64"/>
      <c r="COT113" s="64"/>
      <c r="COU113" s="64"/>
      <c r="COV113" s="64"/>
      <c r="COW113" s="64"/>
      <c r="COX113" s="64"/>
      <c r="COY113" s="64"/>
      <c r="COZ113" s="64"/>
      <c r="CPA113" s="64"/>
      <c r="CPB113" s="64"/>
      <c r="CPC113" s="64"/>
      <c r="CPD113" s="64"/>
      <c r="CPE113" s="64"/>
      <c r="CPF113" s="64"/>
      <c r="CPG113" s="64"/>
      <c r="CPH113" s="64"/>
      <c r="CPI113" s="64"/>
      <c r="CPJ113" s="64"/>
      <c r="CPK113" s="64"/>
      <c r="CPL113" s="64"/>
      <c r="CPM113" s="64"/>
      <c r="CPN113" s="64"/>
      <c r="CPO113" s="64"/>
      <c r="CPP113" s="64"/>
      <c r="CPQ113" s="64"/>
      <c r="CPR113" s="64"/>
      <c r="CPS113" s="64"/>
      <c r="CPT113" s="64"/>
      <c r="CPU113" s="64"/>
      <c r="CPV113" s="64"/>
      <c r="CPW113" s="64"/>
      <c r="CPX113" s="64"/>
      <c r="CPY113" s="64"/>
      <c r="CPZ113" s="64"/>
      <c r="CQA113" s="64"/>
      <c r="CQB113" s="64"/>
      <c r="CQC113" s="64"/>
      <c r="CQD113" s="64"/>
      <c r="CQE113" s="64"/>
      <c r="CQF113" s="64"/>
      <c r="CQG113" s="64"/>
      <c r="CQH113" s="64"/>
      <c r="CQI113" s="64"/>
      <c r="CQJ113" s="64"/>
      <c r="CQK113" s="64"/>
      <c r="CQL113" s="64"/>
      <c r="CQM113" s="64"/>
      <c r="CQN113" s="64"/>
      <c r="CQO113" s="64"/>
      <c r="CQP113" s="64"/>
      <c r="CQQ113" s="64"/>
      <c r="CQR113" s="64"/>
      <c r="CQS113" s="64"/>
      <c r="CQT113" s="64"/>
      <c r="CQU113" s="64"/>
      <c r="CQV113" s="64"/>
      <c r="CQW113" s="64"/>
      <c r="CQX113" s="64"/>
      <c r="CQY113" s="64"/>
      <c r="CQZ113" s="64"/>
      <c r="CRA113" s="64"/>
      <c r="CRB113" s="64"/>
      <c r="CRC113" s="64"/>
      <c r="CRD113" s="64"/>
      <c r="CRE113" s="64"/>
      <c r="CRF113" s="64"/>
      <c r="CRG113" s="64"/>
      <c r="CRH113" s="64"/>
      <c r="CRI113" s="64"/>
      <c r="CRJ113" s="64"/>
      <c r="CRK113" s="64"/>
      <c r="CRL113" s="64"/>
      <c r="CRM113" s="64"/>
      <c r="CRN113" s="64"/>
      <c r="CRO113" s="64"/>
      <c r="CRP113" s="64"/>
      <c r="CRQ113" s="64"/>
      <c r="CRR113" s="64"/>
      <c r="CRS113" s="64"/>
      <c r="CRT113" s="64"/>
      <c r="CRU113" s="64"/>
      <c r="CRV113" s="64"/>
      <c r="CRW113" s="64"/>
      <c r="CRX113" s="64"/>
      <c r="CRY113" s="64"/>
      <c r="CRZ113" s="64"/>
      <c r="CSA113" s="64"/>
      <c r="CSB113" s="64"/>
      <c r="CSC113" s="64"/>
      <c r="CSD113" s="64"/>
      <c r="CSE113" s="64"/>
      <c r="CSF113" s="64"/>
      <c r="CSG113" s="64"/>
      <c r="CSH113" s="64"/>
      <c r="CSI113" s="64"/>
      <c r="CSJ113" s="64"/>
      <c r="CSK113" s="64"/>
      <c r="CSL113" s="64"/>
      <c r="CSM113" s="64"/>
      <c r="CSN113" s="64"/>
      <c r="CSO113" s="64"/>
      <c r="CSP113" s="64"/>
      <c r="CSQ113" s="64"/>
      <c r="CSR113" s="64"/>
      <c r="CSS113" s="64"/>
      <c r="CST113" s="64"/>
      <c r="CSU113" s="64"/>
      <c r="CSV113" s="64"/>
      <c r="CSW113" s="64"/>
      <c r="CSX113" s="64"/>
      <c r="CSY113" s="64"/>
      <c r="CSZ113" s="64"/>
      <c r="CTA113" s="64"/>
      <c r="CTB113" s="64"/>
      <c r="CTC113" s="64"/>
      <c r="CTD113" s="64"/>
      <c r="CTE113" s="64"/>
      <c r="CTF113" s="64"/>
      <c r="CTG113" s="64"/>
      <c r="CTH113" s="64"/>
      <c r="CTI113" s="64"/>
      <c r="CTJ113" s="64"/>
      <c r="CTK113" s="64"/>
      <c r="CTL113" s="64"/>
      <c r="CTM113" s="64"/>
      <c r="CTN113" s="64"/>
      <c r="CTO113" s="64"/>
      <c r="CTP113" s="64"/>
      <c r="CTQ113" s="64"/>
      <c r="CTR113" s="64"/>
      <c r="CTS113" s="64"/>
      <c r="CTT113" s="64"/>
      <c r="CTU113" s="64"/>
      <c r="CTV113" s="64"/>
      <c r="CTW113" s="64"/>
      <c r="CTX113" s="64"/>
      <c r="CTY113" s="64"/>
      <c r="CTZ113" s="64"/>
      <c r="CUA113" s="64"/>
      <c r="CUB113" s="64"/>
      <c r="CUC113" s="64"/>
      <c r="CUD113" s="64"/>
      <c r="CUE113" s="64"/>
      <c r="CUF113" s="64"/>
      <c r="CUG113" s="64"/>
      <c r="CUH113" s="64"/>
      <c r="CUI113" s="64"/>
      <c r="CUJ113" s="64"/>
      <c r="CUK113" s="64"/>
      <c r="CUL113" s="64"/>
      <c r="CUM113" s="64"/>
      <c r="CUN113" s="64"/>
      <c r="CUO113" s="64"/>
      <c r="CUP113" s="64"/>
      <c r="CUQ113" s="64"/>
      <c r="CUR113" s="64"/>
      <c r="CUS113" s="64"/>
      <c r="CUT113" s="64"/>
      <c r="CUU113" s="64"/>
      <c r="CUV113" s="64"/>
      <c r="CUW113" s="64"/>
      <c r="CUX113" s="64"/>
      <c r="CUY113" s="64"/>
      <c r="CUZ113" s="64"/>
      <c r="CVA113" s="64"/>
      <c r="CVB113" s="64"/>
      <c r="CVC113" s="64"/>
      <c r="CVD113" s="64"/>
      <c r="CVE113" s="64"/>
      <c r="CVF113" s="64"/>
      <c r="CVG113" s="64"/>
      <c r="CVH113" s="64"/>
      <c r="CVI113" s="64"/>
      <c r="CVJ113" s="64"/>
      <c r="CVK113" s="64"/>
      <c r="CVL113" s="64"/>
      <c r="CVM113" s="64"/>
      <c r="CVN113" s="64"/>
      <c r="CVO113" s="64"/>
      <c r="CVP113" s="64"/>
      <c r="CVQ113" s="64"/>
      <c r="CVR113" s="64"/>
      <c r="CVS113" s="64"/>
      <c r="CVT113" s="64"/>
      <c r="CVU113" s="64"/>
      <c r="CVV113" s="64"/>
      <c r="CVW113" s="64"/>
      <c r="CVX113" s="64"/>
      <c r="CVY113" s="64"/>
      <c r="CVZ113" s="64"/>
      <c r="CWA113" s="64"/>
      <c r="CWB113" s="64"/>
      <c r="CWC113" s="64"/>
      <c r="CWD113" s="64"/>
      <c r="CWE113" s="64"/>
      <c r="CWF113" s="64"/>
      <c r="CWG113" s="64"/>
      <c r="CWH113" s="64"/>
      <c r="CWI113" s="64"/>
      <c r="CWJ113" s="64"/>
      <c r="CWK113" s="64"/>
      <c r="CWL113" s="64"/>
      <c r="CWM113" s="64"/>
      <c r="CWN113" s="64"/>
      <c r="CWO113" s="64"/>
      <c r="CWP113" s="64"/>
      <c r="CWQ113" s="64"/>
      <c r="CWR113" s="64"/>
      <c r="CWS113" s="64"/>
      <c r="CWT113" s="64"/>
      <c r="CWU113" s="64"/>
      <c r="CWV113" s="64"/>
      <c r="CWW113" s="64"/>
      <c r="CWX113" s="64"/>
      <c r="CWY113" s="64"/>
      <c r="CWZ113" s="64"/>
      <c r="CXA113" s="64"/>
      <c r="CXB113" s="64"/>
      <c r="CXC113" s="64"/>
      <c r="CXD113" s="64"/>
      <c r="CXE113" s="64"/>
      <c r="CXF113" s="64"/>
      <c r="CXG113" s="64"/>
      <c r="CXH113" s="64"/>
      <c r="CXI113" s="64"/>
      <c r="CXJ113" s="64"/>
      <c r="CXK113" s="64"/>
      <c r="CXL113" s="64"/>
      <c r="CXM113" s="64"/>
      <c r="CXN113" s="64"/>
      <c r="CXO113" s="64"/>
      <c r="CXP113" s="64"/>
      <c r="CXQ113" s="64"/>
      <c r="CXR113" s="64"/>
      <c r="CXS113" s="64"/>
      <c r="CXT113" s="64"/>
      <c r="CXU113" s="64"/>
      <c r="CXV113" s="64"/>
      <c r="CXW113" s="64"/>
      <c r="CXX113" s="64"/>
      <c r="CXY113" s="64"/>
      <c r="CXZ113" s="64"/>
      <c r="CYA113" s="64"/>
      <c r="CYB113" s="64"/>
      <c r="CYC113" s="64"/>
      <c r="CYD113" s="64"/>
      <c r="CYE113" s="64"/>
      <c r="CYF113" s="64"/>
      <c r="CYG113" s="64"/>
      <c r="CYH113" s="64"/>
      <c r="CYI113" s="64"/>
      <c r="CYJ113" s="64"/>
      <c r="CYK113" s="64"/>
      <c r="CYL113" s="64"/>
      <c r="CYM113" s="64"/>
      <c r="CYN113" s="64"/>
      <c r="CYO113" s="64"/>
      <c r="CYP113" s="64"/>
      <c r="CYQ113" s="64"/>
      <c r="CYR113" s="64"/>
      <c r="CYS113" s="64"/>
      <c r="CYT113" s="64"/>
      <c r="CYU113" s="64"/>
      <c r="CYV113" s="64"/>
      <c r="CYW113" s="64"/>
      <c r="CYX113" s="64"/>
      <c r="CYY113" s="64"/>
      <c r="CYZ113" s="64"/>
      <c r="CZA113" s="64"/>
      <c r="CZB113" s="64"/>
      <c r="CZC113" s="64"/>
      <c r="CZD113" s="64"/>
      <c r="CZE113" s="64"/>
      <c r="CZF113" s="64"/>
      <c r="CZG113" s="64"/>
      <c r="CZH113" s="64"/>
      <c r="CZI113" s="64"/>
      <c r="CZJ113" s="64"/>
      <c r="CZK113" s="64"/>
      <c r="CZL113" s="64"/>
      <c r="CZM113" s="64"/>
      <c r="CZN113" s="64"/>
      <c r="CZO113" s="64"/>
      <c r="CZP113" s="64"/>
      <c r="CZQ113" s="64"/>
      <c r="CZR113" s="64"/>
      <c r="CZS113" s="64"/>
      <c r="CZT113" s="64"/>
      <c r="CZU113" s="64"/>
      <c r="CZV113" s="64"/>
      <c r="CZW113" s="64"/>
      <c r="CZX113" s="64"/>
      <c r="CZY113" s="64"/>
      <c r="CZZ113" s="64"/>
      <c r="DAA113" s="64"/>
      <c r="DAB113" s="64"/>
      <c r="DAC113" s="64"/>
      <c r="DAD113" s="64"/>
      <c r="DAE113" s="64"/>
      <c r="DAF113" s="64"/>
      <c r="DAG113" s="64"/>
      <c r="DAH113" s="64"/>
      <c r="DAI113" s="64"/>
      <c r="DAJ113" s="64"/>
      <c r="DAK113" s="64"/>
      <c r="DAL113" s="64"/>
      <c r="DAM113" s="64"/>
      <c r="DAN113" s="64"/>
      <c r="DAO113" s="64"/>
      <c r="DAP113" s="64"/>
      <c r="DAQ113" s="64"/>
      <c r="DAR113" s="64"/>
      <c r="DAS113" s="64"/>
      <c r="DAT113" s="64"/>
      <c r="DAU113" s="64"/>
      <c r="DAV113" s="64"/>
      <c r="DAW113" s="64"/>
      <c r="DAX113" s="64"/>
      <c r="DAY113" s="64"/>
      <c r="DAZ113" s="64"/>
      <c r="DBA113" s="64"/>
      <c r="DBB113" s="64"/>
      <c r="DBC113" s="64"/>
      <c r="DBD113" s="64"/>
      <c r="DBE113" s="64"/>
      <c r="DBF113" s="64"/>
      <c r="DBG113" s="64"/>
      <c r="DBH113" s="64"/>
      <c r="DBI113" s="64"/>
      <c r="DBJ113" s="64"/>
      <c r="DBK113" s="64"/>
      <c r="DBL113" s="64"/>
      <c r="DBM113" s="64"/>
      <c r="DBN113" s="64"/>
      <c r="DBO113" s="64"/>
      <c r="DBP113" s="64"/>
      <c r="DBQ113" s="64"/>
      <c r="DBR113" s="64"/>
      <c r="DBS113" s="64"/>
      <c r="DBT113" s="64"/>
      <c r="DBU113" s="64"/>
      <c r="DBV113" s="64"/>
      <c r="DBW113" s="64"/>
      <c r="DBX113" s="64"/>
      <c r="DBY113" s="64"/>
      <c r="DBZ113" s="64"/>
      <c r="DCA113" s="64"/>
      <c r="DCB113" s="64"/>
      <c r="DCC113" s="64"/>
      <c r="DCD113" s="64"/>
      <c r="DCE113" s="64"/>
      <c r="DCF113" s="64"/>
      <c r="DCG113" s="64"/>
      <c r="DCH113" s="64"/>
      <c r="DCI113" s="64"/>
      <c r="DCJ113" s="64"/>
      <c r="DCK113" s="64"/>
      <c r="DCL113" s="64"/>
      <c r="DCM113" s="64"/>
      <c r="DCN113" s="64"/>
      <c r="DCO113" s="64"/>
      <c r="DCP113" s="64"/>
      <c r="DCQ113" s="64"/>
      <c r="DCR113" s="64"/>
      <c r="DCS113" s="64"/>
      <c r="DCT113" s="64"/>
      <c r="DCU113" s="64"/>
      <c r="DCV113" s="64"/>
      <c r="DCW113" s="64"/>
      <c r="DCX113" s="64"/>
      <c r="DCY113" s="64"/>
      <c r="DCZ113" s="64"/>
      <c r="DDA113" s="64"/>
      <c r="DDB113" s="64"/>
      <c r="DDC113" s="64"/>
      <c r="DDD113" s="64"/>
      <c r="DDE113" s="64"/>
      <c r="DDF113" s="64"/>
      <c r="DDG113" s="64"/>
      <c r="DDH113" s="64"/>
      <c r="DDI113" s="64"/>
      <c r="DDJ113" s="64"/>
      <c r="DDK113" s="64"/>
      <c r="DDL113" s="64"/>
      <c r="DDM113" s="64"/>
      <c r="DDN113" s="64"/>
      <c r="DDO113" s="64"/>
      <c r="DDP113" s="64"/>
      <c r="DDQ113" s="64"/>
      <c r="DDR113" s="64"/>
      <c r="DDS113" s="64"/>
      <c r="DDT113" s="64"/>
      <c r="DDU113" s="64"/>
      <c r="DDV113" s="64"/>
      <c r="DDW113" s="64"/>
      <c r="DDX113" s="64"/>
      <c r="DDY113" s="64"/>
      <c r="DDZ113" s="64"/>
      <c r="DEA113" s="64"/>
      <c r="DEB113" s="64"/>
      <c r="DEC113" s="64"/>
      <c r="DED113" s="64"/>
      <c r="DEE113" s="64"/>
      <c r="DEF113" s="64"/>
      <c r="DEG113" s="64"/>
      <c r="DEH113" s="64"/>
      <c r="DEI113" s="64"/>
      <c r="DEJ113" s="64"/>
      <c r="DEK113" s="64"/>
      <c r="DEL113" s="64"/>
      <c r="DEM113" s="64"/>
      <c r="DEN113" s="64"/>
      <c r="DEO113" s="64"/>
      <c r="DEP113" s="64"/>
      <c r="DEQ113" s="64"/>
      <c r="DER113" s="64"/>
      <c r="DES113" s="64"/>
      <c r="DET113" s="64"/>
      <c r="DEU113" s="64"/>
      <c r="DEV113" s="64"/>
      <c r="DEW113" s="64"/>
      <c r="DEX113" s="64"/>
      <c r="DEY113" s="64"/>
      <c r="DEZ113" s="64"/>
      <c r="DFA113" s="64"/>
      <c r="DFB113" s="64"/>
      <c r="DFC113" s="64"/>
      <c r="DFD113" s="64"/>
      <c r="DFE113" s="64"/>
      <c r="DFF113" s="64"/>
      <c r="DFG113" s="64"/>
      <c r="DFH113" s="64"/>
      <c r="DFI113" s="64"/>
      <c r="DFJ113" s="64"/>
      <c r="DFK113" s="64"/>
      <c r="DFL113" s="64"/>
      <c r="DFM113" s="64"/>
      <c r="DFN113" s="64"/>
      <c r="DFO113" s="64"/>
      <c r="DFP113" s="64"/>
      <c r="DFQ113" s="64"/>
      <c r="DFR113" s="64"/>
      <c r="DFS113" s="64"/>
      <c r="DFT113" s="64"/>
      <c r="DFU113" s="64"/>
      <c r="DFV113" s="64"/>
      <c r="DFW113" s="64"/>
      <c r="DFX113" s="64"/>
      <c r="DFY113" s="64"/>
      <c r="DFZ113" s="64"/>
      <c r="DGA113" s="64"/>
      <c r="DGB113" s="64"/>
      <c r="DGC113" s="64"/>
      <c r="DGD113" s="64"/>
      <c r="DGE113" s="64"/>
      <c r="DGF113" s="64"/>
      <c r="DGG113" s="64"/>
      <c r="DGH113" s="64"/>
      <c r="DGI113" s="64"/>
      <c r="DGJ113" s="64"/>
      <c r="DGK113" s="64"/>
      <c r="DGL113" s="64"/>
      <c r="DGM113" s="64"/>
      <c r="DGN113" s="64"/>
      <c r="DGO113" s="64"/>
      <c r="DGP113" s="64"/>
      <c r="DGQ113" s="64"/>
      <c r="DGR113" s="64"/>
      <c r="DGS113" s="64"/>
      <c r="DGT113" s="64"/>
      <c r="DGU113" s="64"/>
      <c r="DGV113" s="64"/>
      <c r="DGW113" s="64"/>
      <c r="DGX113" s="64"/>
      <c r="DGY113" s="64"/>
      <c r="DGZ113" s="64"/>
      <c r="DHA113" s="64"/>
      <c r="DHB113" s="64"/>
      <c r="DHC113" s="64"/>
      <c r="DHD113" s="64"/>
      <c r="DHE113" s="64"/>
      <c r="DHF113" s="64"/>
      <c r="DHG113" s="64"/>
      <c r="DHH113" s="64"/>
      <c r="DHI113" s="64"/>
      <c r="DHJ113" s="64"/>
      <c r="DHK113" s="64"/>
      <c r="DHL113" s="64"/>
      <c r="DHM113" s="64"/>
      <c r="DHN113" s="64"/>
      <c r="DHO113" s="64"/>
      <c r="DHP113" s="64"/>
      <c r="DHQ113" s="64"/>
      <c r="DHR113" s="64"/>
      <c r="DHS113" s="64"/>
      <c r="DHT113" s="64"/>
      <c r="DHU113" s="64"/>
      <c r="DHV113" s="64"/>
      <c r="DHW113" s="64"/>
      <c r="DHX113" s="64"/>
      <c r="DHY113" s="64"/>
      <c r="DHZ113" s="64"/>
      <c r="DIA113" s="64"/>
      <c r="DIB113" s="64"/>
      <c r="DIC113" s="64"/>
      <c r="DID113" s="64"/>
      <c r="DIE113" s="64"/>
      <c r="DIF113" s="64"/>
      <c r="DIG113" s="64"/>
      <c r="DIH113" s="64"/>
      <c r="DII113" s="64"/>
      <c r="DIJ113" s="64"/>
      <c r="DIK113" s="64"/>
      <c r="DIL113" s="64"/>
      <c r="DIM113" s="64"/>
      <c r="DIN113" s="64"/>
      <c r="DIO113" s="64"/>
      <c r="DIP113" s="64"/>
      <c r="DIQ113" s="64"/>
      <c r="DIR113" s="64"/>
      <c r="DIS113" s="64"/>
      <c r="DIT113" s="64"/>
      <c r="DIU113" s="64"/>
      <c r="DIV113" s="64"/>
      <c r="DIW113" s="64"/>
      <c r="DIX113" s="64"/>
      <c r="DIY113" s="64"/>
      <c r="DIZ113" s="64"/>
      <c r="DJA113" s="64"/>
      <c r="DJB113" s="64"/>
      <c r="DJC113" s="64"/>
      <c r="DJD113" s="64"/>
      <c r="DJE113" s="64"/>
      <c r="DJF113" s="64"/>
      <c r="DJG113" s="64"/>
      <c r="DJH113" s="64"/>
      <c r="DJI113" s="64"/>
      <c r="DJJ113" s="64"/>
      <c r="DJK113" s="64"/>
      <c r="DJL113" s="64"/>
      <c r="DJM113" s="64"/>
      <c r="DJN113" s="64"/>
      <c r="DJO113" s="64"/>
      <c r="DJP113" s="64"/>
      <c r="DJQ113" s="64"/>
      <c r="DJR113" s="64"/>
      <c r="DJS113" s="64"/>
      <c r="DJT113" s="64"/>
      <c r="DJU113" s="64"/>
      <c r="DJV113" s="64"/>
      <c r="DJW113" s="64"/>
      <c r="DJX113" s="64"/>
      <c r="DJY113" s="64"/>
      <c r="DJZ113" s="64"/>
      <c r="DKA113" s="64"/>
      <c r="DKB113" s="64"/>
      <c r="DKC113" s="64"/>
      <c r="DKD113" s="64"/>
      <c r="DKE113" s="64"/>
      <c r="DKF113" s="64"/>
      <c r="DKG113" s="64"/>
      <c r="DKH113" s="64"/>
      <c r="DKI113" s="64"/>
      <c r="DKJ113" s="64"/>
      <c r="DKK113" s="64"/>
      <c r="DKL113" s="64"/>
      <c r="DKM113" s="64"/>
      <c r="DKN113" s="64"/>
      <c r="DKO113" s="64"/>
      <c r="DKP113" s="64"/>
      <c r="DKQ113" s="64"/>
      <c r="DKR113" s="64"/>
      <c r="DKS113" s="64"/>
      <c r="DKT113" s="64"/>
      <c r="DKU113" s="64"/>
      <c r="DKV113" s="64"/>
      <c r="DKW113" s="64"/>
      <c r="DKX113" s="64"/>
      <c r="DKY113" s="64"/>
      <c r="DKZ113" s="64"/>
      <c r="DLA113" s="64"/>
      <c r="DLB113" s="64"/>
      <c r="DLC113" s="64"/>
      <c r="DLD113" s="64"/>
      <c r="DLE113" s="64"/>
      <c r="DLF113" s="64"/>
      <c r="DLG113" s="64"/>
      <c r="DLH113" s="64"/>
      <c r="DLI113" s="64"/>
      <c r="DLJ113" s="64"/>
      <c r="DLK113" s="64"/>
      <c r="DLL113" s="64"/>
      <c r="DLM113" s="64"/>
      <c r="DLN113" s="64"/>
      <c r="DLO113" s="64"/>
      <c r="DLP113" s="64"/>
      <c r="DLQ113" s="64"/>
      <c r="DLR113" s="64"/>
      <c r="DLS113" s="64"/>
      <c r="DLT113" s="64"/>
      <c r="DLU113" s="64"/>
      <c r="DLV113" s="64"/>
      <c r="DLW113" s="64"/>
      <c r="DLX113" s="64"/>
      <c r="DLY113" s="64"/>
      <c r="DLZ113" s="64"/>
      <c r="DMA113" s="64"/>
      <c r="DMB113" s="64"/>
      <c r="DMC113" s="64"/>
      <c r="DMD113" s="64"/>
      <c r="DME113" s="64"/>
      <c r="DMF113" s="64"/>
      <c r="DMG113" s="64"/>
      <c r="DMH113" s="64"/>
      <c r="DMI113" s="64"/>
      <c r="DMJ113" s="64"/>
      <c r="DMK113" s="64"/>
      <c r="DML113" s="64"/>
      <c r="DMM113" s="64"/>
      <c r="DMN113" s="64"/>
      <c r="DMO113" s="64"/>
      <c r="DMP113" s="64"/>
      <c r="DMQ113" s="64"/>
      <c r="DMR113" s="64"/>
      <c r="DMS113" s="64"/>
      <c r="DMT113" s="64"/>
      <c r="DMU113" s="64"/>
      <c r="DMV113" s="64"/>
      <c r="DMW113" s="64"/>
      <c r="DMX113" s="64"/>
      <c r="DMY113" s="64"/>
      <c r="DMZ113" s="64"/>
      <c r="DNA113" s="64"/>
      <c r="DNB113" s="64"/>
      <c r="DNC113" s="64"/>
      <c r="DND113" s="64"/>
      <c r="DNE113" s="64"/>
      <c r="DNF113" s="64"/>
      <c r="DNG113" s="64"/>
      <c r="DNH113" s="64"/>
      <c r="DNI113" s="64"/>
      <c r="DNJ113" s="64"/>
      <c r="DNK113" s="64"/>
      <c r="DNL113" s="64"/>
      <c r="DNM113" s="64"/>
      <c r="DNN113" s="64"/>
      <c r="DNO113" s="64"/>
      <c r="DNP113" s="64"/>
      <c r="DNQ113" s="64"/>
      <c r="DNR113" s="64"/>
      <c r="DNS113" s="64"/>
      <c r="DNT113" s="64"/>
      <c r="DNU113" s="64"/>
      <c r="DNV113" s="64"/>
      <c r="DNW113" s="64"/>
      <c r="DNX113" s="64"/>
      <c r="DNY113" s="64"/>
      <c r="DNZ113" s="64"/>
      <c r="DOA113" s="64"/>
      <c r="DOB113" s="64"/>
      <c r="DOC113" s="64"/>
      <c r="DOD113" s="64"/>
      <c r="DOE113" s="64"/>
      <c r="DOF113" s="64"/>
      <c r="DOG113" s="64"/>
      <c r="DOH113" s="64"/>
      <c r="DOI113" s="64"/>
      <c r="DOJ113" s="64"/>
      <c r="DOK113" s="64"/>
      <c r="DOL113" s="64"/>
      <c r="DOM113" s="64"/>
      <c r="DON113" s="64"/>
      <c r="DOO113" s="64"/>
      <c r="DOP113" s="64"/>
      <c r="DOQ113" s="64"/>
      <c r="DOR113" s="64"/>
      <c r="DOS113" s="64"/>
      <c r="DOT113" s="64"/>
      <c r="DOU113" s="64"/>
      <c r="DOV113" s="64"/>
      <c r="DOW113" s="64"/>
      <c r="DOX113" s="64"/>
      <c r="DOY113" s="64"/>
      <c r="DOZ113" s="64"/>
      <c r="DPA113" s="64"/>
      <c r="DPB113" s="64"/>
      <c r="DPC113" s="64"/>
      <c r="DPD113" s="64"/>
      <c r="DPE113" s="64"/>
      <c r="DPF113" s="64"/>
      <c r="DPG113" s="64"/>
      <c r="DPH113" s="64"/>
      <c r="DPI113" s="64"/>
      <c r="DPJ113" s="64"/>
      <c r="DPK113" s="64"/>
      <c r="DPL113" s="64"/>
      <c r="DPM113" s="64"/>
      <c r="DPN113" s="64"/>
      <c r="DPO113" s="64"/>
      <c r="DPP113" s="64"/>
      <c r="DPQ113" s="64"/>
      <c r="DPR113" s="64"/>
      <c r="DPS113" s="64"/>
      <c r="DPT113" s="64"/>
      <c r="DPU113" s="64"/>
      <c r="DPV113" s="64"/>
      <c r="DPW113" s="64"/>
      <c r="DPX113" s="64"/>
      <c r="DPY113" s="64"/>
      <c r="DPZ113" s="64"/>
      <c r="DQA113" s="64"/>
      <c r="DQB113" s="64"/>
      <c r="DQC113" s="64"/>
      <c r="DQD113" s="64"/>
      <c r="DQE113" s="64"/>
      <c r="DQF113" s="64"/>
      <c r="DQG113" s="64"/>
      <c r="DQH113" s="64"/>
      <c r="DQI113" s="64"/>
      <c r="DQJ113" s="64"/>
      <c r="DQK113" s="64"/>
      <c r="DQL113" s="64"/>
      <c r="DQM113" s="64"/>
      <c r="DQN113" s="64"/>
      <c r="DQO113" s="64"/>
      <c r="DQP113" s="64"/>
      <c r="DQQ113" s="64"/>
      <c r="DQR113" s="64"/>
      <c r="DQS113" s="64"/>
      <c r="DQT113" s="64"/>
      <c r="DQU113" s="64"/>
      <c r="DQV113" s="64"/>
      <c r="DQW113" s="64"/>
      <c r="DQX113" s="64"/>
      <c r="DQY113" s="64"/>
      <c r="DQZ113" s="64"/>
      <c r="DRA113" s="64"/>
      <c r="DRB113" s="64"/>
      <c r="DRC113" s="64"/>
      <c r="DRD113" s="64"/>
      <c r="DRE113" s="64"/>
      <c r="DRF113" s="64"/>
      <c r="DRG113" s="64"/>
      <c r="DRH113" s="64"/>
      <c r="DRI113" s="64"/>
      <c r="DRJ113" s="64"/>
      <c r="DRK113" s="64"/>
      <c r="DRL113" s="64"/>
      <c r="DRM113" s="64"/>
      <c r="DRN113" s="64"/>
      <c r="DRO113" s="64"/>
      <c r="DRP113" s="64"/>
      <c r="DRQ113" s="64"/>
      <c r="DRR113" s="64"/>
      <c r="DRS113" s="64"/>
      <c r="DRT113" s="64"/>
      <c r="DRU113" s="64"/>
      <c r="DRV113" s="64"/>
      <c r="DRW113" s="64"/>
      <c r="DRX113" s="64"/>
      <c r="DRY113" s="64"/>
      <c r="DRZ113" s="64"/>
      <c r="DSA113" s="64"/>
      <c r="DSB113" s="64"/>
      <c r="DSC113" s="64"/>
      <c r="DSD113" s="64"/>
      <c r="DSE113" s="64"/>
      <c r="DSF113" s="64"/>
      <c r="DSG113" s="64"/>
      <c r="DSH113" s="64"/>
      <c r="DSI113" s="64"/>
      <c r="DSJ113" s="64"/>
      <c r="DSK113" s="64"/>
      <c r="DSL113" s="64"/>
      <c r="DSM113" s="64"/>
      <c r="DSN113" s="64"/>
      <c r="DSO113" s="64"/>
      <c r="DSP113" s="64"/>
      <c r="DSQ113" s="64"/>
      <c r="DSR113" s="64"/>
      <c r="DSS113" s="64"/>
      <c r="DST113" s="64"/>
      <c r="DSU113" s="64"/>
      <c r="DSV113" s="64"/>
      <c r="DSW113" s="64"/>
      <c r="DSX113" s="64"/>
      <c r="DSY113" s="64"/>
      <c r="DSZ113" s="64"/>
      <c r="DTA113" s="64"/>
      <c r="DTB113" s="64"/>
      <c r="DTC113" s="64"/>
      <c r="DTD113" s="64"/>
      <c r="DTE113" s="64"/>
      <c r="DTF113" s="64"/>
      <c r="DTG113" s="64"/>
      <c r="DTH113" s="64"/>
      <c r="DTI113" s="64"/>
      <c r="DTJ113" s="64"/>
      <c r="DTK113" s="64"/>
      <c r="DTL113" s="64"/>
      <c r="DTM113" s="64"/>
      <c r="DTN113" s="64"/>
      <c r="DTO113" s="64"/>
      <c r="DTP113" s="64"/>
      <c r="DTQ113" s="64"/>
      <c r="DTR113" s="64"/>
      <c r="DTS113" s="64"/>
      <c r="DTT113" s="64"/>
      <c r="DTU113" s="64"/>
      <c r="DTV113" s="64"/>
      <c r="DTW113" s="64"/>
      <c r="DTX113" s="64"/>
      <c r="DTY113" s="64"/>
      <c r="DTZ113" s="64"/>
      <c r="DUA113" s="64"/>
      <c r="DUB113" s="64"/>
      <c r="DUC113" s="64"/>
      <c r="DUD113" s="64"/>
      <c r="DUE113" s="64"/>
      <c r="DUF113" s="64"/>
      <c r="DUG113" s="64"/>
      <c r="DUH113" s="64"/>
      <c r="DUI113" s="64"/>
      <c r="DUJ113" s="64"/>
      <c r="DUK113" s="64"/>
      <c r="DUL113" s="64"/>
      <c r="DUM113" s="64"/>
      <c r="DUN113" s="64"/>
      <c r="DUO113" s="64"/>
      <c r="DUP113" s="64"/>
      <c r="DUQ113" s="64"/>
      <c r="DUR113" s="64"/>
      <c r="DUS113" s="64"/>
      <c r="DUT113" s="64"/>
      <c r="DUU113" s="64"/>
      <c r="DUV113" s="64"/>
      <c r="DUW113" s="64"/>
      <c r="DUX113" s="64"/>
      <c r="DUY113" s="64"/>
      <c r="DUZ113" s="64"/>
      <c r="DVA113" s="64"/>
      <c r="DVB113" s="64"/>
      <c r="DVC113" s="64"/>
      <c r="DVD113" s="64"/>
      <c r="DVE113" s="64"/>
      <c r="DVF113" s="64"/>
      <c r="DVG113" s="64"/>
      <c r="DVH113" s="64"/>
      <c r="DVI113" s="64"/>
      <c r="DVJ113" s="64"/>
      <c r="DVK113" s="64"/>
      <c r="DVL113" s="64"/>
      <c r="DVM113" s="64"/>
      <c r="DVN113" s="64"/>
      <c r="DVO113" s="64"/>
      <c r="DVP113" s="64"/>
      <c r="DVQ113" s="64"/>
      <c r="DVR113" s="64"/>
      <c r="DVS113" s="64"/>
      <c r="DVT113" s="64"/>
      <c r="DVU113" s="64"/>
      <c r="DVV113" s="64"/>
      <c r="DVW113" s="64"/>
      <c r="DVX113" s="64"/>
      <c r="DVY113" s="64"/>
      <c r="DVZ113" s="64"/>
      <c r="DWA113" s="64"/>
      <c r="DWB113" s="64"/>
      <c r="DWC113" s="64"/>
      <c r="DWD113" s="64"/>
      <c r="DWE113" s="64"/>
      <c r="DWF113" s="64"/>
      <c r="DWG113" s="64"/>
      <c r="DWH113" s="64"/>
      <c r="DWI113" s="64"/>
      <c r="DWJ113" s="64"/>
      <c r="DWK113" s="64"/>
      <c r="DWL113" s="64"/>
      <c r="DWM113" s="64"/>
      <c r="DWN113" s="64"/>
      <c r="DWO113" s="64"/>
      <c r="DWP113" s="64"/>
      <c r="DWQ113" s="64"/>
      <c r="DWR113" s="64"/>
      <c r="DWS113" s="64"/>
      <c r="DWT113" s="64"/>
      <c r="DWU113" s="64"/>
      <c r="DWV113" s="64"/>
      <c r="DWW113" s="64"/>
      <c r="DWX113" s="64"/>
      <c r="DWY113" s="64"/>
      <c r="DWZ113" s="64"/>
      <c r="DXA113" s="64"/>
      <c r="DXB113" s="64"/>
      <c r="DXC113" s="64"/>
      <c r="DXD113" s="64"/>
      <c r="DXE113" s="64"/>
      <c r="DXF113" s="64"/>
      <c r="DXG113" s="64"/>
      <c r="DXH113" s="64"/>
      <c r="DXI113" s="64"/>
      <c r="DXJ113" s="64"/>
      <c r="DXK113" s="64"/>
      <c r="DXL113" s="64"/>
      <c r="DXM113" s="64"/>
      <c r="DXN113" s="64"/>
      <c r="DXO113" s="64"/>
      <c r="DXP113" s="64"/>
      <c r="DXQ113" s="64"/>
      <c r="DXR113" s="64"/>
      <c r="DXS113" s="64"/>
      <c r="DXT113" s="64"/>
      <c r="DXU113" s="64"/>
      <c r="DXV113" s="64"/>
      <c r="DXW113" s="64"/>
      <c r="DXX113" s="64"/>
      <c r="DXY113" s="64"/>
      <c r="DXZ113" s="64"/>
      <c r="DYA113" s="64"/>
      <c r="DYB113" s="64"/>
      <c r="DYC113" s="64"/>
      <c r="DYD113" s="64"/>
      <c r="DYE113" s="64"/>
      <c r="DYF113" s="64"/>
      <c r="DYG113" s="64"/>
      <c r="DYH113" s="64"/>
      <c r="DYI113" s="64"/>
      <c r="DYJ113" s="64"/>
      <c r="DYK113" s="64"/>
      <c r="DYL113" s="64"/>
      <c r="DYM113" s="64"/>
      <c r="DYN113" s="64"/>
      <c r="DYO113" s="64"/>
      <c r="DYP113" s="64"/>
      <c r="DYQ113" s="64"/>
      <c r="DYR113" s="64"/>
      <c r="DYS113" s="64"/>
      <c r="DYT113" s="64"/>
      <c r="DYU113" s="64"/>
      <c r="DYV113" s="64"/>
      <c r="DYW113" s="64"/>
      <c r="DYX113" s="64"/>
      <c r="DYY113" s="64"/>
      <c r="DYZ113" s="64"/>
      <c r="DZA113" s="64"/>
      <c r="DZB113" s="64"/>
      <c r="DZC113" s="64"/>
      <c r="DZD113" s="64"/>
      <c r="DZE113" s="64"/>
      <c r="DZF113" s="64"/>
      <c r="DZG113" s="64"/>
      <c r="DZH113" s="64"/>
      <c r="DZI113" s="64"/>
      <c r="DZJ113" s="64"/>
      <c r="DZK113" s="64"/>
      <c r="DZL113" s="64"/>
      <c r="DZM113" s="64"/>
      <c r="DZN113" s="64"/>
      <c r="DZO113" s="64"/>
      <c r="DZP113" s="64"/>
      <c r="DZQ113" s="64"/>
      <c r="DZR113" s="64"/>
      <c r="DZS113" s="64"/>
      <c r="DZT113" s="64"/>
      <c r="DZU113" s="64"/>
      <c r="DZV113" s="64"/>
      <c r="DZW113" s="64"/>
      <c r="DZX113" s="64"/>
      <c r="DZY113" s="64"/>
      <c r="DZZ113" s="64"/>
      <c r="EAA113" s="64"/>
      <c r="EAB113" s="64"/>
      <c r="EAC113" s="64"/>
      <c r="EAD113" s="64"/>
      <c r="EAE113" s="64"/>
      <c r="EAF113" s="64"/>
      <c r="EAG113" s="64"/>
      <c r="EAH113" s="64"/>
      <c r="EAI113" s="64"/>
      <c r="EAJ113" s="64"/>
      <c r="EAK113" s="64"/>
      <c r="EAL113" s="64"/>
      <c r="EAM113" s="64"/>
      <c r="EAN113" s="64"/>
      <c r="EAO113" s="64"/>
      <c r="EAP113" s="64"/>
      <c r="EAQ113" s="64"/>
      <c r="EAR113" s="64"/>
      <c r="EAS113" s="64"/>
      <c r="EAT113" s="64"/>
      <c r="EAU113" s="64"/>
      <c r="EAV113" s="64"/>
      <c r="EAW113" s="64"/>
      <c r="EAX113" s="64"/>
      <c r="EAY113" s="64"/>
      <c r="EAZ113" s="64"/>
      <c r="EBA113" s="64"/>
      <c r="EBB113" s="64"/>
      <c r="EBC113" s="64"/>
      <c r="EBD113" s="64"/>
      <c r="EBE113" s="64"/>
      <c r="EBF113" s="64"/>
      <c r="EBG113" s="64"/>
      <c r="EBH113" s="64"/>
      <c r="EBI113" s="64"/>
      <c r="EBJ113" s="64"/>
      <c r="EBK113" s="64"/>
      <c r="EBL113" s="64"/>
      <c r="EBM113" s="64"/>
      <c r="EBN113" s="64"/>
      <c r="EBO113" s="64"/>
      <c r="EBP113" s="64"/>
      <c r="EBQ113" s="64"/>
      <c r="EBR113" s="64"/>
      <c r="EBS113" s="64"/>
      <c r="EBT113" s="64"/>
      <c r="EBU113" s="64"/>
      <c r="EBV113" s="64"/>
      <c r="EBW113" s="64"/>
      <c r="EBX113" s="64"/>
      <c r="EBY113" s="64"/>
      <c r="EBZ113" s="64"/>
      <c r="ECA113" s="64"/>
      <c r="ECB113" s="64"/>
      <c r="ECC113" s="64"/>
      <c r="ECD113" s="64"/>
      <c r="ECE113" s="64"/>
      <c r="ECF113" s="64"/>
      <c r="ECG113" s="64"/>
      <c r="ECH113" s="64"/>
      <c r="ECI113" s="64"/>
      <c r="ECJ113" s="64"/>
      <c r="ECK113" s="64"/>
      <c r="ECL113" s="64"/>
      <c r="ECM113" s="64"/>
      <c r="ECN113" s="64"/>
      <c r="ECO113" s="64"/>
      <c r="ECP113" s="64"/>
      <c r="ECQ113" s="64"/>
      <c r="ECR113" s="64"/>
      <c r="ECS113" s="64"/>
      <c r="ECT113" s="64"/>
      <c r="ECU113" s="64"/>
      <c r="ECV113" s="64"/>
      <c r="ECW113" s="64"/>
      <c r="ECX113" s="64"/>
      <c r="ECY113" s="64"/>
      <c r="ECZ113" s="64"/>
      <c r="EDA113" s="64"/>
      <c r="EDB113" s="64"/>
      <c r="EDC113" s="64"/>
      <c r="EDD113" s="64"/>
      <c r="EDE113" s="64"/>
      <c r="EDF113" s="64"/>
      <c r="EDG113" s="64"/>
      <c r="EDH113" s="64"/>
      <c r="EDI113" s="64"/>
      <c r="EDJ113" s="64"/>
      <c r="EDK113" s="64"/>
      <c r="EDL113" s="64"/>
      <c r="EDM113" s="64"/>
      <c r="EDN113" s="64"/>
      <c r="EDO113" s="64"/>
      <c r="EDP113" s="64"/>
      <c r="EDQ113" s="64"/>
      <c r="EDR113" s="64"/>
      <c r="EDS113" s="64"/>
      <c r="EDT113" s="64"/>
      <c r="EDU113" s="64"/>
      <c r="EDV113" s="64"/>
      <c r="EDW113" s="64"/>
      <c r="EDX113" s="64"/>
      <c r="EDY113" s="64"/>
      <c r="EDZ113" s="64"/>
      <c r="EEA113" s="64"/>
      <c r="EEB113" s="64"/>
      <c r="EEC113" s="64"/>
      <c r="EED113" s="64"/>
      <c r="EEE113" s="64"/>
      <c r="EEF113" s="64"/>
      <c r="EEG113" s="64"/>
      <c r="EEH113" s="64"/>
      <c r="EEI113" s="64"/>
      <c r="EEJ113" s="64"/>
      <c r="EEK113" s="64"/>
      <c r="EEL113" s="64"/>
      <c r="EEM113" s="64"/>
      <c r="EEN113" s="64"/>
      <c r="EEO113" s="64"/>
      <c r="EEP113" s="64"/>
      <c r="EEQ113" s="64"/>
      <c r="EER113" s="64"/>
      <c r="EES113" s="64"/>
      <c r="EET113" s="64"/>
      <c r="EEU113" s="64"/>
      <c r="EEV113" s="64"/>
      <c r="EEW113" s="64"/>
      <c r="EEX113" s="64"/>
      <c r="EEY113" s="64"/>
      <c r="EEZ113" s="64"/>
      <c r="EFA113" s="64"/>
      <c r="EFB113" s="64"/>
      <c r="EFC113" s="64"/>
      <c r="EFD113" s="64"/>
      <c r="EFE113" s="64"/>
      <c r="EFF113" s="64"/>
      <c r="EFG113" s="64"/>
      <c r="EFH113" s="64"/>
      <c r="EFI113" s="64"/>
      <c r="EFJ113" s="64"/>
      <c r="EFK113" s="64"/>
      <c r="EFL113" s="64"/>
      <c r="EFM113" s="64"/>
      <c r="EFN113" s="64"/>
      <c r="EFO113" s="64"/>
      <c r="EFP113" s="64"/>
      <c r="EFQ113" s="64"/>
      <c r="EFR113" s="64"/>
      <c r="EFS113" s="64"/>
      <c r="EFT113" s="64"/>
      <c r="EFU113" s="64"/>
      <c r="EFV113" s="64"/>
      <c r="EFW113" s="64"/>
      <c r="EFX113" s="64"/>
      <c r="EFY113" s="64"/>
      <c r="EFZ113" s="64"/>
      <c r="EGA113" s="64"/>
      <c r="EGB113" s="64"/>
      <c r="EGC113" s="64"/>
      <c r="EGD113" s="64"/>
      <c r="EGE113" s="64"/>
      <c r="EGF113" s="64"/>
      <c r="EGG113" s="64"/>
      <c r="EGH113" s="64"/>
      <c r="EGI113" s="64"/>
      <c r="EGJ113" s="64"/>
      <c r="EGK113" s="64"/>
      <c r="EGL113" s="64"/>
      <c r="EGM113" s="64"/>
      <c r="EGN113" s="64"/>
      <c r="EGO113" s="64"/>
      <c r="EGP113" s="64"/>
      <c r="EGQ113" s="64"/>
      <c r="EGR113" s="64"/>
      <c r="EGS113" s="64"/>
      <c r="EGT113" s="64"/>
      <c r="EGU113" s="64"/>
      <c r="EGV113" s="64"/>
      <c r="EGW113" s="64"/>
      <c r="EGX113" s="64"/>
      <c r="EGY113" s="64"/>
      <c r="EGZ113" s="64"/>
      <c r="EHA113" s="64"/>
      <c r="EHB113" s="64"/>
      <c r="EHC113" s="64"/>
      <c r="EHD113" s="64"/>
      <c r="EHE113" s="64"/>
      <c r="EHF113" s="64"/>
      <c r="EHG113" s="64"/>
      <c r="EHH113" s="64"/>
      <c r="EHI113" s="64"/>
      <c r="EHJ113" s="64"/>
      <c r="EHK113" s="64"/>
      <c r="EHL113" s="64"/>
      <c r="EHM113" s="64"/>
      <c r="EHN113" s="64"/>
      <c r="EHO113" s="64"/>
      <c r="EHP113" s="64"/>
      <c r="EHQ113" s="64"/>
      <c r="EHR113" s="64"/>
      <c r="EHS113" s="64"/>
      <c r="EHT113" s="64"/>
      <c r="EHU113" s="64"/>
      <c r="EHV113" s="64"/>
      <c r="EHW113" s="64"/>
      <c r="EHX113" s="64"/>
      <c r="EHY113" s="64"/>
      <c r="EHZ113" s="64"/>
      <c r="EIA113" s="64"/>
      <c r="EIB113" s="64"/>
      <c r="EIC113" s="64"/>
      <c r="EID113" s="64"/>
      <c r="EIE113" s="64"/>
      <c r="EIF113" s="64"/>
      <c r="EIG113" s="64"/>
      <c r="EIH113" s="64"/>
      <c r="EII113" s="64"/>
      <c r="EIJ113" s="64"/>
      <c r="EIK113" s="64"/>
      <c r="EIL113" s="64"/>
      <c r="EIM113" s="64"/>
      <c r="EIN113" s="64"/>
      <c r="EIO113" s="64"/>
      <c r="EIP113" s="64"/>
      <c r="EIQ113" s="64"/>
      <c r="EIR113" s="64"/>
      <c r="EIS113" s="64"/>
      <c r="EIT113" s="64"/>
      <c r="EIU113" s="64"/>
      <c r="EIV113" s="64"/>
      <c r="EIW113" s="64"/>
      <c r="EIX113" s="64"/>
      <c r="EIY113" s="64"/>
      <c r="EIZ113" s="64"/>
      <c r="EJA113" s="64"/>
      <c r="EJB113" s="64"/>
      <c r="EJC113" s="64"/>
      <c r="EJD113" s="64"/>
      <c r="EJE113" s="64"/>
      <c r="EJF113" s="64"/>
      <c r="EJG113" s="64"/>
      <c r="EJH113" s="64"/>
      <c r="EJI113" s="64"/>
      <c r="EJJ113" s="64"/>
      <c r="EJK113" s="64"/>
      <c r="EJL113" s="64"/>
      <c r="EJM113" s="64"/>
      <c r="EJN113" s="64"/>
      <c r="EJO113" s="64"/>
      <c r="EJP113" s="64"/>
      <c r="EJQ113" s="64"/>
      <c r="EJR113" s="64"/>
      <c r="EJS113" s="64"/>
      <c r="EJT113" s="64"/>
      <c r="EJU113" s="64"/>
      <c r="EJV113" s="64"/>
      <c r="EJW113" s="64"/>
      <c r="EJX113" s="64"/>
      <c r="EJY113" s="64"/>
      <c r="EJZ113" s="64"/>
      <c r="EKA113" s="64"/>
      <c r="EKB113" s="64"/>
      <c r="EKC113" s="64"/>
      <c r="EKD113" s="64"/>
      <c r="EKE113" s="64"/>
      <c r="EKF113" s="64"/>
      <c r="EKG113" s="64"/>
      <c r="EKH113" s="64"/>
      <c r="EKI113" s="64"/>
      <c r="EKJ113" s="64"/>
      <c r="EKK113" s="64"/>
      <c r="EKL113" s="64"/>
      <c r="EKM113" s="64"/>
      <c r="EKN113" s="64"/>
      <c r="EKO113" s="64"/>
      <c r="EKP113" s="64"/>
      <c r="EKQ113" s="64"/>
      <c r="EKR113" s="64"/>
      <c r="EKS113" s="64"/>
      <c r="EKT113" s="64"/>
      <c r="EKU113" s="64"/>
      <c r="EKV113" s="64"/>
      <c r="EKW113" s="64"/>
      <c r="EKX113" s="64"/>
      <c r="EKY113" s="64"/>
      <c r="EKZ113" s="64"/>
      <c r="ELA113" s="64"/>
      <c r="ELB113" s="64"/>
      <c r="ELC113" s="64"/>
      <c r="ELD113" s="64"/>
      <c r="ELE113" s="64"/>
      <c r="ELF113" s="64"/>
      <c r="ELG113" s="64"/>
      <c r="ELH113" s="64"/>
      <c r="ELI113" s="64"/>
      <c r="ELJ113" s="64"/>
      <c r="ELK113" s="64"/>
      <c r="ELL113" s="64"/>
      <c r="ELM113" s="64"/>
      <c r="ELN113" s="64"/>
      <c r="ELO113" s="64"/>
      <c r="ELP113" s="64"/>
      <c r="ELQ113" s="64"/>
      <c r="ELR113" s="64"/>
      <c r="ELS113" s="64"/>
      <c r="ELT113" s="64"/>
      <c r="ELU113" s="64"/>
      <c r="ELV113" s="64"/>
      <c r="ELW113" s="64"/>
      <c r="ELX113" s="64"/>
      <c r="ELY113" s="64"/>
      <c r="ELZ113" s="64"/>
      <c r="EMA113" s="64"/>
      <c r="EMB113" s="64"/>
      <c r="EMC113" s="64"/>
      <c r="EMD113" s="64"/>
      <c r="EME113" s="64"/>
      <c r="EMF113" s="64"/>
      <c r="EMG113" s="64"/>
      <c r="EMH113" s="64"/>
      <c r="EMI113" s="64"/>
      <c r="EMJ113" s="64"/>
      <c r="EMK113" s="64"/>
      <c r="EML113" s="64"/>
      <c r="EMM113" s="64"/>
      <c r="EMN113" s="64"/>
      <c r="EMO113" s="64"/>
      <c r="EMP113" s="64"/>
      <c r="EMQ113" s="64"/>
      <c r="EMR113" s="64"/>
      <c r="EMS113" s="64"/>
      <c r="EMT113" s="64"/>
      <c r="EMU113" s="64"/>
      <c r="EMV113" s="64"/>
      <c r="EMW113" s="64"/>
      <c r="EMX113" s="64"/>
      <c r="EMY113" s="64"/>
      <c r="EMZ113" s="64"/>
      <c r="ENA113" s="64"/>
      <c r="ENB113" s="64"/>
      <c r="ENC113" s="64"/>
      <c r="END113" s="64"/>
      <c r="ENE113" s="64"/>
      <c r="ENF113" s="64"/>
      <c r="ENG113" s="64"/>
      <c r="ENH113" s="64"/>
      <c r="ENI113" s="64"/>
      <c r="ENJ113" s="64"/>
      <c r="ENK113" s="64"/>
      <c r="ENL113" s="64"/>
      <c r="ENM113" s="64"/>
      <c r="ENN113" s="64"/>
      <c r="ENO113" s="64"/>
      <c r="ENP113" s="64"/>
      <c r="ENQ113" s="64"/>
      <c r="ENR113" s="64"/>
      <c r="ENS113" s="64"/>
      <c r="ENT113" s="64"/>
      <c r="ENU113" s="64"/>
      <c r="ENV113" s="64"/>
      <c r="ENW113" s="64"/>
      <c r="ENX113" s="64"/>
      <c r="ENY113" s="64"/>
      <c r="ENZ113" s="64"/>
      <c r="EOA113" s="64"/>
      <c r="EOB113" s="64"/>
      <c r="EOC113" s="64"/>
      <c r="EOD113" s="64"/>
      <c r="EOE113" s="64"/>
      <c r="EOF113" s="64"/>
      <c r="EOG113" s="64"/>
      <c r="EOH113" s="64"/>
      <c r="EOI113" s="64"/>
      <c r="EOJ113" s="64"/>
      <c r="EOK113" s="64"/>
      <c r="EOL113" s="64"/>
      <c r="EOM113" s="64"/>
      <c r="EON113" s="64"/>
      <c r="EOO113" s="64"/>
      <c r="EOP113" s="64"/>
      <c r="EOQ113" s="64"/>
      <c r="EOR113" s="64"/>
      <c r="EOS113" s="64"/>
      <c r="EOT113" s="64"/>
      <c r="EOU113" s="64"/>
      <c r="EOV113" s="64"/>
      <c r="EOW113" s="64"/>
      <c r="EOX113" s="64"/>
      <c r="EOY113" s="64"/>
      <c r="EOZ113" s="64"/>
      <c r="EPA113" s="64"/>
      <c r="EPB113" s="64"/>
      <c r="EPC113" s="64"/>
      <c r="EPD113" s="64"/>
      <c r="EPE113" s="64"/>
      <c r="EPF113" s="64"/>
      <c r="EPG113" s="64"/>
      <c r="EPH113" s="64"/>
      <c r="EPI113" s="64"/>
      <c r="EPJ113" s="64"/>
      <c r="EPK113" s="64"/>
      <c r="EPL113" s="64"/>
      <c r="EPM113" s="64"/>
      <c r="EPN113" s="64"/>
      <c r="EPO113" s="64"/>
      <c r="EPP113" s="64"/>
      <c r="EPQ113" s="64"/>
      <c r="EPR113" s="64"/>
      <c r="EPS113" s="64"/>
      <c r="EPT113" s="64"/>
      <c r="EPU113" s="64"/>
      <c r="EPV113" s="64"/>
      <c r="EPW113" s="64"/>
      <c r="EPX113" s="64"/>
      <c r="EPY113" s="64"/>
      <c r="EPZ113" s="64"/>
      <c r="EQA113" s="64"/>
      <c r="EQB113" s="64"/>
      <c r="EQC113" s="64"/>
      <c r="EQD113" s="64"/>
      <c r="EQE113" s="64"/>
      <c r="EQF113" s="64"/>
      <c r="EQG113" s="64"/>
      <c r="EQH113" s="64"/>
      <c r="EQI113" s="64"/>
      <c r="EQJ113" s="64"/>
      <c r="EQK113" s="64"/>
      <c r="EQL113" s="64"/>
      <c r="EQM113" s="64"/>
      <c r="EQN113" s="64"/>
      <c r="EQO113" s="64"/>
      <c r="EQP113" s="64"/>
      <c r="EQQ113" s="64"/>
      <c r="EQR113" s="64"/>
      <c r="EQS113" s="64"/>
      <c r="EQT113" s="64"/>
      <c r="EQU113" s="64"/>
      <c r="EQV113" s="64"/>
      <c r="EQW113" s="64"/>
      <c r="EQX113" s="64"/>
      <c r="EQY113" s="64"/>
      <c r="EQZ113" s="64"/>
      <c r="ERA113" s="64"/>
      <c r="ERB113" s="64"/>
      <c r="ERC113" s="64"/>
      <c r="ERD113" s="64"/>
      <c r="ERE113" s="64"/>
      <c r="ERF113" s="64"/>
      <c r="ERG113" s="64"/>
      <c r="ERH113" s="64"/>
      <c r="ERI113" s="64"/>
      <c r="ERJ113" s="64"/>
      <c r="ERK113" s="64"/>
      <c r="ERL113" s="64"/>
      <c r="ERM113" s="64"/>
      <c r="ERN113" s="64"/>
      <c r="ERO113" s="64"/>
      <c r="ERP113" s="64"/>
      <c r="ERQ113" s="64"/>
      <c r="ERR113" s="64"/>
      <c r="ERS113" s="64"/>
      <c r="ERT113" s="64"/>
      <c r="ERU113" s="64"/>
      <c r="ERV113" s="64"/>
      <c r="ERW113" s="64"/>
      <c r="ERX113" s="64"/>
      <c r="ERY113" s="64"/>
      <c r="ERZ113" s="64"/>
      <c r="ESA113" s="64"/>
      <c r="ESB113" s="64"/>
      <c r="ESC113" s="64"/>
      <c r="ESD113" s="64"/>
      <c r="ESE113" s="64"/>
      <c r="ESF113" s="64"/>
      <c r="ESG113" s="64"/>
      <c r="ESH113" s="64"/>
      <c r="ESI113" s="64"/>
      <c r="ESJ113" s="64"/>
      <c r="ESK113" s="64"/>
      <c r="ESL113" s="64"/>
      <c r="ESM113" s="64"/>
      <c r="ESN113" s="64"/>
      <c r="ESO113" s="64"/>
      <c r="ESP113" s="64"/>
      <c r="ESQ113" s="64"/>
      <c r="ESR113" s="64"/>
      <c r="ESS113" s="64"/>
      <c r="EST113" s="64"/>
      <c r="ESU113" s="64"/>
      <c r="ESV113" s="64"/>
      <c r="ESW113" s="64"/>
      <c r="ESX113" s="64"/>
      <c r="ESY113" s="64"/>
      <c r="ESZ113" s="64"/>
      <c r="ETA113" s="64"/>
      <c r="ETB113" s="64"/>
      <c r="ETC113" s="64"/>
      <c r="ETD113" s="64"/>
      <c r="ETE113" s="64"/>
      <c r="ETF113" s="64"/>
      <c r="ETG113" s="64"/>
      <c r="ETH113" s="64"/>
      <c r="ETI113" s="64"/>
      <c r="ETJ113" s="64"/>
      <c r="ETK113" s="64"/>
      <c r="ETL113" s="64"/>
      <c r="ETM113" s="64"/>
      <c r="ETN113" s="64"/>
      <c r="ETO113" s="64"/>
      <c r="ETP113" s="64"/>
      <c r="ETQ113" s="64"/>
      <c r="ETR113" s="64"/>
      <c r="ETS113" s="64"/>
      <c r="ETT113" s="64"/>
      <c r="ETU113" s="64"/>
      <c r="ETV113" s="64"/>
      <c r="ETW113" s="64"/>
      <c r="ETX113" s="64"/>
      <c r="ETY113" s="64"/>
      <c r="ETZ113" s="64"/>
      <c r="EUA113" s="64"/>
      <c r="EUB113" s="64"/>
      <c r="EUC113" s="64"/>
      <c r="EUD113" s="64"/>
      <c r="EUE113" s="64"/>
      <c r="EUF113" s="64"/>
      <c r="EUG113" s="64"/>
      <c r="EUH113" s="64"/>
      <c r="EUI113" s="64"/>
      <c r="EUJ113" s="64"/>
      <c r="EUK113" s="64"/>
      <c r="EUL113" s="64"/>
      <c r="EUM113" s="64"/>
      <c r="EUN113" s="64"/>
      <c r="EUO113" s="64"/>
      <c r="EUP113" s="64"/>
      <c r="EUQ113" s="64"/>
      <c r="EUR113" s="64"/>
      <c r="EUS113" s="64"/>
      <c r="EUT113" s="64"/>
      <c r="EUU113" s="64"/>
      <c r="EUV113" s="64"/>
      <c r="EUW113" s="64"/>
      <c r="EUX113" s="64"/>
      <c r="EUY113" s="64"/>
      <c r="EUZ113" s="64"/>
      <c r="EVA113" s="64"/>
      <c r="EVB113" s="64"/>
      <c r="EVC113" s="64"/>
      <c r="EVD113" s="64"/>
      <c r="EVE113" s="64"/>
      <c r="EVF113" s="64"/>
      <c r="EVG113" s="64"/>
      <c r="EVH113" s="64"/>
      <c r="EVI113" s="64"/>
      <c r="EVJ113" s="64"/>
      <c r="EVK113" s="64"/>
      <c r="EVL113" s="64"/>
      <c r="EVM113" s="64"/>
      <c r="EVN113" s="64"/>
      <c r="EVO113" s="64"/>
      <c r="EVP113" s="64"/>
      <c r="EVQ113" s="64"/>
      <c r="EVR113" s="64"/>
      <c r="EVS113" s="64"/>
      <c r="EVT113" s="64"/>
      <c r="EVU113" s="64"/>
      <c r="EVV113" s="64"/>
      <c r="EVW113" s="64"/>
      <c r="EVX113" s="64"/>
      <c r="EVY113" s="64"/>
      <c r="EVZ113" s="64"/>
      <c r="EWA113" s="64"/>
      <c r="EWB113" s="64"/>
      <c r="EWC113" s="64"/>
      <c r="EWD113" s="64"/>
      <c r="EWE113" s="64"/>
      <c r="EWF113" s="64"/>
      <c r="EWG113" s="64"/>
      <c r="EWH113" s="64"/>
      <c r="EWI113" s="64"/>
      <c r="EWJ113" s="64"/>
      <c r="EWK113" s="64"/>
      <c r="EWL113" s="64"/>
      <c r="EWM113" s="64"/>
      <c r="EWN113" s="64"/>
      <c r="EWO113" s="64"/>
      <c r="EWP113" s="64"/>
      <c r="EWQ113" s="64"/>
      <c r="EWR113" s="64"/>
      <c r="EWS113" s="64"/>
      <c r="EWT113" s="64"/>
      <c r="EWU113" s="64"/>
      <c r="EWV113" s="64"/>
      <c r="EWW113" s="64"/>
      <c r="EWX113" s="64"/>
      <c r="EWY113" s="64"/>
      <c r="EWZ113" s="64"/>
      <c r="EXA113" s="64"/>
      <c r="EXB113" s="64"/>
      <c r="EXC113" s="64"/>
      <c r="EXD113" s="64"/>
      <c r="EXE113" s="64"/>
      <c r="EXF113" s="64"/>
      <c r="EXG113" s="64"/>
      <c r="EXH113" s="64"/>
      <c r="EXI113" s="64"/>
      <c r="EXJ113" s="64"/>
      <c r="EXK113" s="64"/>
      <c r="EXL113" s="64"/>
      <c r="EXM113" s="64"/>
      <c r="EXN113" s="64"/>
      <c r="EXO113" s="64"/>
      <c r="EXP113" s="64"/>
      <c r="EXQ113" s="64"/>
      <c r="EXR113" s="64"/>
      <c r="EXS113" s="64"/>
      <c r="EXT113" s="64"/>
      <c r="EXU113" s="64"/>
      <c r="EXV113" s="64"/>
      <c r="EXW113" s="64"/>
      <c r="EXX113" s="64"/>
      <c r="EXY113" s="64"/>
      <c r="EXZ113" s="64"/>
      <c r="EYA113" s="64"/>
      <c r="EYB113" s="64"/>
      <c r="EYC113" s="64"/>
      <c r="EYD113" s="64"/>
      <c r="EYE113" s="64"/>
      <c r="EYF113" s="64"/>
      <c r="EYG113" s="64"/>
      <c r="EYH113" s="64"/>
      <c r="EYI113" s="64"/>
      <c r="EYJ113" s="64"/>
      <c r="EYK113" s="64"/>
      <c r="EYL113" s="64"/>
      <c r="EYM113" s="64"/>
      <c r="EYN113" s="64"/>
      <c r="EYO113" s="64"/>
      <c r="EYP113" s="64"/>
      <c r="EYQ113" s="64"/>
      <c r="EYR113" s="64"/>
      <c r="EYS113" s="64"/>
      <c r="EYT113" s="64"/>
      <c r="EYU113" s="64"/>
      <c r="EYV113" s="64"/>
      <c r="EYW113" s="64"/>
      <c r="EYX113" s="64"/>
      <c r="EYY113" s="64"/>
      <c r="EYZ113" s="64"/>
      <c r="EZA113" s="64"/>
      <c r="EZB113" s="64"/>
      <c r="EZC113" s="64"/>
      <c r="EZD113" s="64"/>
      <c r="EZE113" s="64"/>
      <c r="EZF113" s="64"/>
      <c r="EZG113" s="64"/>
      <c r="EZH113" s="64"/>
      <c r="EZI113" s="64"/>
      <c r="EZJ113" s="64"/>
      <c r="EZK113" s="64"/>
      <c r="EZL113" s="64"/>
      <c r="EZM113" s="64"/>
      <c r="EZN113" s="64"/>
      <c r="EZO113" s="64"/>
      <c r="EZP113" s="64"/>
      <c r="EZQ113" s="64"/>
      <c r="EZR113" s="64"/>
      <c r="EZS113" s="64"/>
      <c r="EZT113" s="64"/>
      <c r="EZU113" s="64"/>
      <c r="EZV113" s="64"/>
      <c r="EZW113" s="64"/>
      <c r="EZX113" s="64"/>
      <c r="EZY113" s="64"/>
      <c r="EZZ113" s="64"/>
      <c r="FAA113" s="64"/>
      <c r="FAB113" s="64"/>
      <c r="FAC113" s="64"/>
      <c r="FAD113" s="64"/>
      <c r="FAE113" s="64"/>
      <c r="FAF113" s="64"/>
      <c r="FAG113" s="64"/>
      <c r="FAH113" s="64"/>
      <c r="FAI113" s="64"/>
      <c r="FAJ113" s="64"/>
      <c r="FAK113" s="64"/>
      <c r="FAL113" s="64"/>
      <c r="FAM113" s="64"/>
      <c r="FAN113" s="64"/>
      <c r="FAO113" s="64"/>
      <c r="FAP113" s="64"/>
      <c r="FAQ113" s="64"/>
      <c r="FAR113" s="64"/>
      <c r="FAS113" s="64"/>
      <c r="FAT113" s="64"/>
      <c r="FAU113" s="64"/>
      <c r="FAV113" s="64"/>
      <c r="FAW113" s="64"/>
      <c r="FAX113" s="64"/>
      <c r="FAY113" s="64"/>
      <c r="FAZ113" s="64"/>
      <c r="FBA113" s="64"/>
      <c r="FBB113" s="64"/>
      <c r="FBC113" s="64"/>
      <c r="FBD113" s="64"/>
      <c r="FBE113" s="64"/>
      <c r="FBF113" s="64"/>
      <c r="FBG113" s="64"/>
      <c r="FBH113" s="64"/>
      <c r="FBI113" s="64"/>
      <c r="FBJ113" s="64"/>
      <c r="FBK113" s="64"/>
      <c r="FBL113" s="64"/>
      <c r="FBM113" s="64"/>
      <c r="FBN113" s="64"/>
      <c r="FBO113" s="64"/>
      <c r="FBP113" s="64"/>
      <c r="FBQ113" s="64"/>
      <c r="FBR113" s="64"/>
      <c r="FBS113" s="64"/>
      <c r="FBT113" s="64"/>
      <c r="FBU113" s="64"/>
      <c r="FBV113" s="64"/>
      <c r="FBW113" s="64"/>
      <c r="FBX113" s="64"/>
      <c r="FBY113" s="64"/>
      <c r="FBZ113" s="64"/>
      <c r="FCA113" s="64"/>
      <c r="FCB113" s="64"/>
      <c r="FCC113" s="64"/>
      <c r="FCD113" s="64"/>
      <c r="FCE113" s="64"/>
      <c r="FCF113" s="64"/>
      <c r="FCG113" s="64"/>
      <c r="FCH113" s="64"/>
      <c r="FCI113" s="64"/>
      <c r="FCJ113" s="64"/>
      <c r="FCK113" s="64"/>
      <c r="FCL113" s="64"/>
      <c r="FCM113" s="64"/>
      <c r="FCN113" s="64"/>
      <c r="FCO113" s="64"/>
      <c r="FCP113" s="64"/>
      <c r="FCQ113" s="64"/>
      <c r="FCR113" s="64"/>
      <c r="FCS113" s="64"/>
      <c r="FCT113" s="64"/>
      <c r="FCU113" s="64"/>
      <c r="FCV113" s="64"/>
      <c r="FCW113" s="64"/>
      <c r="FCX113" s="64"/>
      <c r="FCY113" s="64"/>
      <c r="FCZ113" s="64"/>
      <c r="FDA113" s="64"/>
      <c r="FDB113" s="64"/>
      <c r="FDC113" s="64"/>
      <c r="FDD113" s="64"/>
      <c r="FDE113" s="64"/>
      <c r="FDF113" s="64"/>
      <c r="FDG113" s="64"/>
      <c r="FDH113" s="64"/>
      <c r="FDI113" s="64"/>
      <c r="FDJ113" s="64"/>
      <c r="FDK113" s="64"/>
      <c r="FDL113" s="64"/>
      <c r="FDM113" s="64"/>
      <c r="FDN113" s="64"/>
      <c r="FDO113" s="64"/>
      <c r="FDP113" s="64"/>
      <c r="FDQ113" s="64"/>
      <c r="FDR113" s="64"/>
      <c r="FDS113" s="64"/>
      <c r="FDT113" s="64"/>
      <c r="FDU113" s="64"/>
      <c r="FDV113" s="64"/>
      <c r="FDW113" s="64"/>
      <c r="FDX113" s="64"/>
      <c r="FDY113" s="64"/>
      <c r="FDZ113" s="64"/>
      <c r="FEA113" s="64"/>
      <c r="FEB113" s="64"/>
      <c r="FEC113" s="64"/>
      <c r="FED113" s="64"/>
      <c r="FEE113" s="64"/>
      <c r="FEF113" s="64"/>
      <c r="FEG113" s="64"/>
      <c r="FEH113" s="64"/>
      <c r="FEI113" s="64"/>
      <c r="FEJ113" s="64"/>
      <c r="FEK113" s="64"/>
      <c r="FEL113" s="64"/>
      <c r="FEM113" s="64"/>
      <c r="FEN113" s="64"/>
      <c r="FEO113" s="64"/>
      <c r="FEP113" s="64"/>
      <c r="FEQ113" s="64"/>
      <c r="FER113" s="64"/>
      <c r="FES113" s="64"/>
      <c r="FET113" s="64"/>
      <c r="FEU113" s="64"/>
      <c r="FEV113" s="64"/>
      <c r="FEW113" s="64"/>
      <c r="FEX113" s="64"/>
      <c r="FEY113" s="64"/>
      <c r="FEZ113" s="64"/>
      <c r="FFA113" s="64"/>
      <c r="FFB113" s="64"/>
      <c r="FFC113" s="64"/>
      <c r="FFD113" s="64"/>
      <c r="FFE113" s="64"/>
      <c r="FFF113" s="64"/>
      <c r="FFG113" s="64"/>
      <c r="FFH113" s="64"/>
      <c r="FFI113" s="64"/>
      <c r="FFJ113" s="64"/>
      <c r="FFK113" s="64"/>
      <c r="FFL113" s="64"/>
      <c r="FFM113" s="64"/>
      <c r="FFN113" s="64"/>
      <c r="FFO113" s="64"/>
      <c r="FFP113" s="64"/>
      <c r="FFQ113" s="64"/>
      <c r="FFR113" s="64"/>
      <c r="FFS113" s="64"/>
      <c r="FFT113" s="64"/>
      <c r="FFU113" s="64"/>
      <c r="FFV113" s="64"/>
      <c r="FFW113" s="64"/>
      <c r="FFX113" s="64"/>
      <c r="FFY113" s="64"/>
      <c r="FFZ113" s="64"/>
      <c r="FGA113" s="64"/>
      <c r="FGB113" s="64"/>
      <c r="FGC113" s="64"/>
      <c r="FGD113" s="64"/>
      <c r="FGE113" s="64"/>
      <c r="FGF113" s="64"/>
      <c r="FGG113" s="64"/>
      <c r="FGH113" s="64"/>
      <c r="FGI113" s="64"/>
      <c r="FGJ113" s="64"/>
      <c r="FGK113" s="64"/>
      <c r="FGL113" s="64"/>
      <c r="FGM113" s="64"/>
      <c r="FGN113" s="64"/>
      <c r="FGO113" s="64"/>
      <c r="FGP113" s="64"/>
      <c r="FGQ113" s="64"/>
      <c r="FGR113" s="64"/>
      <c r="FGS113" s="64"/>
      <c r="FGT113" s="64"/>
      <c r="FGU113" s="64"/>
      <c r="FGV113" s="64"/>
      <c r="FGW113" s="64"/>
      <c r="FGX113" s="64"/>
      <c r="FGY113" s="64"/>
      <c r="FGZ113" s="64"/>
      <c r="FHA113" s="64"/>
      <c r="FHB113" s="64"/>
      <c r="FHC113" s="64"/>
      <c r="FHD113" s="64"/>
      <c r="FHE113" s="64"/>
      <c r="FHF113" s="64"/>
      <c r="FHG113" s="64"/>
      <c r="FHH113" s="64"/>
      <c r="FHI113" s="64"/>
      <c r="FHJ113" s="64"/>
      <c r="FHK113" s="64"/>
      <c r="FHL113" s="64"/>
      <c r="FHM113" s="64"/>
      <c r="FHN113" s="64"/>
      <c r="FHO113" s="64"/>
      <c r="FHP113" s="64"/>
      <c r="FHQ113" s="64"/>
      <c r="FHR113" s="64"/>
      <c r="FHS113" s="64"/>
      <c r="FHT113" s="64"/>
      <c r="FHU113" s="64"/>
      <c r="FHV113" s="64"/>
      <c r="FHW113" s="64"/>
      <c r="FHX113" s="64"/>
      <c r="FHY113" s="64"/>
      <c r="FHZ113" s="64"/>
      <c r="FIA113" s="64"/>
      <c r="FIB113" s="64"/>
      <c r="FIC113" s="64"/>
      <c r="FID113" s="64"/>
      <c r="FIE113" s="64"/>
      <c r="FIF113" s="64"/>
      <c r="FIG113" s="64"/>
      <c r="FIH113" s="64"/>
      <c r="FII113" s="64"/>
      <c r="FIJ113" s="64"/>
      <c r="FIK113" s="64"/>
      <c r="FIL113" s="64"/>
      <c r="FIM113" s="64"/>
      <c r="FIN113" s="64"/>
      <c r="FIO113" s="64"/>
      <c r="FIP113" s="64"/>
      <c r="FIQ113" s="64"/>
      <c r="FIR113" s="64"/>
      <c r="FIS113" s="64"/>
      <c r="FIT113" s="64"/>
      <c r="FIU113" s="64"/>
      <c r="FIV113" s="64"/>
      <c r="FIW113" s="64"/>
      <c r="FIX113" s="64"/>
      <c r="FIY113" s="64"/>
      <c r="FIZ113" s="64"/>
      <c r="FJA113" s="64"/>
      <c r="FJB113" s="64"/>
      <c r="FJC113" s="64"/>
      <c r="FJD113" s="64"/>
      <c r="FJE113" s="64"/>
      <c r="FJF113" s="64"/>
      <c r="FJG113" s="64"/>
      <c r="FJH113" s="64"/>
      <c r="FJI113" s="64"/>
      <c r="FJJ113" s="64"/>
      <c r="FJK113" s="64"/>
      <c r="FJL113" s="64"/>
      <c r="FJM113" s="64"/>
      <c r="FJN113" s="64"/>
      <c r="FJO113" s="64"/>
      <c r="FJP113" s="64"/>
      <c r="FJQ113" s="64"/>
      <c r="FJR113" s="64"/>
      <c r="FJS113" s="64"/>
      <c r="FJT113" s="64"/>
      <c r="FJU113" s="64"/>
      <c r="FJV113" s="64"/>
      <c r="FJW113" s="64"/>
      <c r="FJX113" s="64"/>
      <c r="FJY113" s="64"/>
      <c r="FJZ113" s="64"/>
      <c r="FKA113" s="64"/>
      <c r="FKB113" s="64"/>
      <c r="FKC113" s="64"/>
      <c r="FKD113" s="64"/>
      <c r="FKE113" s="64"/>
      <c r="FKF113" s="64"/>
      <c r="FKG113" s="64"/>
      <c r="FKH113" s="64"/>
      <c r="FKI113" s="64"/>
      <c r="FKJ113" s="64"/>
      <c r="FKK113" s="64"/>
      <c r="FKL113" s="64"/>
      <c r="FKM113" s="64"/>
      <c r="FKN113" s="64"/>
      <c r="FKO113" s="64"/>
      <c r="FKP113" s="64"/>
      <c r="FKQ113" s="64"/>
      <c r="FKR113" s="64"/>
      <c r="FKS113" s="64"/>
      <c r="FKT113" s="64"/>
      <c r="FKU113" s="64"/>
      <c r="FKV113" s="64"/>
      <c r="FKW113" s="64"/>
      <c r="FKX113" s="64"/>
      <c r="FKY113" s="64"/>
      <c r="FKZ113" s="64"/>
      <c r="FLA113" s="64"/>
      <c r="FLB113" s="64"/>
      <c r="FLC113" s="64"/>
      <c r="FLD113" s="64"/>
      <c r="FLE113" s="64"/>
      <c r="FLF113" s="64"/>
      <c r="FLG113" s="64"/>
      <c r="FLH113" s="64"/>
      <c r="FLI113" s="64"/>
      <c r="FLJ113" s="64"/>
      <c r="FLK113" s="64"/>
      <c r="FLL113" s="64"/>
      <c r="FLM113" s="64"/>
      <c r="FLN113" s="64"/>
      <c r="FLO113" s="64"/>
      <c r="FLP113" s="64"/>
      <c r="FLQ113" s="64"/>
      <c r="FLR113" s="64"/>
      <c r="FLS113" s="64"/>
      <c r="FLT113" s="64"/>
      <c r="FLU113" s="64"/>
      <c r="FLV113" s="64"/>
      <c r="FLW113" s="64"/>
      <c r="FLX113" s="64"/>
      <c r="FLY113" s="64"/>
      <c r="FLZ113" s="64"/>
      <c r="FMA113" s="64"/>
      <c r="FMB113" s="64"/>
      <c r="FMC113" s="64"/>
      <c r="FMD113" s="64"/>
      <c r="FME113" s="64"/>
      <c r="FMF113" s="64"/>
      <c r="FMG113" s="64"/>
      <c r="FMH113" s="64"/>
      <c r="FMI113" s="64"/>
      <c r="FMJ113" s="64"/>
      <c r="FMK113" s="64"/>
      <c r="FML113" s="64"/>
      <c r="FMM113" s="64"/>
      <c r="FMN113" s="64"/>
      <c r="FMO113" s="64"/>
      <c r="FMP113" s="64"/>
      <c r="FMQ113" s="64"/>
      <c r="FMR113" s="64"/>
      <c r="FMS113" s="64"/>
      <c r="FMT113" s="64"/>
      <c r="FMU113" s="64"/>
      <c r="FMV113" s="64"/>
      <c r="FMW113" s="64"/>
      <c r="FMX113" s="64"/>
      <c r="FMY113" s="64"/>
      <c r="FMZ113" s="64"/>
      <c r="FNA113" s="64"/>
      <c r="FNB113" s="64"/>
      <c r="FNC113" s="64"/>
      <c r="FND113" s="64"/>
      <c r="FNE113" s="64"/>
      <c r="FNF113" s="64"/>
      <c r="FNG113" s="64"/>
      <c r="FNH113" s="64"/>
      <c r="FNI113" s="64"/>
      <c r="FNJ113" s="64"/>
      <c r="FNK113" s="64"/>
      <c r="FNL113" s="64"/>
      <c r="FNM113" s="64"/>
      <c r="FNN113" s="64"/>
      <c r="FNO113" s="64"/>
      <c r="FNP113" s="64"/>
      <c r="FNQ113" s="64"/>
      <c r="FNR113" s="64"/>
      <c r="FNS113" s="64"/>
      <c r="FNT113" s="64"/>
      <c r="FNU113" s="64"/>
      <c r="FNV113" s="64"/>
      <c r="FNW113" s="64"/>
      <c r="FNX113" s="64"/>
      <c r="FNY113" s="64"/>
      <c r="FNZ113" s="64"/>
      <c r="FOA113" s="64"/>
      <c r="FOB113" s="64"/>
      <c r="FOC113" s="64"/>
      <c r="FOD113" s="64"/>
      <c r="FOE113" s="64"/>
      <c r="FOF113" s="64"/>
      <c r="FOG113" s="64"/>
      <c r="FOH113" s="64"/>
      <c r="FOI113" s="64"/>
      <c r="FOJ113" s="64"/>
      <c r="FOK113" s="64"/>
      <c r="FOL113" s="64"/>
      <c r="FOM113" s="64"/>
      <c r="FON113" s="64"/>
      <c r="FOO113" s="64"/>
      <c r="FOP113" s="64"/>
      <c r="FOQ113" s="64"/>
      <c r="FOR113" s="64"/>
      <c r="FOS113" s="64"/>
      <c r="FOT113" s="64"/>
      <c r="FOU113" s="64"/>
      <c r="FOV113" s="64"/>
      <c r="FOW113" s="64"/>
      <c r="FOX113" s="64"/>
      <c r="FOY113" s="64"/>
      <c r="FOZ113" s="64"/>
      <c r="FPA113" s="64"/>
      <c r="FPB113" s="64"/>
      <c r="FPC113" s="64"/>
      <c r="FPD113" s="64"/>
      <c r="FPE113" s="64"/>
      <c r="FPF113" s="64"/>
      <c r="FPG113" s="64"/>
      <c r="FPH113" s="64"/>
      <c r="FPI113" s="64"/>
      <c r="FPJ113" s="64"/>
      <c r="FPK113" s="64"/>
      <c r="FPL113" s="64"/>
      <c r="FPM113" s="64"/>
      <c r="FPN113" s="64"/>
      <c r="FPO113" s="64"/>
      <c r="FPP113" s="64"/>
      <c r="FPQ113" s="64"/>
      <c r="FPR113" s="64"/>
      <c r="FPS113" s="64"/>
      <c r="FPT113" s="64"/>
      <c r="FPU113" s="64"/>
      <c r="FPV113" s="64"/>
      <c r="FPW113" s="64"/>
      <c r="FPX113" s="64"/>
      <c r="FPY113" s="64"/>
      <c r="FPZ113" s="64"/>
      <c r="FQA113" s="64"/>
      <c r="FQB113" s="64"/>
      <c r="FQC113" s="64"/>
      <c r="FQD113" s="64"/>
      <c r="FQE113" s="64"/>
      <c r="FQF113" s="64"/>
      <c r="FQG113" s="64"/>
      <c r="FQH113" s="64"/>
      <c r="FQI113" s="64"/>
      <c r="FQJ113" s="64"/>
      <c r="FQK113" s="64"/>
      <c r="FQL113" s="64"/>
      <c r="FQM113" s="64"/>
      <c r="FQN113" s="64"/>
      <c r="FQO113" s="64"/>
      <c r="FQP113" s="64"/>
      <c r="FQQ113" s="64"/>
      <c r="FQR113" s="64"/>
      <c r="FQS113" s="64"/>
      <c r="FQT113" s="64"/>
      <c r="FQU113" s="64"/>
      <c r="FQV113" s="64"/>
      <c r="FQW113" s="64"/>
      <c r="FQX113" s="64"/>
      <c r="FQY113" s="64"/>
      <c r="FQZ113" s="64"/>
      <c r="FRA113" s="64"/>
      <c r="FRB113" s="64"/>
      <c r="FRC113" s="64"/>
      <c r="FRD113" s="64"/>
      <c r="FRE113" s="64"/>
      <c r="FRF113" s="64"/>
      <c r="FRG113" s="64"/>
      <c r="FRH113" s="64"/>
      <c r="FRI113" s="64"/>
      <c r="FRJ113" s="64"/>
      <c r="FRK113" s="64"/>
      <c r="FRL113" s="64"/>
      <c r="FRM113" s="64"/>
      <c r="FRN113" s="64"/>
      <c r="FRO113" s="64"/>
      <c r="FRP113" s="64"/>
      <c r="FRQ113" s="64"/>
      <c r="FRR113" s="64"/>
      <c r="FRS113" s="64"/>
      <c r="FRT113" s="64"/>
      <c r="FRU113" s="64"/>
      <c r="FRV113" s="64"/>
      <c r="FRW113" s="64"/>
      <c r="FRX113" s="64"/>
      <c r="FRY113" s="64"/>
      <c r="FRZ113" s="64"/>
      <c r="FSA113" s="64"/>
      <c r="FSB113" s="64"/>
      <c r="FSC113" s="64"/>
      <c r="FSD113" s="64"/>
      <c r="FSE113" s="64"/>
      <c r="FSF113" s="64"/>
      <c r="FSG113" s="64"/>
      <c r="FSH113" s="64"/>
      <c r="FSI113" s="64"/>
      <c r="FSJ113" s="64"/>
      <c r="FSK113" s="64"/>
      <c r="FSL113" s="64"/>
      <c r="FSM113" s="64"/>
      <c r="FSN113" s="64"/>
      <c r="FSO113" s="64"/>
      <c r="FSP113" s="64"/>
      <c r="FSQ113" s="64"/>
      <c r="FSR113" s="64"/>
      <c r="FSS113" s="64"/>
      <c r="FST113" s="64"/>
      <c r="FSU113" s="64"/>
      <c r="FSV113" s="64"/>
      <c r="FSW113" s="64"/>
      <c r="FSX113" s="64"/>
      <c r="FSY113" s="64"/>
      <c r="FSZ113" s="64"/>
      <c r="FTA113" s="64"/>
      <c r="FTB113" s="64"/>
      <c r="FTC113" s="64"/>
      <c r="FTD113" s="64"/>
      <c r="FTE113" s="64"/>
      <c r="FTF113" s="64"/>
      <c r="FTG113" s="64"/>
      <c r="FTH113" s="64"/>
      <c r="FTI113" s="64"/>
      <c r="FTJ113" s="64"/>
      <c r="FTK113" s="64"/>
      <c r="FTL113" s="64"/>
      <c r="FTM113" s="64"/>
      <c r="FTN113" s="64"/>
      <c r="FTO113" s="64"/>
      <c r="FTP113" s="64"/>
      <c r="FTQ113" s="64"/>
      <c r="FTR113" s="64"/>
      <c r="FTS113" s="64"/>
      <c r="FTT113" s="64"/>
      <c r="FTU113" s="64"/>
      <c r="FTV113" s="64"/>
      <c r="FTW113" s="64"/>
      <c r="FTX113" s="64"/>
      <c r="FTY113" s="64"/>
      <c r="FTZ113" s="64"/>
      <c r="FUA113" s="64"/>
      <c r="FUB113" s="64"/>
      <c r="FUC113" s="64"/>
      <c r="FUD113" s="64"/>
      <c r="FUE113" s="64"/>
      <c r="FUF113" s="64"/>
      <c r="FUG113" s="64"/>
      <c r="FUH113" s="64"/>
      <c r="FUI113" s="64"/>
      <c r="FUJ113" s="64"/>
      <c r="FUK113" s="64"/>
      <c r="FUL113" s="64"/>
      <c r="FUM113" s="64"/>
      <c r="FUN113" s="64"/>
      <c r="FUO113" s="64"/>
      <c r="FUP113" s="64"/>
      <c r="FUQ113" s="64"/>
      <c r="FUR113" s="64"/>
      <c r="FUS113" s="64"/>
      <c r="FUT113" s="64"/>
      <c r="FUU113" s="64"/>
      <c r="FUV113" s="64"/>
      <c r="FUW113" s="64"/>
      <c r="FUX113" s="64"/>
      <c r="FUY113" s="64"/>
      <c r="FUZ113" s="64"/>
      <c r="FVA113" s="64"/>
      <c r="FVB113" s="64"/>
      <c r="FVC113" s="64"/>
      <c r="FVD113" s="64"/>
      <c r="FVE113" s="64"/>
      <c r="FVF113" s="64"/>
      <c r="FVG113" s="64"/>
      <c r="FVH113" s="64"/>
      <c r="FVI113" s="64"/>
      <c r="FVJ113" s="64"/>
      <c r="FVK113" s="64"/>
      <c r="FVL113" s="64"/>
      <c r="FVM113" s="64"/>
      <c r="FVN113" s="64"/>
      <c r="FVO113" s="64"/>
      <c r="FVP113" s="64"/>
      <c r="FVQ113" s="64"/>
      <c r="FVR113" s="64"/>
      <c r="FVS113" s="64"/>
      <c r="FVT113" s="64"/>
      <c r="FVU113" s="64"/>
      <c r="FVV113" s="64"/>
      <c r="FVW113" s="64"/>
      <c r="FVX113" s="64"/>
      <c r="FVY113" s="64"/>
      <c r="FVZ113" s="64"/>
      <c r="FWA113" s="64"/>
      <c r="FWB113" s="64"/>
      <c r="FWC113" s="64"/>
      <c r="FWD113" s="64"/>
      <c r="FWE113" s="64"/>
      <c r="FWF113" s="64"/>
      <c r="FWG113" s="64"/>
      <c r="FWH113" s="64"/>
      <c r="FWI113" s="64"/>
      <c r="FWJ113" s="64"/>
      <c r="FWK113" s="64"/>
      <c r="FWL113" s="64"/>
      <c r="FWM113" s="64"/>
      <c r="FWN113" s="64"/>
      <c r="FWO113" s="64"/>
      <c r="FWP113" s="64"/>
      <c r="FWQ113" s="64"/>
      <c r="FWR113" s="64"/>
      <c r="FWS113" s="64"/>
      <c r="FWT113" s="64"/>
      <c r="FWU113" s="64"/>
      <c r="FWV113" s="64"/>
      <c r="FWW113" s="64"/>
      <c r="FWX113" s="64"/>
      <c r="FWY113" s="64"/>
      <c r="FWZ113" s="64"/>
      <c r="FXA113" s="64"/>
      <c r="FXB113" s="64"/>
      <c r="FXC113" s="64"/>
      <c r="FXD113" s="64"/>
      <c r="FXE113" s="64"/>
      <c r="FXF113" s="64"/>
      <c r="FXG113" s="64"/>
      <c r="FXH113" s="64"/>
      <c r="FXI113" s="64"/>
      <c r="FXJ113" s="64"/>
      <c r="FXK113" s="64"/>
      <c r="FXL113" s="64"/>
      <c r="FXM113" s="64"/>
      <c r="FXN113" s="64"/>
      <c r="FXO113" s="64"/>
      <c r="FXP113" s="64"/>
      <c r="FXQ113" s="64"/>
      <c r="FXR113" s="64"/>
      <c r="FXS113" s="64"/>
      <c r="FXT113" s="64"/>
      <c r="FXU113" s="64"/>
      <c r="FXV113" s="64"/>
      <c r="FXW113" s="64"/>
      <c r="FXX113" s="64"/>
      <c r="FXY113" s="64"/>
      <c r="FXZ113" s="64"/>
      <c r="FYA113" s="64"/>
      <c r="FYB113" s="64"/>
      <c r="FYC113" s="64"/>
      <c r="FYD113" s="64"/>
      <c r="FYE113" s="64"/>
      <c r="FYF113" s="64"/>
      <c r="FYG113" s="64"/>
      <c r="FYH113" s="64"/>
      <c r="FYI113" s="64"/>
      <c r="FYJ113" s="64"/>
      <c r="FYK113" s="64"/>
      <c r="FYL113" s="64"/>
      <c r="FYM113" s="64"/>
      <c r="FYN113" s="64"/>
      <c r="FYO113" s="64"/>
      <c r="FYP113" s="64"/>
      <c r="FYQ113" s="64"/>
      <c r="FYR113" s="64"/>
      <c r="FYS113" s="64"/>
      <c r="FYT113" s="64"/>
      <c r="FYU113" s="64"/>
      <c r="FYV113" s="64"/>
      <c r="FYW113" s="64"/>
      <c r="FYX113" s="64"/>
      <c r="FYY113" s="64"/>
      <c r="FYZ113" s="64"/>
      <c r="FZA113" s="64"/>
      <c r="FZB113" s="64"/>
      <c r="FZC113" s="64"/>
      <c r="FZD113" s="64"/>
      <c r="FZE113" s="64"/>
      <c r="FZF113" s="64"/>
      <c r="FZG113" s="64"/>
      <c r="FZH113" s="64"/>
      <c r="FZI113" s="64"/>
      <c r="FZJ113" s="64"/>
      <c r="FZK113" s="64"/>
      <c r="FZL113" s="64"/>
      <c r="FZM113" s="64"/>
      <c r="FZN113" s="64"/>
      <c r="FZO113" s="64"/>
      <c r="FZP113" s="64"/>
      <c r="FZQ113" s="64"/>
      <c r="FZR113" s="64"/>
      <c r="FZS113" s="64"/>
      <c r="FZT113" s="64"/>
      <c r="FZU113" s="64"/>
      <c r="FZV113" s="64"/>
      <c r="FZW113" s="64"/>
      <c r="FZX113" s="64"/>
      <c r="FZY113" s="64"/>
      <c r="FZZ113" s="64"/>
      <c r="GAA113" s="64"/>
      <c r="GAB113" s="64"/>
      <c r="GAC113" s="64"/>
      <c r="GAD113" s="64"/>
      <c r="GAE113" s="64"/>
      <c r="GAF113" s="64"/>
      <c r="GAG113" s="64"/>
      <c r="GAH113" s="64"/>
      <c r="GAI113" s="64"/>
      <c r="GAJ113" s="64"/>
      <c r="GAK113" s="64"/>
      <c r="GAL113" s="64"/>
      <c r="GAM113" s="64"/>
      <c r="GAN113" s="64"/>
      <c r="GAO113" s="64"/>
      <c r="GAP113" s="64"/>
      <c r="GAQ113" s="64"/>
      <c r="GAR113" s="64"/>
      <c r="GAS113" s="64"/>
      <c r="GAT113" s="64"/>
      <c r="GAU113" s="64"/>
      <c r="GAV113" s="64"/>
      <c r="GAW113" s="64"/>
      <c r="GAX113" s="64"/>
      <c r="GAY113" s="64"/>
      <c r="GAZ113" s="64"/>
      <c r="GBA113" s="64"/>
      <c r="GBB113" s="64"/>
      <c r="GBC113" s="64"/>
      <c r="GBD113" s="64"/>
      <c r="GBE113" s="64"/>
      <c r="GBF113" s="64"/>
      <c r="GBG113" s="64"/>
      <c r="GBH113" s="64"/>
      <c r="GBI113" s="64"/>
      <c r="GBJ113" s="64"/>
      <c r="GBK113" s="64"/>
      <c r="GBL113" s="64"/>
      <c r="GBM113" s="64"/>
      <c r="GBN113" s="64"/>
      <c r="GBO113" s="64"/>
      <c r="GBP113" s="64"/>
      <c r="GBQ113" s="64"/>
      <c r="GBR113" s="64"/>
      <c r="GBS113" s="64"/>
      <c r="GBT113" s="64"/>
      <c r="GBU113" s="64"/>
      <c r="GBV113" s="64"/>
      <c r="GBW113" s="64"/>
      <c r="GBX113" s="64"/>
      <c r="GBY113" s="64"/>
      <c r="GBZ113" s="64"/>
      <c r="GCA113" s="64"/>
      <c r="GCB113" s="64"/>
      <c r="GCC113" s="64"/>
      <c r="GCD113" s="64"/>
      <c r="GCE113" s="64"/>
      <c r="GCF113" s="64"/>
      <c r="GCG113" s="64"/>
      <c r="GCH113" s="64"/>
      <c r="GCI113" s="64"/>
      <c r="GCJ113" s="64"/>
      <c r="GCK113" s="64"/>
      <c r="GCL113" s="64"/>
      <c r="GCM113" s="64"/>
      <c r="GCN113" s="64"/>
      <c r="GCO113" s="64"/>
      <c r="GCP113" s="64"/>
      <c r="GCQ113" s="64"/>
      <c r="GCR113" s="64"/>
      <c r="GCS113" s="64"/>
      <c r="GCT113" s="64"/>
      <c r="GCU113" s="64"/>
      <c r="GCV113" s="64"/>
      <c r="GCW113" s="64"/>
      <c r="GCX113" s="64"/>
      <c r="GCY113" s="64"/>
      <c r="GCZ113" s="64"/>
      <c r="GDA113" s="64"/>
      <c r="GDB113" s="64"/>
      <c r="GDC113" s="64"/>
      <c r="GDD113" s="64"/>
      <c r="GDE113" s="64"/>
      <c r="GDF113" s="64"/>
      <c r="GDG113" s="64"/>
      <c r="GDH113" s="64"/>
      <c r="GDI113" s="64"/>
      <c r="GDJ113" s="64"/>
      <c r="GDK113" s="64"/>
      <c r="GDL113" s="64"/>
      <c r="GDM113" s="64"/>
      <c r="GDN113" s="64"/>
      <c r="GDO113" s="64"/>
      <c r="GDP113" s="64"/>
      <c r="GDQ113" s="64"/>
      <c r="GDR113" s="64"/>
      <c r="GDS113" s="64"/>
      <c r="GDT113" s="64"/>
      <c r="GDU113" s="64"/>
      <c r="GDV113" s="64"/>
      <c r="GDW113" s="64"/>
      <c r="GDX113" s="64"/>
      <c r="GDY113" s="64"/>
      <c r="GDZ113" s="64"/>
      <c r="GEA113" s="64"/>
      <c r="GEB113" s="64"/>
      <c r="GEC113" s="64"/>
      <c r="GED113" s="64"/>
      <c r="GEE113" s="64"/>
      <c r="GEF113" s="64"/>
      <c r="GEG113" s="64"/>
      <c r="GEH113" s="64"/>
      <c r="GEI113" s="64"/>
      <c r="GEJ113" s="64"/>
      <c r="GEK113" s="64"/>
      <c r="GEL113" s="64"/>
      <c r="GEM113" s="64"/>
      <c r="GEN113" s="64"/>
      <c r="GEO113" s="64"/>
      <c r="GEP113" s="64"/>
      <c r="GEQ113" s="64"/>
      <c r="GER113" s="64"/>
      <c r="GES113" s="64"/>
      <c r="GET113" s="64"/>
      <c r="GEU113" s="64"/>
      <c r="GEV113" s="64"/>
      <c r="GEW113" s="64"/>
      <c r="GEX113" s="64"/>
      <c r="GEY113" s="64"/>
      <c r="GEZ113" s="64"/>
      <c r="GFA113" s="64"/>
      <c r="GFB113" s="64"/>
      <c r="GFC113" s="64"/>
      <c r="GFD113" s="64"/>
      <c r="GFE113" s="64"/>
      <c r="GFF113" s="64"/>
      <c r="GFG113" s="64"/>
      <c r="GFH113" s="64"/>
      <c r="GFI113" s="64"/>
      <c r="GFJ113" s="64"/>
      <c r="GFK113" s="64"/>
      <c r="GFL113" s="64"/>
      <c r="GFM113" s="64"/>
      <c r="GFN113" s="64"/>
      <c r="GFO113" s="64"/>
      <c r="GFP113" s="64"/>
      <c r="GFQ113" s="64"/>
      <c r="GFR113" s="64"/>
      <c r="GFS113" s="64"/>
      <c r="GFT113" s="64"/>
      <c r="GFU113" s="64"/>
      <c r="GFV113" s="64"/>
      <c r="GFW113" s="64"/>
      <c r="GFX113" s="64"/>
      <c r="GFY113" s="64"/>
      <c r="GFZ113" s="64"/>
      <c r="GGA113" s="64"/>
      <c r="GGB113" s="64"/>
      <c r="GGC113" s="64"/>
      <c r="GGD113" s="64"/>
      <c r="GGE113" s="64"/>
      <c r="GGF113" s="64"/>
      <c r="GGG113" s="64"/>
      <c r="GGH113" s="64"/>
      <c r="GGI113" s="64"/>
      <c r="GGJ113" s="64"/>
      <c r="GGK113" s="64"/>
      <c r="GGL113" s="64"/>
      <c r="GGM113" s="64"/>
      <c r="GGN113" s="64"/>
      <c r="GGO113" s="64"/>
      <c r="GGP113" s="64"/>
      <c r="GGQ113" s="64"/>
      <c r="GGR113" s="64"/>
      <c r="GGS113" s="64"/>
      <c r="GGT113" s="64"/>
      <c r="GGU113" s="64"/>
      <c r="GGV113" s="64"/>
      <c r="GGW113" s="64"/>
      <c r="GGX113" s="64"/>
      <c r="GGY113" s="64"/>
      <c r="GGZ113" s="64"/>
      <c r="GHA113" s="64"/>
      <c r="GHB113" s="64"/>
      <c r="GHC113" s="64"/>
      <c r="GHD113" s="64"/>
      <c r="GHE113" s="64"/>
      <c r="GHF113" s="64"/>
      <c r="GHG113" s="64"/>
      <c r="GHH113" s="64"/>
      <c r="GHI113" s="64"/>
      <c r="GHJ113" s="64"/>
      <c r="GHK113" s="64"/>
      <c r="GHL113" s="64"/>
      <c r="GHM113" s="64"/>
      <c r="GHN113" s="64"/>
      <c r="GHO113" s="64"/>
      <c r="GHP113" s="64"/>
      <c r="GHQ113" s="64"/>
      <c r="GHR113" s="64"/>
      <c r="GHS113" s="64"/>
      <c r="GHT113" s="64"/>
      <c r="GHU113" s="64"/>
      <c r="GHV113" s="64"/>
      <c r="GHW113" s="64"/>
      <c r="GHX113" s="64"/>
      <c r="GHY113" s="64"/>
      <c r="GHZ113" s="64"/>
      <c r="GIA113" s="64"/>
      <c r="GIB113" s="64"/>
      <c r="GIC113" s="64"/>
      <c r="GID113" s="64"/>
      <c r="GIE113" s="64"/>
      <c r="GIF113" s="64"/>
      <c r="GIG113" s="64"/>
      <c r="GIH113" s="64"/>
      <c r="GII113" s="64"/>
      <c r="GIJ113" s="64"/>
      <c r="GIK113" s="64"/>
      <c r="GIL113" s="64"/>
      <c r="GIM113" s="64"/>
      <c r="GIN113" s="64"/>
      <c r="GIO113" s="64"/>
      <c r="GIP113" s="64"/>
      <c r="GIQ113" s="64"/>
      <c r="GIR113" s="64"/>
      <c r="GIS113" s="64"/>
      <c r="GIT113" s="64"/>
      <c r="GIU113" s="64"/>
      <c r="GIV113" s="64"/>
      <c r="GIW113" s="64"/>
      <c r="GIX113" s="64"/>
      <c r="GIY113" s="64"/>
      <c r="GIZ113" s="64"/>
      <c r="GJA113" s="64"/>
      <c r="GJB113" s="64"/>
      <c r="GJC113" s="64"/>
      <c r="GJD113" s="64"/>
      <c r="GJE113" s="64"/>
      <c r="GJF113" s="64"/>
      <c r="GJG113" s="64"/>
      <c r="GJH113" s="64"/>
      <c r="GJI113" s="64"/>
      <c r="GJJ113" s="64"/>
      <c r="GJK113" s="64"/>
      <c r="GJL113" s="64"/>
      <c r="GJM113" s="64"/>
      <c r="GJN113" s="64"/>
      <c r="GJO113" s="64"/>
      <c r="GJP113" s="64"/>
      <c r="GJQ113" s="64"/>
      <c r="GJR113" s="64"/>
      <c r="GJS113" s="64"/>
      <c r="GJT113" s="64"/>
      <c r="GJU113" s="64"/>
      <c r="GJV113" s="64"/>
      <c r="GJW113" s="64"/>
      <c r="GJX113" s="64"/>
      <c r="GJY113" s="64"/>
      <c r="GJZ113" s="64"/>
      <c r="GKA113" s="64"/>
      <c r="GKB113" s="64"/>
      <c r="GKC113" s="64"/>
      <c r="GKD113" s="64"/>
      <c r="GKE113" s="64"/>
      <c r="GKF113" s="64"/>
      <c r="GKG113" s="64"/>
      <c r="GKH113" s="64"/>
      <c r="GKI113" s="64"/>
      <c r="GKJ113" s="64"/>
      <c r="GKK113" s="64"/>
      <c r="GKL113" s="64"/>
      <c r="GKM113" s="64"/>
      <c r="GKN113" s="64"/>
      <c r="GKO113" s="64"/>
      <c r="GKP113" s="64"/>
      <c r="GKQ113" s="64"/>
      <c r="GKR113" s="64"/>
      <c r="GKS113" s="64"/>
      <c r="GKT113" s="64"/>
      <c r="GKU113" s="64"/>
      <c r="GKV113" s="64"/>
      <c r="GKW113" s="64"/>
      <c r="GKX113" s="64"/>
      <c r="GKY113" s="64"/>
      <c r="GKZ113" s="64"/>
      <c r="GLA113" s="64"/>
      <c r="GLB113" s="64"/>
      <c r="GLC113" s="64"/>
      <c r="GLD113" s="64"/>
      <c r="GLE113" s="64"/>
      <c r="GLF113" s="64"/>
      <c r="GLG113" s="64"/>
      <c r="GLH113" s="64"/>
      <c r="GLI113" s="64"/>
      <c r="GLJ113" s="64"/>
      <c r="GLK113" s="64"/>
      <c r="GLL113" s="64"/>
      <c r="GLM113" s="64"/>
      <c r="GLN113" s="64"/>
      <c r="GLO113" s="64"/>
      <c r="GLP113" s="64"/>
      <c r="GLQ113" s="64"/>
      <c r="GLR113" s="64"/>
      <c r="GLS113" s="64"/>
      <c r="GLT113" s="64"/>
      <c r="GLU113" s="64"/>
      <c r="GLV113" s="64"/>
      <c r="GLW113" s="64"/>
      <c r="GLX113" s="64"/>
      <c r="GLY113" s="64"/>
      <c r="GLZ113" s="64"/>
      <c r="GMA113" s="64"/>
      <c r="GMB113" s="64"/>
      <c r="GMC113" s="64"/>
      <c r="GMD113" s="64"/>
      <c r="GME113" s="64"/>
      <c r="GMF113" s="64"/>
      <c r="GMG113" s="64"/>
      <c r="GMH113" s="64"/>
      <c r="GMI113" s="64"/>
      <c r="GMJ113" s="64"/>
      <c r="GMK113" s="64"/>
      <c r="GML113" s="64"/>
      <c r="GMM113" s="64"/>
      <c r="GMN113" s="64"/>
      <c r="GMO113" s="64"/>
      <c r="GMP113" s="64"/>
      <c r="GMQ113" s="64"/>
      <c r="GMR113" s="64"/>
      <c r="GMS113" s="64"/>
      <c r="GMT113" s="64"/>
      <c r="GMU113" s="64"/>
      <c r="GMV113" s="64"/>
      <c r="GMW113" s="64"/>
      <c r="GMX113" s="64"/>
      <c r="GMY113" s="64"/>
      <c r="GMZ113" s="64"/>
      <c r="GNA113" s="64"/>
      <c r="GNB113" s="64"/>
      <c r="GNC113" s="64"/>
      <c r="GND113" s="64"/>
      <c r="GNE113" s="64"/>
      <c r="GNF113" s="64"/>
      <c r="GNG113" s="64"/>
      <c r="GNH113" s="64"/>
      <c r="GNI113" s="64"/>
      <c r="GNJ113" s="64"/>
      <c r="GNK113" s="64"/>
      <c r="GNL113" s="64"/>
      <c r="GNM113" s="64"/>
      <c r="GNN113" s="64"/>
      <c r="GNO113" s="64"/>
      <c r="GNP113" s="64"/>
      <c r="GNQ113" s="64"/>
      <c r="GNR113" s="64"/>
      <c r="GNS113" s="64"/>
      <c r="GNT113" s="64"/>
      <c r="GNU113" s="64"/>
      <c r="GNV113" s="64"/>
      <c r="GNW113" s="64"/>
      <c r="GNX113" s="64"/>
      <c r="GNY113" s="64"/>
      <c r="GNZ113" s="64"/>
      <c r="GOA113" s="64"/>
      <c r="GOB113" s="64"/>
      <c r="GOC113" s="64"/>
      <c r="GOD113" s="64"/>
      <c r="GOE113" s="64"/>
      <c r="GOF113" s="64"/>
      <c r="GOG113" s="64"/>
      <c r="GOH113" s="64"/>
      <c r="GOI113" s="64"/>
      <c r="GOJ113" s="64"/>
      <c r="GOK113" s="64"/>
      <c r="GOL113" s="64"/>
      <c r="GOM113" s="64"/>
      <c r="GON113" s="64"/>
      <c r="GOO113" s="64"/>
      <c r="GOP113" s="64"/>
      <c r="GOQ113" s="64"/>
      <c r="GOR113" s="64"/>
      <c r="GOS113" s="64"/>
      <c r="GOT113" s="64"/>
      <c r="GOU113" s="64"/>
      <c r="GOV113" s="64"/>
      <c r="GOW113" s="64"/>
      <c r="GOX113" s="64"/>
      <c r="GOY113" s="64"/>
      <c r="GOZ113" s="64"/>
      <c r="GPA113" s="64"/>
      <c r="GPB113" s="64"/>
      <c r="GPC113" s="64"/>
      <c r="GPD113" s="64"/>
      <c r="GPE113" s="64"/>
      <c r="GPF113" s="64"/>
      <c r="GPG113" s="64"/>
      <c r="GPH113" s="64"/>
      <c r="GPI113" s="64"/>
      <c r="GPJ113" s="64"/>
      <c r="GPK113" s="64"/>
      <c r="GPL113" s="64"/>
      <c r="GPM113" s="64"/>
      <c r="GPN113" s="64"/>
      <c r="GPO113" s="64"/>
      <c r="GPP113" s="64"/>
      <c r="GPQ113" s="64"/>
      <c r="GPR113" s="64"/>
      <c r="GPS113" s="64"/>
      <c r="GPT113" s="64"/>
      <c r="GPU113" s="64"/>
      <c r="GPV113" s="64"/>
      <c r="GPW113" s="64"/>
      <c r="GPX113" s="64"/>
      <c r="GPY113" s="64"/>
      <c r="GPZ113" s="64"/>
      <c r="GQA113" s="64"/>
      <c r="GQB113" s="64"/>
      <c r="GQC113" s="64"/>
      <c r="GQD113" s="64"/>
      <c r="GQE113" s="64"/>
      <c r="GQF113" s="64"/>
      <c r="GQG113" s="64"/>
      <c r="GQH113" s="64"/>
      <c r="GQI113" s="64"/>
      <c r="GQJ113" s="64"/>
      <c r="GQK113" s="64"/>
      <c r="GQL113" s="64"/>
      <c r="GQM113" s="64"/>
      <c r="GQN113" s="64"/>
      <c r="GQO113" s="64"/>
      <c r="GQP113" s="64"/>
      <c r="GQQ113" s="64"/>
      <c r="GQR113" s="64"/>
      <c r="GQS113" s="64"/>
      <c r="GQT113" s="64"/>
      <c r="GQU113" s="64"/>
      <c r="GQV113" s="64"/>
      <c r="GQW113" s="64"/>
      <c r="GQX113" s="64"/>
      <c r="GQY113" s="64"/>
      <c r="GQZ113" s="64"/>
      <c r="GRA113" s="64"/>
      <c r="GRB113" s="64"/>
      <c r="GRC113" s="64"/>
      <c r="GRD113" s="64"/>
      <c r="GRE113" s="64"/>
      <c r="GRF113" s="64"/>
      <c r="GRG113" s="64"/>
      <c r="GRH113" s="64"/>
      <c r="GRI113" s="64"/>
      <c r="GRJ113" s="64"/>
      <c r="GRK113" s="64"/>
      <c r="GRL113" s="64"/>
      <c r="GRM113" s="64"/>
      <c r="GRN113" s="64"/>
      <c r="GRO113" s="64"/>
      <c r="GRP113" s="64"/>
      <c r="GRQ113" s="64"/>
      <c r="GRR113" s="64"/>
      <c r="GRS113" s="64"/>
      <c r="GRT113" s="64"/>
      <c r="GRU113" s="64"/>
      <c r="GRV113" s="64"/>
      <c r="GRW113" s="64"/>
      <c r="GRX113" s="64"/>
      <c r="GRY113" s="64"/>
      <c r="GRZ113" s="64"/>
      <c r="GSA113" s="64"/>
      <c r="GSB113" s="64"/>
      <c r="GSC113" s="64"/>
      <c r="GSD113" s="64"/>
      <c r="GSE113" s="64"/>
      <c r="GSF113" s="64"/>
      <c r="GSG113" s="64"/>
      <c r="GSH113" s="64"/>
      <c r="GSI113" s="64"/>
      <c r="GSJ113" s="64"/>
      <c r="GSK113" s="64"/>
      <c r="GSL113" s="64"/>
      <c r="GSM113" s="64"/>
      <c r="GSN113" s="64"/>
      <c r="GSO113" s="64"/>
      <c r="GSP113" s="64"/>
      <c r="GSQ113" s="64"/>
      <c r="GSR113" s="64"/>
      <c r="GSS113" s="64"/>
      <c r="GST113" s="64"/>
      <c r="GSU113" s="64"/>
      <c r="GSV113" s="64"/>
      <c r="GSW113" s="64"/>
      <c r="GSX113" s="64"/>
      <c r="GSY113" s="64"/>
      <c r="GSZ113" s="64"/>
      <c r="GTA113" s="64"/>
      <c r="GTB113" s="64"/>
      <c r="GTC113" s="64"/>
      <c r="GTD113" s="64"/>
      <c r="GTE113" s="64"/>
      <c r="GTF113" s="64"/>
      <c r="GTG113" s="64"/>
      <c r="GTH113" s="64"/>
      <c r="GTI113" s="64"/>
      <c r="GTJ113" s="64"/>
      <c r="GTK113" s="64"/>
      <c r="GTL113" s="64"/>
      <c r="GTM113" s="64"/>
      <c r="GTN113" s="64"/>
      <c r="GTO113" s="64"/>
      <c r="GTP113" s="64"/>
      <c r="GTQ113" s="64"/>
      <c r="GTR113" s="64"/>
      <c r="GTS113" s="64"/>
      <c r="GTT113" s="64"/>
      <c r="GTU113" s="64"/>
      <c r="GTV113" s="64"/>
      <c r="GTW113" s="64"/>
      <c r="GTX113" s="64"/>
      <c r="GTY113" s="64"/>
      <c r="GTZ113" s="64"/>
      <c r="GUA113" s="64"/>
      <c r="GUB113" s="64"/>
      <c r="GUC113" s="64"/>
      <c r="GUD113" s="64"/>
      <c r="GUE113" s="64"/>
      <c r="GUF113" s="64"/>
      <c r="GUG113" s="64"/>
      <c r="GUH113" s="64"/>
      <c r="GUI113" s="64"/>
      <c r="GUJ113" s="64"/>
      <c r="GUK113" s="64"/>
      <c r="GUL113" s="64"/>
      <c r="GUM113" s="64"/>
      <c r="GUN113" s="64"/>
      <c r="GUO113" s="64"/>
      <c r="GUP113" s="64"/>
      <c r="GUQ113" s="64"/>
      <c r="GUR113" s="64"/>
      <c r="GUS113" s="64"/>
      <c r="GUT113" s="64"/>
      <c r="GUU113" s="64"/>
      <c r="GUV113" s="64"/>
      <c r="GUW113" s="64"/>
      <c r="GUX113" s="64"/>
      <c r="GUY113" s="64"/>
      <c r="GUZ113" s="64"/>
      <c r="GVA113" s="64"/>
      <c r="GVB113" s="64"/>
      <c r="GVC113" s="64"/>
      <c r="GVD113" s="64"/>
      <c r="GVE113" s="64"/>
      <c r="GVF113" s="64"/>
      <c r="GVG113" s="64"/>
      <c r="GVH113" s="64"/>
      <c r="GVI113" s="64"/>
      <c r="GVJ113" s="64"/>
      <c r="GVK113" s="64"/>
      <c r="GVL113" s="64"/>
      <c r="GVM113" s="64"/>
      <c r="GVN113" s="64"/>
      <c r="GVO113" s="64"/>
      <c r="GVP113" s="64"/>
      <c r="GVQ113" s="64"/>
      <c r="GVR113" s="64"/>
      <c r="GVS113" s="64"/>
      <c r="GVT113" s="64"/>
      <c r="GVU113" s="64"/>
      <c r="GVV113" s="64"/>
      <c r="GVW113" s="64"/>
      <c r="GVX113" s="64"/>
      <c r="GVY113" s="64"/>
      <c r="GVZ113" s="64"/>
      <c r="GWA113" s="64"/>
      <c r="GWB113" s="64"/>
      <c r="GWC113" s="64"/>
      <c r="GWD113" s="64"/>
      <c r="GWE113" s="64"/>
      <c r="GWF113" s="64"/>
      <c r="GWG113" s="64"/>
      <c r="GWH113" s="64"/>
      <c r="GWI113" s="64"/>
      <c r="GWJ113" s="64"/>
      <c r="GWK113" s="64"/>
      <c r="GWL113" s="64"/>
      <c r="GWM113" s="64"/>
      <c r="GWN113" s="64"/>
      <c r="GWO113" s="64"/>
      <c r="GWP113" s="64"/>
      <c r="GWQ113" s="64"/>
      <c r="GWR113" s="64"/>
      <c r="GWS113" s="64"/>
      <c r="GWT113" s="64"/>
      <c r="GWU113" s="64"/>
      <c r="GWV113" s="64"/>
      <c r="GWW113" s="64"/>
      <c r="GWX113" s="64"/>
      <c r="GWY113" s="64"/>
      <c r="GWZ113" s="64"/>
      <c r="GXA113" s="64"/>
      <c r="GXB113" s="64"/>
      <c r="GXC113" s="64"/>
      <c r="GXD113" s="64"/>
      <c r="GXE113" s="64"/>
      <c r="GXF113" s="64"/>
      <c r="GXG113" s="64"/>
      <c r="GXH113" s="64"/>
      <c r="GXI113" s="64"/>
      <c r="GXJ113" s="64"/>
      <c r="GXK113" s="64"/>
      <c r="GXL113" s="64"/>
      <c r="GXM113" s="64"/>
      <c r="GXN113" s="64"/>
      <c r="GXO113" s="64"/>
      <c r="GXP113" s="64"/>
      <c r="GXQ113" s="64"/>
      <c r="GXR113" s="64"/>
      <c r="GXS113" s="64"/>
      <c r="GXT113" s="64"/>
      <c r="GXU113" s="64"/>
      <c r="GXV113" s="64"/>
      <c r="GXW113" s="64"/>
      <c r="GXX113" s="64"/>
      <c r="GXY113" s="64"/>
      <c r="GXZ113" s="64"/>
      <c r="GYA113" s="64"/>
      <c r="GYB113" s="64"/>
      <c r="GYC113" s="64"/>
      <c r="GYD113" s="64"/>
      <c r="GYE113" s="64"/>
      <c r="GYF113" s="64"/>
      <c r="GYG113" s="64"/>
      <c r="GYH113" s="64"/>
      <c r="GYI113" s="64"/>
      <c r="GYJ113" s="64"/>
      <c r="GYK113" s="64"/>
      <c r="GYL113" s="64"/>
      <c r="GYM113" s="64"/>
      <c r="GYN113" s="64"/>
      <c r="GYO113" s="64"/>
      <c r="GYP113" s="64"/>
      <c r="GYQ113" s="64"/>
      <c r="GYR113" s="64"/>
      <c r="GYS113" s="64"/>
      <c r="GYT113" s="64"/>
      <c r="GYU113" s="64"/>
      <c r="GYV113" s="64"/>
      <c r="GYW113" s="64"/>
      <c r="GYX113" s="64"/>
      <c r="GYY113" s="64"/>
      <c r="GYZ113" s="64"/>
      <c r="GZA113" s="64"/>
      <c r="GZB113" s="64"/>
      <c r="GZC113" s="64"/>
      <c r="GZD113" s="64"/>
      <c r="GZE113" s="64"/>
      <c r="GZF113" s="64"/>
      <c r="GZG113" s="64"/>
      <c r="GZH113" s="64"/>
      <c r="GZI113" s="64"/>
      <c r="GZJ113" s="64"/>
      <c r="GZK113" s="64"/>
      <c r="GZL113" s="64"/>
      <c r="GZM113" s="64"/>
      <c r="GZN113" s="64"/>
      <c r="GZO113" s="64"/>
      <c r="GZP113" s="64"/>
      <c r="GZQ113" s="64"/>
      <c r="GZR113" s="64"/>
      <c r="GZS113" s="64"/>
      <c r="GZT113" s="64"/>
      <c r="GZU113" s="64"/>
      <c r="GZV113" s="64"/>
      <c r="GZW113" s="64"/>
      <c r="GZX113" s="64"/>
      <c r="GZY113" s="64"/>
      <c r="GZZ113" s="64"/>
      <c r="HAA113" s="64"/>
      <c r="HAB113" s="64"/>
      <c r="HAC113" s="64"/>
      <c r="HAD113" s="64"/>
      <c r="HAE113" s="64"/>
      <c r="HAF113" s="64"/>
      <c r="HAG113" s="64"/>
      <c r="HAH113" s="64"/>
      <c r="HAI113" s="64"/>
      <c r="HAJ113" s="64"/>
      <c r="HAK113" s="64"/>
      <c r="HAL113" s="64"/>
      <c r="HAM113" s="64"/>
      <c r="HAN113" s="64"/>
      <c r="HAO113" s="64"/>
      <c r="HAP113" s="64"/>
      <c r="HAQ113" s="64"/>
      <c r="HAR113" s="64"/>
      <c r="HAS113" s="64"/>
      <c r="HAT113" s="64"/>
      <c r="HAU113" s="64"/>
      <c r="HAV113" s="64"/>
      <c r="HAW113" s="64"/>
      <c r="HAX113" s="64"/>
      <c r="HAY113" s="64"/>
      <c r="HAZ113" s="64"/>
      <c r="HBA113" s="64"/>
      <c r="HBB113" s="64"/>
      <c r="HBC113" s="64"/>
      <c r="HBD113" s="64"/>
      <c r="HBE113" s="64"/>
      <c r="HBF113" s="64"/>
      <c r="HBG113" s="64"/>
      <c r="HBH113" s="64"/>
      <c r="HBI113" s="64"/>
      <c r="HBJ113" s="64"/>
      <c r="HBK113" s="64"/>
      <c r="HBL113" s="64"/>
      <c r="HBM113" s="64"/>
      <c r="HBN113" s="64"/>
      <c r="HBO113" s="64"/>
      <c r="HBP113" s="64"/>
      <c r="HBQ113" s="64"/>
      <c r="HBR113" s="64"/>
      <c r="HBS113" s="64"/>
      <c r="HBT113" s="64"/>
      <c r="HBU113" s="64"/>
      <c r="HBV113" s="64"/>
      <c r="HBW113" s="64"/>
      <c r="HBX113" s="64"/>
      <c r="HBY113" s="64"/>
      <c r="HBZ113" s="64"/>
      <c r="HCA113" s="64"/>
      <c r="HCB113" s="64"/>
      <c r="HCC113" s="64"/>
      <c r="HCD113" s="64"/>
      <c r="HCE113" s="64"/>
      <c r="HCF113" s="64"/>
      <c r="HCG113" s="64"/>
      <c r="HCH113" s="64"/>
      <c r="HCI113" s="64"/>
      <c r="HCJ113" s="64"/>
      <c r="HCK113" s="64"/>
      <c r="HCL113" s="64"/>
      <c r="HCM113" s="64"/>
      <c r="HCN113" s="64"/>
      <c r="HCO113" s="64"/>
      <c r="HCP113" s="64"/>
      <c r="HCQ113" s="64"/>
      <c r="HCR113" s="64"/>
      <c r="HCS113" s="64"/>
      <c r="HCT113" s="64"/>
      <c r="HCU113" s="64"/>
      <c r="HCV113" s="64"/>
      <c r="HCW113" s="64"/>
      <c r="HCX113" s="64"/>
      <c r="HCY113" s="64"/>
      <c r="HCZ113" s="64"/>
      <c r="HDA113" s="64"/>
      <c r="HDB113" s="64"/>
      <c r="HDC113" s="64"/>
      <c r="HDD113" s="64"/>
      <c r="HDE113" s="64"/>
      <c r="HDF113" s="64"/>
      <c r="HDG113" s="64"/>
      <c r="HDH113" s="64"/>
      <c r="HDI113" s="64"/>
      <c r="HDJ113" s="64"/>
      <c r="HDK113" s="64"/>
      <c r="HDL113" s="64"/>
      <c r="HDM113" s="64"/>
      <c r="HDN113" s="64"/>
      <c r="HDO113" s="64"/>
      <c r="HDP113" s="64"/>
      <c r="HDQ113" s="64"/>
      <c r="HDR113" s="64"/>
      <c r="HDS113" s="64"/>
      <c r="HDT113" s="64"/>
      <c r="HDU113" s="64"/>
      <c r="HDV113" s="64"/>
      <c r="HDW113" s="64"/>
      <c r="HDX113" s="64"/>
      <c r="HDY113" s="64"/>
      <c r="HDZ113" s="64"/>
      <c r="HEA113" s="64"/>
      <c r="HEB113" s="64"/>
      <c r="HEC113" s="64"/>
      <c r="HED113" s="64"/>
      <c r="HEE113" s="64"/>
      <c r="HEF113" s="64"/>
      <c r="HEG113" s="64"/>
      <c r="HEH113" s="64"/>
      <c r="HEI113" s="64"/>
      <c r="HEJ113" s="64"/>
      <c r="HEK113" s="64"/>
      <c r="HEL113" s="64"/>
      <c r="HEM113" s="64"/>
      <c r="HEN113" s="64"/>
      <c r="HEO113" s="64"/>
      <c r="HEP113" s="64"/>
      <c r="HEQ113" s="64"/>
      <c r="HER113" s="64"/>
      <c r="HES113" s="64"/>
      <c r="HET113" s="64"/>
      <c r="HEU113" s="64"/>
      <c r="HEV113" s="64"/>
      <c r="HEW113" s="64"/>
      <c r="HEX113" s="64"/>
      <c r="HEY113" s="64"/>
      <c r="HEZ113" s="64"/>
      <c r="HFA113" s="64"/>
      <c r="HFB113" s="64"/>
      <c r="HFC113" s="64"/>
      <c r="HFD113" s="64"/>
      <c r="HFE113" s="64"/>
      <c r="HFF113" s="64"/>
      <c r="HFG113" s="64"/>
      <c r="HFH113" s="64"/>
      <c r="HFI113" s="64"/>
      <c r="HFJ113" s="64"/>
      <c r="HFK113" s="64"/>
      <c r="HFL113" s="64"/>
      <c r="HFM113" s="64"/>
      <c r="HFN113" s="64"/>
      <c r="HFO113" s="64"/>
      <c r="HFP113" s="64"/>
      <c r="HFQ113" s="64"/>
      <c r="HFR113" s="64"/>
      <c r="HFS113" s="64"/>
      <c r="HFT113" s="64"/>
      <c r="HFU113" s="64"/>
      <c r="HFV113" s="64"/>
      <c r="HFW113" s="64"/>
      <c r="HFX113" s="64"/>
      <c r="HFY113" s="64"/>
      <c r="HFZ113" s="64"/>
      <c r="HGA113" s="64"/>
      <c r="HGB113" s="64"/>
      <c r="HGC113" s="64"/>
      <c r="HGD113" s="64"/>
      <c r="HGE113" s="64"/>
      <c r="HGF113" s="64"/>
      <c r="HGG113" s="64"/>
      <c r="HGH113" s="64"/>
      <c r="HGI113" s="64"/>
      <c r="HGJ113" s="64"/>
      <c r="HGK113" s="64"/>
      <c r="HGL113" s="64"/>
      <c r="HGM113" s="64"/>
      <c r="HGN113" s="64"/>
      <c r="HGO113" s="64"/>
      <c r="HGP113" s="64"/>
      <c r="HGQ113" s="64"/>
      <c r="HGR113" s="64"/>
      <c r="HGS113" s="64"/>
      <c r="HGT113" s="64"/>
      <c r="HGU113" s="64"/>
      <c r="HGV113" s="64"/>
      <c r="HGW113" s="64"/>
      <c r="HGX113" s="64"/>
      <c r="HGY113" s="64"/>
      <c r="HGZ113" s="64"/>
      <c r="HHA113" s="64"/>
      <c r="HHB113" s="64"/>
      <c r="HHC113" s="64"/>
      <c r="HHD113" s="64"/>
      <c r="HHE113" s="64"/>
      <c r="HHF113" s="64"/>
      <c r="HHG113" s="64"/>
      <c r="HHH113" s="64"/>
      <c r="HHI113" s="64"/>
      <c r="HHJ113" s="64"/>
      <c r="HHK113" s="64"/>
      <c r="HHL113" s="64"/>
      <c r="HHM113" s="64"/>
      <c r="HHN113" s="64"/>
      <c r="HHO113" s="64"/>
      <c r="HHP113" s="64"/>
      <c r="HHQ113" s="64"/>
      <c r="HHR113" s="64"/>
      <c r="HHS113" s="64"/>
      <c r="HHT113" s="64"/>
      <c r="HHU113" s="64"/>
      <c r="HHV113" s="64"/>
      <c r="HHW113" s="64"/>
      <c r="HHX113" s="64"/>
      <c r="HHY113" s="64"/>
      <c r="HHZ113" s="64"/>
      <c r="HIA113" s="64"/>
      <c r="HIB113" s="64"/>
      <c r="HIC113" s="64"/>
      <c r="HID113" s="64"/>
      <c r="HIE113" s="64"/>
      <c r="HIF113" s="64"/>
      <c r="HIG113" s="64"/>
      <c r="HIH113" s="64"/>
      <c r="HII113" s="64"/>
      <c r="HIJ113" s="64"/>
      <c r="HIK113" s="64"/>
      <c r="HIL113" s="64"/>
      <c r="HIM113" s="64"/>
      <c r="HIN113" s="64"/>
      <c r="HIO113" s="64"/>
      <c r="HIP113" s="64"/>
      <c r="HIQ113" s="64"/>
      <c r="HIR113" s="64"/>
      <c r="HIS113" s="64"/>
      <c r="HIT113" s="64"/>
      <c r="HIU113" s="64"/>
      <c r="HIV113" s="64"/>
      <c r="HIW113" s="64"/>
      <c r="HIX113" s="64"/>
      <c r="HIY113" s="64"/>
      <c r="HIZ113" s="64"/>
      <c r="HJA113" s="64"/>
      <c r="HJB113" s="64"/>
      <c r="HJC113" s="64"/>
      <c r="HJD113" s="64"/>
      <c r="HJE113" s="64"/>
      <c r="HJF113" s="64"/>
      <c r="HJG113" s="64"/>
      <c r="HJH113" s="64"/>
      <c r="HJI113" s="64"/>
      <c r="HJJ113" s="64"/>
      <c r="HJK113" s="64"/>
      <c r="HJL113" s="64"/>
      <c r="HJM113" s="64"/>
      <c r="HJN113" s="64"/>
      <c r="HJO113" s="64"/>
      <c r="HJP113" s="64"/>
      <c r="HJQ113" s="64"/>
      <c r="HJR113" s="64"/>
      <c r="HJS113" s="64"/>
      <c r="HJT113" s="64"/>
      <c r="HJU113" s="64"/>
      <c r="HJV113" s="64"/>
      <c r="HJW113" s="64"/>
      <c r="HJX113" s="64"/>
      <c r="HJY113" s="64"/>
      <c r="HJZ113" s="64"/>
      <c r="HKA113" s="64"/>
      <c r="HKB113" s="64"/>
      <c r="HKC113" s="64"/>
      <c r="HKD113" s="64"/>
      <c r="HKE113" s="64"/>
      <c r="HKF113" s="64"/>
      <c r="HKG113" s="64"/>
      <c r="HKH113" s="64"/>
      <c r="HKI113" s="64"/>
      <c r="HKJ113" s="64"/>
      <c r="HKK113" s="64"/>
      <c r="HKL113" s="64"/>
      <c r="HKM113" s="64"/>
      <c r="HKN113" s="64"/>
      <c r="HKO113" s="64"/>
      <c r="HKP113" s="64"/>
      <c r="HKQ113" s="64"/>
      <c r="HKR113" s="64"/>
      <c r="HKS113" s="64"/>
      <c r="HKT113" s="64"/>
      <c r="HKU113" s="64"/>
      <c r="HKV113" s="64"/>
      <c r="HKW113" s="64"/>
      <c r="HKX113" s="64"/>
      <c r="HKY113" s="64"/>
      <c r="HKZ113" s="64"/>
      <c r="HLA113" s="64"/>
      <c r="HLB113" s="64"/>
      <c r="HLC113" s="64"/>
      <c r="HLD113" s="64"/>
      <c r="HLE113" s="64"/>
      <c r="HLF113" s="64"/>
      <c r="HLG113" s="64"/>
      <c r="HLH113" s="64"/>
      <c r="HLI113" s="64"/>
      <c r="HLJ113" s="64"/>
      <c r="HLK113" s="64"/>
      <c r="HLL113" s="64"/>
      <c r="HLM113" s="64"/>
      <c r="HLN113" s="64"/>
      <c r="HLO113" s="64"/>
      <c r="HLP113" s="64"/>
      <c r="HLQ113" s="64"/>
      <c r="HLR113" s="64"/>
      <c r="HLS113" s="64"/>
      <c r="HLT113" s="64"/>
      <c r="HLU113" s="64"/>
      <c r="HLV113" s="64"/>
      <c r="HLW113" s="64"/>
      <c r="HLX113" s="64"/>
      <c r="HLY113" s="64"/>
      <c r="HLZ113" s="64"/>
      <c r="HMA113" s="64"/>
      <c r="HMB113" s="64"/>
      <c r="HMC113" s="64"/>
      <c r="HMD113" s="64"/>
      <c r="HME113" s="64"/>
      <c r="HMF113" s="64"/>
      <c r="HMG113" s="64"/>
      <c r="HMH113" s="64"/>
      <c r="HMI113" s="64"/>
      <c r="HMJ113" s="64"/>
      <c r="HMK113" s="64"/>
      <c r="HML113" s="64"/>
      <c r="HMM113" s="64"/>
      <c r="HMN113" s="64"/>
      <c r="HMO113" s="64"/>
      <c r="HMP113" s="64"/>
      <c r="HMQ113" s="64"/>
      <c r="HMR113" s="64"/>
      <c r="HMS113" s="64"/>
      <c r="HMT113" s="64"/>
      <c r="HMU113" s="64"/>
      <c r="HMV113" s="64"/>
      <c r="HMW113" s="64"/>
      <c r="HMX113" s="64"/>
      <c r="HMY113" s="64"/>
      <c r="HMZ113" s="64"/>
      <c r="HNA113" s="64"/>
      <c r="HNB113" s="64"/>
      <c r="HNC113" s="64"/>
      <c r="HND113" s="64"/>
      <c r="HNE113" s="64"/>
      <c r="HNF113" s="64"/>
      <c r="HNG113" s="64"/>
      <c r="HNH113" s="64"/>
      <c r="HNI113" s="64"/>
      <c r="HNJ113" s="64"/>
      <c r="HNK113" s="64"/>
      <c r="HNL113" s="64"/>
      <c r="HNM113" s="64"/>
      <c r="HNN113" s="64"/>
      <c r="HNO113" s="64"/>
      <c r="HNP113" s="64"/>
      <c r="HNQ113" s="64"/>
      <c r="HNR113" s="64"/>
      <c r="HNS113" s="64"/>
      <c r="HNT113" s="64"/>
      <c r="HNU113" s="64"/>
      <c r="HNV113" s="64"/>
      <c r="HNW113" s="64"/>
      <c r="HNX113" s="64"/>
      <c r="HNY113" s="64"/>
      <c r="HNZ113" s="64"/>
      <c r="HOA113" s="64"/>
      <c r="HOB113" s="64"/>
      <c r="HOC113" s="64"/>
      <c r="HOD113" s="64"/>
      <c r="HOE113" s="64"/>
      <c r="HOF113" s="64"/>
      <c r="HOG113" s="64"/>
      <c r="HOH113" s="64"/>
      <c r="HOI113" s="64"/>
      <c r="HOJ113" s="64"/>
      <c r="HOK113" s="64"/>
      <c r="HOL113" s="64"/>
      <c r="HOM113" s="64"/>
      <c r="HON113" s="64"/>
      <c r="HOO113" s="64"/>
      <c r="HOP113" s="64"/>
      <c r="HOQ113" s="64"/>
      <c r="HOR113" s="64"/>
      <c r="HOS113" s="64"/>
      <c r="HOT113" s="64"/>
      <c r="HOU113" s="64"/>
      <c r="HOV113" s="64"/>
      <c r="HOW113" s="64"/>
      <c r="HOX113" s="64"/>
      <c r="HOY113" s="64"/>
      <c r="HOZ113" s="64"/>
      <c r="HPA113" s="64"/>
      <c r="HPB113" s="64"/>
      <c r="HPC113" s="64"/>
      <c r="HPD113" s="64"/>
      <c r="HPE113" s="64"/>
      <c r="HPF113" s="64"/>
      <c r="HPG113" s="64"/>
      <c r="HPH113" s="64"/>
      <c r="HPI113" s="64"/>
      <c r="HPJ113" s="64"/>
      <c r="HPK113" s="64"/>
      <c r="HPL113" s="64"/>
      <c r="HPM113" s="64"/>
      <c r="HPN113" s="64"/>
      <c r="HPO113" s="64"/>
      <c r="HPP113" s="64"/>
      <c r="HPQ113" s="64"/>
      <c r="HPR113" s="64"/>
      <c r="HPS113" s="64"/>
      <c r="HPT113" s="64"/>
      <c r="HPU113" s="64"/>
      <c r="HPV113" s="64"/>
      <c r="HPW113" s="64"/>
      <c r="HPX113" s="64"/>
      <c r="HPY113" s="64"/>
      <c r="HPZ113" s="64"/>
      <c r="HQA113" s="64"/>
      <c r="HQB113" s="64"/>
      <c r="HQC113" s="64"/>
      <c r="HQD113" s="64"/>
      <c r="HQE113" s="64"/>
      <c r="HQF113" s="64"/>
      <c r="HQG113" s="64"/>
      <c r="HQH113" s="64"/>
      <c r="HQI113" s="64"/>
      <c r="HQJ113" s="64"/>
      <c r="HQK113" s="64"/>
      <c r="HQL113" s="64"/>
      <c r="HQM113" s="64"/>
      <c r="HQN113" s="64"/>
      <c r="HQO113" s="64"/>
      <c r="HQP113" s="64"/>
      <c r="HQQ113" s="64"/>
      <c r="HQR113" s="64"/>
      <c r="HQS113" s="64"/>
      <c r="HQT113" s="64"/>
      <c r="HQU113" s="64"/>
      <c r="HQV113" s="64"/>
      <c r="HQW113" s="64"/>
      <c r="HQX113" s="64"/>
      <c r="HQY113" s="64"/>
      <c r="HQZ113" s="64"/>
      <c r="HRA113" s="64"/>
      <c r="HRB113" s="64"/>
      <c r="HRC113" s="64"/>
      <c r="HRD113" s="64"/>
      <c r="HRE113" s="64"/>
      <c r="HRF113" s="64"/>
      <c r="HRG113" s="64"/>
      <c r="HRH113" s="64"/>
      <c r="HRI113" s="64"/>
      <c r="HRJ113" s="64"/>
      <c r="HRK113" s="64"/>
      <c r="HRL113" s="64"/>
      <c r="HRM113" s="64"/>
      <c r="HRN113" s="64"/>
      <c r="HRO113" s="64"/>
      <c r="HRP113" s="64"/>
      <c r="HRQ113" s="64"/>
      <c r="HRR113" s="64"/>
      <c r="HRS113" s="64"/>
      <c r="HRT113" s="64"/>
      <c r="HRU113" s="64"/>
      <c r="HRV113" s="64"/>
      <c r="HRW113" s="64"/>
      <c r="HRX113" s="64"/>
      <c r="HRY113" s="64"/>
      <c r="HRZ113" s="64"/>
      <c r="HSA113" s="64"/>
      <c r="HSB113" s="64"/>
      <c r="HSC113" s="64"/>
      <c r="HSD113" s="64"/>
      <c r="HSE113" s="64"/>
      <c r="HSF113" s="64"/>
      <c r="HSG113" s="64"/>
      <c r="HSH113" s="64"/>
      <c r="HSI113" s="64"/>
      <c r="HSJ113" s="64"/>
      <c r="HSK113" s="64"/>
      <c r="HSL113" s="64"/>
      <c r="HSM113" s="64"/>
      <c r="HSN113" s="64"/>
      <c r="HSO113" s="64"/>
      <c r="HSP113" s="64"/>
      <c r="HSQ113" s="64"/>
      <c r="HSR113" s="64"/>
      <c r="HSS113" s="64"/>
      <c r="HST113" s="64"/>
      <c r="HSU113" s="64"/>
      <c r="HSV113" s="64"/>
      <c r="HSW113" s="64"/>
      <c r="HSX113" s="64"/>
      <c r="HSY113" s="64"/>
      <c r="HSZ113" s="64"/>
      <c r="HTA113" s="64"/>
      <c r="HTB113" s="64"/>
      <c r="HTC113" s="64"/>
      <c r="HTD113" s="64"/>
      <c r="HTE113" s="64"/>
      <c r="HTF113" s="64"/>
      <c r="HTG113" s="64"/>
      <c r="HTH113" s="64"/>
      <c r="HTI113" s="64"/>
      <c r="HTJ113" s="64"/>
      <c r="HTK113" s="64"/>
      <c r="HTL113" s="64"/>
      <c r="HTM113" s="64"/>
      <c r="HTN113" s="64"/>
      <c r="HTO113" s="64"/>
      <c r="HTP113" s="64"/>
      <c r="HTQ113" s="64"/>
      <c r="HTR113" s="64"/>
      <c r="HTS113" s="64"/>
      <c r="HTT113" s="64"/>
      <c r="HTU113" s="64"/>
      <c r="HTV113" s="64"/>
      <c r="HTW113" s="64"/>
      <c r="HTX113" s="64"/>
      <c r="HTY113" s="64"/>
      <c r="HTZ113" s="64"/>
      <c r="HUA113" s="64"/>
      <c r="HUB113" s="64"/>
      <c r="HUC113" s="64"/>
      <c r="HUD113" s="64"/>
      <c r="HUE113" s="64"/>
      <c r="HUF113" s="64"/>
      <c r="HUG113" s="64"/>
      <c r="HUH113" s="64"/>
      <c r="HUI113" s="64"/>
      <c r="HUJ113" s="64"/>
      <c r="HUK113" s="64"/>
      <c r="HUL113" s="64"/>
      <c r="HUM113" s="64"/>
      <c r="HUN113" s="64"/>
      <c r="HUO113" s="64"/>
      <c r="HUP113" s="64"/>
      <c r="HUQ113" s="64"/>
      <c r="HUR113" s="64"/>
      <c r="HUS113" s="64"/>
      <c r="HUT113" s="64"/>
      <c r="HUU113" s="64"/>
      <c r="HUV113" s="64"/>
      <c r="HUW113" s="64"/>
      <c r="HUX113" s="64"/>
      <c r="HUY113" s="64"/>
      <c r="HUZ113" s="64"/>
      <c r="HVA113" s="64"/>
      <c r="HVB113" s="64"/>
      <c r="HVC113" s="64"/>
      <c r="HVD113" s="64"/>
      <c r="HVE113" s="64"/>
      <c r="HVF113" s="64"/>
      <c r="HVG113" s="64"/>
      <c r="HVH113" s="64"/>
      <c r="HVI113" s="64"/>
      <c r="HVJ113" s="64"/>
      <c r="HVK113" s="64"/>
      <c r="HVL113" s="64"/>
      <c r="HVM113" s="64"/>
      <c r="HVN113" s="64"/>
      <c r="HVO113" s="64"/>
      <c r="HVP113" s="64"/>
      <c r="HVQ113" s="64"/>
      <c r="HVR113" s="64"/>
      <c r="HVS113" s="64"/>
      <c r="HVT113" s="64"/>
      <c r="HVU113" s="64"/>
      <c r="HVV113" s="64"/>
      <c r="HVW113" s="64"/>
      <c r="HVX113" s="64"/>
      <c r="HVY113" s="64"/>
      <c r="HVZ113" s="64"/>
      <c r="HWA113" s="64"/>
      <c r="HWB113" s="64"/>
      <c r="HWC113" s="64"/>
      <c r="HWD113" s="64"/>
      <c r="HWE113" s="64"/>
      <c r="HWF113" s="64"/>
      <c r="HWG113" s="64"/>
      <c r="HWH113" s="64"/>
      <c r="HWI113" s="64"/>
      <c r="HWJ113" s="64"/>
      <c r="HWK113" s="64"/>
      <c r="HWL113" s="64"/>
      <c r="HWM113" s="64"/>
      <c r="HWN113" s="64"/>
      <c r="HWO113" s="64"/>
      <c r="HWP113" s="64"/>
      <c r="HWQ113" s="64"/>
      <c r="HWR113" s="64"/>
      <c r="HWS113" s="64"/>
      <c r="HWT113" s="64"/>
      <c r="HWU113" s="64"/>
      <c r="HWV113" s="64"/>
      <c r="HWW113" s="64"/>
      <c r="HWX113" s="64"/>
      <c r="HWY113" s="64"/>
      <c r="HWZ113" s="64"/>
      <c r="HXA113" s="64"/>
      <c r="HXB113" s="64"/>
      <c r="HXC113" s="64"/>
      <c r="HXD113" s="64"/>
      <c r="HXE113" s="64"/>
      <c r="HXF113" s="64"/>
      <c r="HXG113" s="64"/>
      <c r="HXH113" s="64"/>
      <c r="HXI113" s="64"/>
      <c r="HXJ113" s="64"/>
      <c r="HXK113" s="64"/>
      <c r="HXL113" s="64"/>
      <c r="HXM113" s="64"/>
      <c r="HXN113" s="64"/>
      <c r="HXO113" s="64"/>
      <c r="HXP113" s="64"/>
      <c r="HXQ113" s="64"/>
      <c r="HXR113" s="64"/>
      <c r="HXS113" s="64"/>
      <c r="HXT113" s="64"/>
      <c r="HXU113" s="64"/>
      <c r="HXV113" s="64"/>
      <c r="HXW113" s="64"/>
      <c r="HXX113" s="64"/>
      <c r="HXY113" s="64"/>
      <c r="HXZ113" s="64"/>
      <c r="HYA113" s="64"/>
      <c r="HYB113" s="64"/>
      <c r="HYC113" s="64"/>
      <c r="HYD113" s="64"/>
      <c r="HYE113" s="64"/>
      <c r="HYF113" s="64"/>
      <c r="HYG113" s="64"/>
      <c r="HYH113" s="64"/>
      <c r="HYI113" s="64"/>
      <c r="HYJ113" s="64"/>
      <c r="HYK113" s="64"/>
      <c r="HYL113" s="64"/>
      <c r="HYM113" s="64"/>
      <c r="HYN113" s="64"/>
      <c r="HYO113" s="64"/>
      <c r="HYP113" s="64"/>
      <c r="HYQ113" s="64"/>
      <c r="HYR113" s="64"/>
      <c r="HYS113" s="64"/>
      <c r="HYT113" s="64"/>
      <c r="HYU113" s="64"/>
      <c r="HYV113" s="64"/>
      <c r="HYW113" s="64"/>
      <c r="HYX113" s="64"/>
      <c r="HYY113" s="64"/>
      <c r="HYZ113" s="64"/>
      <c r="HZA113" s="64"/>
      <c r="HZB113" s="64"/>
      <c r="HZC113" s="64"/>
      <c r="HZD113" s="64"/>
      <c r="HZE113" s="64"/>
      <c r="HZF113" s="64"/>
      <c r="HZG113" s="64"/>
      <c r="HZH113" s="64"/>
      <c r="HZI113" s="64"/>
      <c r="HZJ113" s="64"/>
      <c r="HZK113" s="64"/>
      <c r="HZL113" s="64"/>
      <c r="HZM113" s="64"/>
      <c r="HZN113" s="64"/>
      <c r="HZO113" s="64"/>
      <c r="HZP113" s="64"/>
      <c r="HZQ113" s="64"/>
      <c r="HZR113" s="64"/>
      <c r="HZS113" s="64"/>
      <c r="HZT113" s="64"/>
      <c r="HZU113" s="64"/>
      <c r="HZV113" s="64"/>
      <c r="HZW113" s="64"/>
      <c r="HZX113" s="64"/>
      <c r="HZY113" s="64"/>
      <c r="HZZ113" s="64"/>
      <c r="IAA113" s="64"/>
      <c r="IAB113" s="64"/>
      <c r="IAC113" s="64"/>
      <c r="IAD113" s="64"/>
      <c r="IAE113" s="64"/>
      <c r="IAF113" s="64"/>
      <c r="IAG113" s="64"/>
      <c r="IAH113" s="64"/>
      <c r="IAI113" s="64"/>
      <c r="IAJ113" s="64"/>
      <c r="IAK113" s="64"/>
      <c r="IAL113" s="64"/>
      <c r="IAM113" s="64"/>
      <c r="IAN113" s="64"/>
      <c r="IAO113" s="64"/>
      <c r="IAP113" s="64"/>
      <c r="IAQ113" s="64"/>
      <c r="IAR113" s="64"/>
      <c r="IAS113" s="64"/>
      <c r="IAT113" s="64"/>
      <c r="IAU113" s="64"/>
      <c r="IAV113" s="64"/>
      <c r="IAW113" s="64"/>
      <c r="IAX113" s="64"/>
      <c r="IAY113" s="64"/>
      <c r="IAZ113" s="64"/>
      <c r="IBA113" s="64"/>
      <c r="IBB113" s="64"/>
      <c r="IBC113" s="64"/>
      <c r="IBD113" s="64"/>
      <c r="IBE113" s="64"/>
      <c r="IBF113" s="64"/>
      <c r="IBG113" s="64"/>
      <c r="IBH113" s="64"/>
      <c r="IBI113" s="64"/>
      <c r="IBJ113" s="64"/>
      <c r="IBK113" s="64"/>
      <c r="IBL113" s="64"/>
      <c r="IBM113" s="64"/>
      <c r="IBN113" s="64"/>
      <c r="IBO113" s="64"/>
      <c r="IBP113" s="64"/>
      <c r="IBQ113" s="64"/>
      <c r="IBR113" s="64"/>
      <c r="IBS113" s="64"/>
      <c r="IBT113" s="64"/>
      <c r="IBU113" s="64"/>
      <c r="IBV113" s="64"/>
      <c r="IBW113" s="64"/>
      <c r="IBX113" s="64"/>
      <c r="IBY113" s="64"/>
      <c r="IBZ113" s="64"/>
      <c r="ICA113" s="64"/>
      <c r="ICB113" s="64"/>
      <c r="ICC113" s="64"/>
      <c r="ICD113" s="64"/>
      <c r="ICE113" s="64"/>
      <c r="ICF113" s="64"/>
      <c r="ICG113" s="64"/>
      <c r="ICH113" s="64"/>
      <c r="ICI113" s="64"/>
      <c r="ICJ113" s="64"/>
      <c r="ICK113" s="64"/>
      <c r="ICL113" s="64"/>
      <c r="ICM113" s="64"/>
      <c r="ICN113" s="64"/>
      <c r="ICO113" s="64"/>
      <c r="ICP113" s="64"/>
      <c r="ICQ113" s="64"/>
      <c r="ICR113" s="64"/>
      <c r="ICS113" s="64"/>
      <c r="ICT113" s="64"/>
      <c r="ICU113" s="64"/>
      <c r="ICV113" s="64"/>
      <c r="ICW113" s="64"/>
      <c r="ICX113" s="64"/>
      <c r="ICY113" s="64"/>
      <c r="ICZ113" s="64"/>
      <c r="IDA113" s="64"/>
      <c r="IDB113" s="64"/>
      <c r="IDC113" s="64"/>
      <c r="IDD113" s="64"/>
      <c r="IDE113" s="64"/>
      <c r="IDF113" s="64"/>
      <c r="IDG113" s="64"/>
      <c r="IDH113" s="64"/>
      <c r="IDI113" s="64"/>
      <c r="IDJ113" s="64"/>
      <c r="IDK113" s="64"/>
      <c r="IDL113" s="64"/>
      <c r="IDM113" s="64"/>
      <c r="IDN113" s="64"/>
      <c r="IDO113" s="64"/>
      <c r="IDP113" s="64"/>
      <c r="IDQ113" s="64"/>
      <c r="IDR113" s="64"/>
      <c r="IDS113" s="64"/>
      <c r="IDT113" s="64"/>
      <c r="IDU113" s="64"/>
      <c r="IDV113" s="64"/>
      <c r="IDW113" s="64"/>
      <c r="IDX113" s="64"/>
      <c r="IDY113" s="64"/>
      <c r="IDZ113" s="64"/>
      <c r="IEA113" s="64"/>
      <c r="IEB113" s="64"/>
      <c r="IEC113" s="64"/>
      <c r="IED113" s="64"/>
      <c r="IEE113" s="64"/>
      <c r="IEF113" s="64"/>
      <c r="IEG113" s="64"/>
      <c r="IEH113" s="64"/>
      <c r="IEI113" s="64"/>
      <c r="IEJ113" s="64"/>
      <c r="IEK113" s="64"/>
      <c r="IEL113" s="64"/>
      <c r="IEM113" s="64"/>
      <c r="IEN113" s="64"/>
      <c r="IEO113" s="64"/>
      <c r="IEP113" s="64"/>
      <c r="IEQ113" s="64"/>
      <c r="IER113" s="64"/>
      <c r="IES113" s="64"/>
      <c r="IET113" s="64"/>
      <c r="IEU113" s="64"/>
      <c r="IEV113" s="64"/>
      <c r="IEW113" s="64"/>
      <c r="IEX113" s="64"/>
      <c r="IEY113" s="64"/>
      <c r="IEZ113" s="64"/>
      <c r="IFA113" s="64"/>
      <c r="IFB113" s="64"/>
      <c r="IFC113" s="64"/>
      <c r="IFD113" s="64"/>
      <c r="IFE113" s="64"/>
      <c r="IFF113" s="64"/>
      <c r="IFG113" s="64"/>
      <c r="IFH113" s="64"/>
      <c r="IFI113" s="64"/>
      <c r="IFJ113" s="64"/>
      <c r="IFK113" s="64"/>
      <c r="IFL113" s="64"/>
      <c r="IFM113" s="64"/>
      <c r="IFN113" s="64"/>
      <c r="IFO113" s="64"/>
      <c r="IFP113" s="64"/>
      <c r="IFQ113" s="64"/>
      <c r="IFR113" s="64"/>
      <c r="IFS113" s="64"/>
      <c r="IFT113" s="64"/>
      <c r="IFU113" s="64"/>
      <c r="IFV113" s="64"/>
      <c r="IFW113" s="64"/>
      <c r="IFX113" s="64"/>
      <c r="IFY113" s="64"/>
      <c r="IFZ113" s="64"/>
      <c r="IGA113" s="64"/>
      <c r="IGB113" s="64"/>
      <c r="IGC113" s="64"/>
      <c r="IGD113" s="64"/>
      <c r="IGE113" s="64"/>
      <c r="IGF113" s="64"/>
      <c r="IGG113" s="64"/>
      <c r="IGH113" s="64"/>
      <c r="IGI113" s="64"/>
      <c r="IGJ113" s="64"/>
      <c r="IGK113" s="64"/>
      <c r="IGL113" s="64"/>
      <c r="IGM113" s="64"/>
      <c r="IGN113" s="64"/>
      <c r="IGO113" s="64"/>
      <c r="IGP113" s="64"/>
      <c r="IGQ113" s="64"/>
      <c r="IGR113" s="64"/>
      <c r="IGS113" s="64"/>
      <c r="IGT113" s="64"/>
      <c r="IGU113" s="64"/>
      <c r="IGV113" s="64"/>
      <c r="IGW113" s="64"/>
      <c r="IGX113" s="64"/>
      <c r="IGY113" s="64"/>
      <c r="IGZ113" s="64"/>
      <c r="IHA113" s="64"/>
      <c r="IHB113" s="64"/>
      <c r="IHC113" s="64"/>
      <c r="IHD113" s="64"/>
      <c r="IHE113" s="64"/>
      <c r="IHF113" s="64"/>
      <c r="IHG113" s="64"/>
      <c r="IHH113" s="64"/>
      <c r="IHI113" s="64"/>
      <c r="IHJ113" s="64"/>
      <c r="IHK113" s="64"/>
      <c r="IHL113" s="64"/>
      <c r="IHM113" s="64"/>
      <c r="IHN113" s="64"/>
      <c r="IHO113" s="64"/>
      <c r="IHP113" s="64"/>
      <c r="IHQ113" s="64"/>
      <c r="IHR113" s="64"/>
      <c r="IHS113" s="64"/>
      <c r="IHT113" s="64"/>
      <c r="IHU113" s="64"/>
      <c r="IHV113" s="64"/>
      <c r="IHW113" s="64"/>
      <c r="IHX113" s="64"/>
      <c r="IHY113" s="64"/>
      <c r="IHZ113" s="64"/>
      <c r="IIA113" s="64"/>
      <c r="IIB113" s="64"/>
      <c r="IIC113" s="64"/>
      <c r="IID113" s="64"/>
      <c r="IIE113" s="64"/>
      <c r="IIF113" s="64"/>
      <c r="IIG113" s="64"/>
      <c r="IIH113" s="64"/>
      <c r="III113" s="64"/>
      <c r="IIJ113" s="64"/>
      <c r="IIK113" s="64"/>
      <c r="IIL113" s="64"/>
      <c r="IIM113" s="64"/>
      <c r="IIN113" s="64"/>
      <c r="IIO113" s="64"/>
      <c r="IIP113" s="64"/>
      <c r="IIQ113" s="64"/>
      <c r="IIR113" s="64"/>
      <c r="IIS113" s="64"/>
      <c r="IIT113" s="64"/>
      <c r="IIU113" s="64"/>
      <c r="IIV113" s="64"/>
      <c r="IIW113" s="64"/>
      <c r="IIX113" s="64"/>
      <c r="IIY113" s="64"/>
      <c r="IIZ113" s="64"/>
      <c r="IJA113" s="64"/>
      <c r="IJB113" s="64"/>
      <c r="IJC113" s="64"/>
      <c r="IJD113" s="64"/>
      <c r="IJE113" s="64"/>
      <c r="IJF113" s="64"/>
      <c r="IJG113" s="64"/>
      <c r="IJH113" s="64"/>
      <c r="IJI113" s="64"/>
      <c r="IJJ113" s="64"/>
      <c r="IJK113" s="64"/>
      <c r="IJL113" s="64"/>
      <c r="IJM113" s="64"/>
      <c r="IJN113" s="64"/>
      <c r="IJO113" s="64"/>
      <c r="IJP113" s="64"/>
      <c r="IJQ113" s="64"/>
      <c r="IJR113" s="64"/>
      <c r="IJS113" s="64"/>
      <c r="IJT113" s="64"/>
      <c r="IJU113" s="64"/>
      <c r="IJV113" s="64"/>
      <c r="IJW113" s="64"/>
      <c r="IJX113" s="64"/>
      <c r="IJY113" s="64"/>
      <c r="IJZ113" s="64"/>
      <c r="IKA113" s="64"/>
      <c r="IKB113" s="64"/>
      <c r="IKC113" s="64"/>
      <c r="IKD113" s="64"/>
      <c r="IKE113" s="64"/>
      <c r="IKF113" s="64"/>
      <c r="IKG113" s="64"/>
      <c r="IKH113" s="64"/>
      <c r="IKI113" s="64"/>
      <c r="IKJ113" s="64"/>
      <c r="IKK113" s="64"/>
      <c r="IKL113" s="64"/>
      <c r="IKM113" s="64"/>
      <c r="IKN113" s="64"/>
      <c r="IKO113" s="64"/>
      <c r="IKP113" s="64"/>
      <c r="IKQ113" s="64"/>
      <c r="IKR113" s="64"/>
      <c r="IKS113" s="64"/>
      <c r="IKT113" s="64"/>
      <c r="IKU113" s="64"/>
      <c r="IKV113" s="64"/>
      <c r="IKW113" s="64"/>
      <c r="IKX113" s="64"/>
      <c r="IKY113" s="64"/>
      <c r="IKZ113" s="64"/>
      <c r="ILA113" s="64"/>
      <c r="ILB113" s="64"/>
      <c r="ILC113" s="64"/>
      <c r="ILD113" s="64"/>
      <c r="ILE113" s="64"/>
      <c r="ILF113" s="64"/>
      <c r="ILG113" s="64"/>
      <c r="ILH113" s="64"/>
      <c r="ILI113" s="64"/>
      <c r="ILJ113" s="64"/>
      <c r="ILK113" s="64"/>
      <c r="ILL113" s="64"/>
      <c r="ILM113" s="64"/>
      <c r="ILN113" s="64"/>
      <c r="ILO113" s="64"/>
      <c r="ILP113" s="64"/>
      <c r="ILQ113" s="64"/>
      <c r="ILR113" s="64"/>
      <c r="ILS113" s="64"/>
      <c r="ILT113" s="64"/>
      <c r="ILU113" s="64"/>
      <c r="ILV113" s="64"/>
      <c r="ILW113" s="64"/>
      <c r="ILX113" s="64"/>
      <c r="ILY113" s="64"/>
      <c r="ILZ113" s="64"/>
      <c r="IMA113" s="64"/>
      <c r="IMB113" s="64"/>
      <c r="IMC113" s="64"/>
      <c r="IMD113" s="64"/>
      <c r="IME113" s="64"/>
      <c r="IMF113" s="64"/>
      <c r="IMG113" s="64"/>
      <c r="IMH113" s="64"/>
      <c r="IMI113" s="64"/>
      <c r="IMJ113" s="64"/>
      <c r="IMK113" s="64"/>
      <c r="IML113" s="64"/>
      <c r="IMM113" s="64"/>
      <c r="IMN113" s="64"/>
      <c r="IMO113" s="64"/>
      <c r="IMP113" s="64"/>
      <c r="IMQ113" s="64"/>
      <c r="IMR113" s="64"/>
      <c r="IMS113" s="64"/>
      <c r="IMT113" s="64"/>
      <c r="IMU113" s="64"/>
      <c r="IMV113" s="64"/>
      <c r="IMW113" s="64"/>
      <c r="IMX113" s="64"/>
      <c r="IMY113" s="64"/>
      <c r="IMZ113" s="64"/>
      <c r="INA113" s="64"/>
      <c r="INB113" s="64"/>
      <c r="INC113" s="64"/>
      <c r="IND113" s="64"/>
      <c r="INE113" s="64"/>
      <c r="INF113" s="64"/>
      <c r="ING113" s="64"/>
      <c r="INH113" s="64"/>
      <c r="INI113" s="64"/>
      <c r="INJ113" s="64"/>
      <c r="INK113" s="64"/>
      <c r="INL113" s="64"/>
      <c r="INM113" s="64"/>
      <c r="INN113" s="64"/>
      <c r="INO113" s="64"/>
      <c r="INP113" s="64"/>
      <c r="INQ113" s="64"/>
      <c r="INR113" s="64"/>
      <c r="INS113" s="64"/>
      <c r="INT113" s="64"/>
      <c r="INU113" s="64"/>
      <c r="INV113" s="64"/>
      <c r="INW113" s="64"/>
      <c r="INX113" s="64"/>
      <c r="INY113" s="64"/>
      <c r="INZ113" s="64"/>
      <c r="IOA113" s="64"/>
      <c r="IOB113" s="64"/>
      <c r="IOC113" s="64"/>
      <c r="IOD113" s="64"/>
      <c r="IOE113" s="64"/>
      <c r="IOF113" s="64"/>
      <c r="IOG113" s="64"/>
      <c r="IOH113" s="64"/>
      <c r="IOI113" s="64"/>
      <c r="IOJ113" s="64"/>
      <c r="IOK113" s="64"/>
      <c r="IOL113" s="64"/>
      <c r="IOM113" s="64"/>
      <c r="ION113" s="64"/>
      <c r="IOO113" s="64"/>
      <c r="IOP113" s="64"/>
      <c r="IOQ113" s="64"/>
      <c r="IOR113" s="64"/>
      <c r="IOS113" s="64"/>
      <c r="IOT113" s="64"/>
      <c r="IOU113" s="64"/>
      <c r="IOV113" s="64"/>
      <c r="IOW113" s="64"/>
      <c r="IOX113" s="64"/>
      <c r="IOY113" s="64"/>
      <c r="IOZ113" s="64"/>
      <c r="IPA113" s="64"/>
      <c r="IPB113" s="64"/>
      <c r="IPC113" s="64"/>
      <c r="IPD113" s="64"/>
      <c r="IPE113" s="64"/>
      <c r="IPF113" s="64"/>
      <c r="IPG113" s="64"/>
      <c r="IPH113" s="64"/>
      <c r="IPI113" s="64"/>
      <c r="IPJ113" s="64"/>
      <c r="IPK113" s="64"/>
      <c r="IPL113" s="64"/>
      <c r="IPM113" s="64"/>
      <c r="IPN113" s="64"/>
      <c r="IPO113" s="64"/>
      <c r="IPP113" s="64"/>
      <c r="IPQ113" s="64"/>
      <c r="IPR113" s="64"/>
      <c r="IPS113" s="64"/>
      <c r="IPT113" s="64"/>
      <c r="IPU113" s="64"/>
      <c r="IPV113" s="64"/>
      <c r="IPW113" s="64"/>
      <c r="IPX113" s="64"/>
      <c r="IPY113" s="64"/>
      <c r="IPZ113" s="64"/>
      <c r="IQA113" s="64"/>
      <c r="IQB113" s="64"/>
      <c r="IQC113" s="64"/>
      <c r="IQD113" s="64"/>
      <c r="IQE113" s="64"/>
      <c r="IQF113" s="64"/>
      <c r="IQG113" s="64"/>
      <c r="IQH113" s="64"/>
      <c r="IQI113" s="64"/>
      <c r="IQJ113" s="64"/>
      <c r="IQK113" s="64"/>
      <c r="IQL113" s="64"/>
      <c r="IQM113" s="64"/>
      <c r="IQN113" s="64"/>
      <c r="IQO113" s="64"/>
      <c r="IQP113" s="64"/>
      <c r="IQQ113" s="64"/>
      <c r="IQR113" s="64"/>
      <c r="IQS113" s="64"/>
      <c r="IQT113" s="64"/>
      <c r="IQU113" s="64"/>
      <c r="IQV113" s="64"/>
      <c r="IQW113" s="64"/>
      <c r="IQX113" s="64"/>
      <c r="IQY113" s="64"/>
      <c r="IQZ113" s="64"/>
      <c r="IRA113" s="64"/>
      <c r="IRB113" s="64"/>
      <c r="IRC113" s="64"/>
      <c r="IRD113" s="64"/>
      <c r="IRE113" s="64"/>
      <c r="IRF113" s="64"/>
      <c r="IRG113" s="64"/>
      <c r="IRH113" s="64"/>
      <c r="IRI113" s="64"/>
      <c r="IRJ113" s="64"/>
      <c r="IRK113" s="64"/>
      <c r="IRL113" s="64"/>
      <c r="IRM113" s="64"/>
      <c r="IRN113" s="64"/>
      <c r="IRO113" s="64"/>
      <c r="IRP113" s="64"/>
      <c r="IRQ113" s="64"/>
      <c r="IRR113" s="64"/>
      <c r="IRS113" s="64"/>
      <c r="IRT113" s="64"/>
      <c r="IRU113" s="64"/>
      <c r="IRV113" s="64"/>
      <c r="IRW113" s="64"/>
      <c r="IRX113" s="64"/>
      <c r="IRY113" s="64"/>
      <c r="IRZ113" s="64"/>
      <c r="ISA113" s="64"/>
      <c r="ISB113" s="64"/>
      <c r="ISC113" s="64"/>
      <c r="ISD113" s="64"/>
      <c r="ISE113" s="64"/>
      <c r="ISF113" s="64"/>
      <c r="ISG113" s="64"/>
      <c r="ISH113" s="64"/>
      <c r="ISI113" s="64"/>
      <c r="ISJ113" s="64"/>
      <c r="ISK113" s="64"/>
      <c r="ISL113" s="64"/>
      <c r="ISM113" s="64"/>
      <c r="ISN113" s="64"/>
      <c r="ISO113" s="64"/>
      <c r="ISP113" s="64"/>
      <c r="ISQ113" s="64"/>
      <c r="ISR113" s="64"/>
      <c r="ISS113" s="64"/>
      <c r="IST113" s="64"/>
      <c r="ISU113" s="64"/>
      <c r="ISV113" s="64"/>
      <c r="ISW113" s="64"/>
      <c r="ISX113" s="64"/>
      <c r="ISY113" s="64"/>
      <c r="ISZ113" s="64"/>
      <c r="ITA113" s="64"/>
      <c r="ITB113" s="64"/>
      <c r="ITC113" s="64"/>
      <c r="ITD113" s="64"/>
      <c r="ITE113" s="64"/>
      <c r="ITF113" s="64"/>
      <c r="ITG113" s="64"/>
      <c r="ITH113" s="64"/>
      <c r="ITI113" s="64"/>
      <c r="ITJ113" s="64"/>
      <c r="ITK113" s="64"/>
      <c r="ITL113" s="64"/>
      <c r="ITM113" s="64"/>
      <c r="ITN113" s="64"/>
      <c r="ITO113" s="64"/>
      <c r="ITP113" s="64"/>
      <c r="ITQ113" s="64"/>
      <c r="ITR113" s="64"/>
      <c r="ITS113" s="64"/>
      <c r="ITT113" s="64"/>
      <c r="ITU113" s="64"/>
      <c r="ITV113" s="64"/>
      <c r="ITW113" s="64"/>
      <c r="ITX113" s="64"/>
      <c r="ITY113" s="64"/>
      <c r="ITZ113" s="64"/>
      <c r="IUA113" s="64"/>
      <c r="IUB113" s="64"/>
      <c r="IUC113" s="64"/>
      <c r="IUD113" s="64"/>
      <c r="IUE113" s="64"/>
      <c r="IUF113" s="64"/>
      <c r="IUG113" s="64"/>
      <c r="IUH113" s="64"/>
      <c r="IUI113" s="64"/>
      <c r="IUJ113" s="64"/>
      <c r="IUK113" s="64"/>
      <c r="IUL113" s="64"/>
      <c r="IUM113" s="64"/>
      <c r="IUN113" s="64"/>
      <c r="IUO113" s="64"/>
      <c r="IUP113" s="64"/>
      <c r="IUQ113" s="64"/>
      <c r="IUR113" s="64"/>
      <c r="IUS113" s="64"/>
      <c r="IUT113" s="64"/>
      <c r="IUU113" s="64"/>
      <c r="IUV113" s="64"/>
      <c r="IUW113" s="64"/>
      <c r="IUX113" s="64"/>
      <c r="IUY113" s="64"/>
      <c r="IUZ113" s="64"/>
      <c r="IVA113" s="64"/>
      <c r="IVB113" s="64"/>
      <c r="IVC113" s="64"/>
      <c r="IVD113" s="64"/>
      <c r="IVE113" s="64"/>
      <c r="IVF113" s="64"/>
      <c r="IVG113" s="64"/>
      <c r="IVH113" s="64"/>
      <c r="IVI113" s="64"/>
      <c r="IVJ113" s="64"/>
      <c r="IVK113" s="64"/>
      <c r="IVL113" s="64"/>
      <c r="IVM113" s="64"/>
      <c r="IVN113" s="64"/>
      <c r="IVO113" s="64"/>
      <c r="IVP113" s="64"/>
      <c r="IVQ113" s="64"/>
      <c r="IVR113" s="64"/>
      <c r="IVS113" s="64"/>
      <c r="IVT113" s="64"/>
      <c r="IVU113" s="64"/>
      <c r="IVV113" s="64"/>
      <c r="IVW113" s="64"/>
      <c r="IVX113" s="64"/>
      <c r="IVY113" s="64"/>
      <c r="IVZ113" s="64"/>
      <c r="IWA113" s="64"/>
      <c r="IWB113" s="64"/>
      <c r="IWC113" s="64"/>
      <c r="IWD113" s="64"/>
      <c r="IWE113" s="64"/>
      <c r="IWF113" s="64"/>
      <c r="IWG113" s="64"/>
      <c r="IWH113" s="64"/>
      <c r="IWI113" s="64"/>
      <c r="IWJ113" s="64"/>
      <c r="IWK113" s="64"/>
      <c r="IWL113" s="64"/>
      <c r="IWM113" s="64"/>
      <c r="IWN113" s="64"/>
      <c r="IWO113" s="64"/>
      <c r="IWP113" s="64"/>
      <c r="IWQ113" s="64"/>
      <c r="IWR113" s="64"/>
      <c r="IWS113" s="64"/>
      <c r="IWT113" s="64"/>
      <c r="IWU113" s="64"/>
      <c r="IWV113" s="64"/>
      <c r="IWW113" s="64"/>
      <c r="IWX113" s="64"/>
      <c r="IWY113" s="64"/>
      <c r="IWZ113" s="64"/>
      <c r="IXA113" s="64"/>
      <c r="IXB113" s="64"/>
      <c r="IXC113" s="64"/>
      <c r="IXD113" s="64"/>
      <c r="IXE113" s="64"/>
      <c r="IXF113" s="64"/>
      <c r="IXG113" s="64"/>
      <c r="IXH113" s="64"/>
      <c r="IXI113" s="64"/>
      <c r="IXJ113" s="64"/>
      <c r="IXK113" s="64"/>
      <c r="IXL113" s="64"/>
      <c r="IXM113" s="64"/>
      <c r="IXN113" s="64"/>
      <c r="IXO113" s="64"/>
      <c r="IXP113" s="64"/>
      <c r="IXQ113" s="64"/>
      <c r="IXR113" s="64"/>
      <c r="IXS113" s="64"/>
      <c r="IXT113" s="64"/>
      <c r="IXU113" s="64"/>
      <c r="IXV113" s="64"/>
      <c r="IXW113" s="64"/>
      <c r="IXX113" s="64"/>
      <c r="IXY113" s="64"/>
      <c r="IXZ113" s="64"/>
      <c r="IYA113" s="64"/>
      <c r="IYB113" s="64"/>
      <c r="IYC113" s="64"/>
      <c r="IYD113" s="64"/>
      <c r="IYE113" s="64"/>
      <c r="IYF113" s="64"/>
      <c r="IYG113" s="64"/>
      <c r="IYH113" s="64"/>
      <c r="IYI113" s="64"/>
      <c r="IYJ113" s="64"/>
      <c r="IYK113" s="64"/>
      <c r="IYL113" s="64"/>
      <c r="IYM113" s="64"/>
      <c r="IYN113" s="64"/>
      <c r="IYO113" s="64"/>
      <c r="IYP113" s="64"/>
      <c r="IYQ113" s="64"/>
      <c r="IYR113" s="64"/>
      <c r="IYS113" s="64"/>
      <c r="IYT113" s="64"/>
      <c r="IYU113" s="64"/>
      <c r="IYV113" s="64"/>
      <c r="IYW113" s="64"/>
      <c r="IYX113" s="64"/>
      <c r="IYY113" s="64"/>
      <c r="IYZ113" s="64"/>
      <c r="IZA113" s="64"/>
      <c r="IZB113" s="64"/>
      <c r="IZC113" s="64"/>
      <c r="IZD113" s="64"/>
      <c r="IZE113" s="64"/>
      <c r="IZF113" s="64"/>
      <c r="IZG113" s="64"/>
      <c r="IZH113" s="64"/>
      <c r="IZI113" s="64"/>
      <c r="IZJ113" s="64"/>
      <c r="IZK113" s="64"/>
      <c r="IZL113" s="64"/>
      <c r="IZM113" s="64"/>
      <c r="IZN113" s="64"/>
      <c r="IZO113" s="64"/>
      <c r="IZP113" s="64"/>
      <c r="IZQ113" s="64"/>
      <c r="IZR113" s="64"/>
      <c r="IZS113" s="64"/>
      <c r="IZT113" s="64"/>
      <c r="IZU113" s="64"/>
      <c r="IZV113" s="64"/>
      <c r="IZW113" s="64"/>
      <c r="IZX113" s="64"/>
      <c r="IZY113" s="64"/>
      <c r="IZZ113" s="64"/>
      <c r="JAA113" s="64"/>
      <c r="JAB113" s="64"/>
      <c r="JAC113" s="64"/>
      <c r="JAD113" s="64"/>
      <c r="JAE113" s="64"/>
      <c r="JAF113" s="64"/>
      <c r="JAG113" s="64"/>
      <c r="JAH113" s="64"/>
      <c r="JAI113" s="64"/>
      <c r="JAJ113" s="64"/>
      <c r="JAK113" s="64"/>
      <c r="JAL113" s="64"/>
      <c r="JAM113" s="64"/>
      <c r="JAN113" s="64"/>
      <c r="JAO113" s="64"/>
      <c r="JAP113" s="64"/>
      <c r="JAQ113" s="64"/>
      <c r="JAR113" s="64"/>
      <c r="JAS113" s="64"/>
      <c r="JAT113" s="64"/>
      <c r="JAU113" s="64"/>
      <c r="JAV113" s="64"/>
      <c r="JAW113" s="64"/>
      <c r="JAX113" s="64"/>
      <c r="JAY113" s="64"/>
      <c r="JAZ113" s="64"/>
      <c r="JBA113" s="64"/>
      <c r="JBB113" s="64"/>
      <c r="JBC113" s="64"/>
      <c r="JBD113" s="64"/>
      <c r="JBE113" s="64"/>
      <c r="JBF113" s="64"/>
      <c r="JBG113" s="64"/>
      <c r="JBH113" s="64"/>
      <c r="JBI113" s="64"/>
      <c r="JBJ113" s="64"/>
      <c r="JBK113" s="64"/>
      <c r="JBL113" s="64"/>
      <c r="JBM113" s="64"/>
      <c r="JBN113" s="64"/>
      <c r="JBO113" s="64"/>
      <c r="JBP113" s="64"/>
      <c r="JBQ113" s="64"/>
      <c r="JBR113" s="64"/>
      <c r="JBS113" s="64"/>
      <c r="JBT113" s="64"/>
      <c r="JBU113" s="64"/>
      <c r="JBV113" s="64"/>
      <c r="JBW113" s="64"/>
      <c r="JBX113" s="64"/>
      <c r="JBY113" s="64"/>
      <c r="JBZ113" s="64"/>
      <c r="JCA113" s="64"/>
      <c r="JCB113" s="64"/>
      <c r="JCC113" s="64"/>
      <c r="JCD113" s="64"/>
      <c r="JCE113" s="64"/>
      <c r="JCF113" s="64"/>
      <c r="JCG113" s="64"/>
      <c r="JCH113" s="64"/>
      <c r="JCI113" s="64"/>
      <c r="JCJ113" s="64"/>
      <c r="JCK113" s="64"/>
      <c r="JCL113" s="64"/>
      <c r="JCM113" s="64"/>
      <c r="JCN113" s="64"/>
      <c r="JCO113" s="64"/>
      <c r="JCP113" s="64"/>
      <c r="JCQ113" s="64"/>
      <c r="JCR113" s="64"/>
      <c r="JCS113" s="64"/>
      <c r="JCT113" s="64"/>
      <c r="JCU113" s="64"/>
      <c r="JCV113" s="64"/>
      <c r="JCW113" s="64"/>
      <c r="JCX113" s="64"/>
      <c r="JCY113" s="64"/>
      <c r="JCZ113" s="64"/>
      <c r="JDA113" s="64"/>
      <c r="JDB113" s="64"/>
      <c r="JDC113" s="64"/>
      <c r="JDD113" s="64"/>
      <c r="JDE113" s="64"/>
      <c r="JDF113" s="64"/>
      <c r="JDG113" s="64"/>
      <c r="JDH113" s="64"/>
      <c r="JDI113" s="64"/>
      <c r="JDJ113" s="64"/>
      <c r="JDK113" s="64"/>
      <c r="JDL113" s="64"/>
      <c r="JDM113" s="64"/>
      <c r="JDN113" s="64"/>
      <c r="JDO113" s="64"/>
      <c r="JDP113" s="64"/>
      <c r="JDQ113" s="64"/>
      <c r="JDR113" s="64"/>
      <c r="JDS113" s="64"/>
      <c r="JDT113" s="64"/>
      <c r="JDU113" s="64"/>
      <c r="JDV113" s="64"/>
      <c r="JDW113" s="64"/>
      <c r="JDX113" s="64"/>
      <c r="JDY113" s="64"/>
      <c r="JDZ113" s="64"/>
      <c r="JEA113" s="64"/>
      <c r="JEB113" s="64"/>
      <c r="JEC113" s="64"/>
      <c r="JED113" s="64"/>
      <c r="JEE113" s="64"/>
      <c r="JEF113" s="64"/>
      <c r="JEG113" s="64"/>
      <c r="JEH113" s="64"/>
      <c r="JEI113" s="64"/>
      <c r="JEJ113" s="64"/>
      <c r="JEK113" s="64"/>
      <c r="JEL113" s="64"/>
      <c r="JEM113" s="64"/>
      <c r="JEN113" s="64"/>
      <c r="JEO113" s="64"/>
      <c r="JEP113" s="64"/>
      <c r="JEQ113" s="64"/>
      <c r="JER113" s="64"/>
      <c r="JES113" s="64"/>
      <c r="JET113" s="64"/>
      <c r="JEU113" s="64"/>
      <c r="JEV113" s="64"/>
      <c r="JEW113" s="64"/>
      <c r="JEX113" s="64"/>
      <c r="JEY113" s="64"/>
      <c r="JEZ113" s="64"/>
      <c r="JFA113" s="64"/>
      <c r="JFB113" s="64"/>
      <c r="JFC113" s="64"/>
      <c r="JFD113" s="64"/>
      <c r="JFE113" s="64"/>
      <c r="JFF113" s="64"/>
      <c r="JFG113" s="64"/>
      <c r="JFH113" s="64"/>
      <c r="JFI113" s="64"/>
      <c r="JFJ113" s="64"/>
      <c r="JFK113" s="64"/>
      <c r="JFL113" s="64"/>
      <c r="JFM113" s="64"/>
      <c r="JFN113" s="64"/>
      <c r="JFO113" s="64"/>
      <c r="JFP113" s="64"/>
      <c r="JFQ113" s="64"/>
      <c r="JFR113" s="64"/>
      <c r="JFS113" s="64"/>
      <c r="JFT113" s="64"/>
      <c r="JFU113" s="64"/>
      <c r="JFV113" s="64"/>
      <c r="JFW113" s="64"/>
      <c r="JFX113" s="64"/>
      <c r="JFY113" s="64"/>
      <c r="JFZ113" s="64"/>
      <c r="JGA113" s="64"/>
      <c r="JGB113" s="64"/>
      <c r="JGC113" s="64"/>
      <c r="JGD113" s="64"/>
      <c r="JGE113" s="64"/>
      <c r="JGF113" s="64"/>
      <c r="JGG113" s="64"/>
      <c r="JGH113" s="64"/>
      <c r="JGI113" s="64"/>
      <c r="JGJ113" s="64"/>
      <c r="JGK113" s="64"/>
      <c r="JGL113" s="64"/>
      <c r="JGM113" s="64"/>
      <c r="JGN113" s="64"/>
      <c r="JGO113" s="64"/>
      <c r="JGP113" s="64"/>
      <c r="JGQ113" s="64"/>
      <c r="JGR113" s="64"/>
      <c r="JGS113" s="64"/>
      <c r="JGT113" s="64"/>
      <c r="JGU113" s="64"/>
      <c r="JGV113" s="64"/>
      <c r="JGW113" s="64"/>
      <c r="JGX113" s="64"/>
      <c r="JGY113" s="64"/>
      <c r="JGZ113" s="64"/>
      <c r="JHA113" s="64"/>
      <c r="JHB113" s="64"/>
      <c r="JHC113" s="64"/>
      <c r="JHD113" s="64"/>
      <c r="JHE113" s="64"/>
      <c r="JHF113" s="64"/>
      <c r="JHG113" s="64"/>
      <c r="JHH113" s="64"/>
      <c r="JHI113" s="64"/>
      <c r="JHJ113" s="64"/>
      <c r="JHK113" s="64"/>
      <c r="JHL113" s="64"/>
      <c r="JHM113" s="64"/>
      <c r="JHN113" s="64"/>
      <c r="JHO113" s="64"/>
      <c r="JHP113" s="64"/>
      <c r="JHQ113" s="64"/>
      <c r="JHR113" s="64"/>
      <c r="JHS113" s="64"/>
      <c r="JHT113" s="64"/>
      <c r="JHU113" s="64"/>
      <c r="JHV113" s="64"/>
      <c r="JHW113" s="64"/>
      <c r="JHX113" s="64"/>
      <c r="JHY113" s="64"/>
      <c r="JHZ113" s="64"/>
      <c r="JIA113" s="64"/>
      <c r="JIB113" s="64"/>
      <c r="JIC113" s="64"/>
      <c r="JID113" s="64"/>
      <c r="JIE113" s="64"/>
      <c r="JIF113" s="64"/>
      <c r="JIG113" s="64"/>
      <c r="JIH113" s="64"/>
      <c r="JII113" s="64"/>
      <c r="JIJ113" s="64"/>
      <c r="JIK113" s="64"/>
      <c r="JIL113" s="64"/>
      <c r="JIM113" s="64"/>
      <c r="JIN113" s="64"/>
      <c r="JIO113" s="64"/>
      <c r="JIP113" s="64"/>
      <c r="JIQ113" s="64"/>
      <c r="JIR113" s="64"/>
      <c r="JIS113" s="64"/>
      <c r="JIT113" s="64"/>
      <c r="JIU113" s="64"/>
      <c r="JIV113" s="64"/>
      <c r="JIW113" s="64"/>
      <c r="JIX113" s="64"/>
      <c r="JIY113" s="64"/>
      <c r="JIZ113" s="64"/>
      <c r="JJA113" s="64"/>
      <c r="JJB113" s="64"/>
      <c r="JJC113" s="64"/>
      <c r="JJD113" s="64"/>
      <c r="JJE113" s="64"/>
      <c r="JJF113" s="64"/>
      <c r="JJG113" s="64"/>
      <c r="JJH113" s="64"/>
      <c r="JJI113" s="64"/>
      <c r="JJJ113" s="64"/>
      <c r="JJK113" s="64"/>
      <c r="JJL113" s="64"/>
      <c r="JJM113" s="64"/>
      <c r="JJN113" s="64"/>
      <c r="JJO113" s="64"/>
      <c r="JJP113" s="64"/>
      <c r="JJQ113" s="64"/>
      <c r="JJR113" s="64"/>
      <c r="JJS113" s="64"/>
      <c r="JJT113" s="64"/>
      <c r="JJU113" s="64"/>
      <c r="JJV113" s="64"/>
      <c r="JJW113" s="64"/>
      <c r="JJX113" s="64"/>
      <c r="JJY113" s="64"/>
      <c r="JJZ113" s="64"/>
      <c r="JKA113" s="64"/>
      <c r="JKB113" s="64"/>
      <c r="JKC113" s="64"/>
      <c r="JKD113" s="64"/>
      <c r="JKE113" s="64"/>
      <c r="JKF113" s="64"/>
      <c r="JKG113" s="64"/>
      <c r="JKH113" s="64"/>
      <c r="JKI113" s="64"/>
      <c r="JKJ113" s="64"/>
      <c r="JKK113" s="64"/>
      <c r="JKL113" s="64"/>
      <c r="JKM113" s="64"/>
      <c r="JKN113" s="64"/>
      <c r="JKO113" s="64"/>
      <c r="JKP113" s="64"/>
      <c r="JKQ113" s="64"/>
      <c r="JKR113" s="64"/>
      <c r="JKS113" s="64"/>
      <c r="JKT113" s="64"/>
      <c r="JKU113" s="64"/>
      <c r="JKV113" s="64"/>
      <c r="JKW113" s="64"/>
      <c r="JKX113" s="64"/>
      <c r="JKY113" s="64"/>
      <c r="JKZ113" s="64"/>
      <c r="JLA113" s="64"/>
      <c r="JLB113" s="64"/>
      <c r="JLC113" s="64"/>
      <c r="JLD113" s="64"/>
      <c r="JLE113" s="64"/>
      <c r="JLF113" s="64"/>
      <c r="JLG113" s="64"/>
      <c r="JLH113" s="64"/>
      <c r="JLI113" s="64"/>
      <c r="JLJ113" s="64"/>
      <c r="JLK113" s="64"/>
      <c r="JLL113" s="64"/>
      <c r="JLM113" s="64"/>
      <c r="JLN113" s="64"/>
      <c r="JLO113" s="64"/>
      <c r="JLP113" s="64"/>
      <c r="JLQ113" s="64"/>
      <c r="JLR113" s="64"/>
      <c r="JLS113" s="64"/>
      <c r="JLT113" s="64"/>
      <c r="JLU113" s="64"/>
      <c r="JLV113" s="64"/>
      <c r="JLW113" s="64"/>
      <c r="JLX113" s="64"/>
      <c r="JLY113" s="64"/>
      <c r="JLZ113" s="64"/>
      <c r="JMA113" s="64"/>
      <c r="JMB113" s="64"/>
      <c r="JMC113" s="64"/>
      <c r="JMD113" s="64"/>
      <c r="JME113" s="64"/>
      <c r="JMF113" s="64"/>
      <c r="JMG113" s="64"/>
      <c r="JMH113" s="64"/>
      <c r="JMI113" s="64"/>
      <c r="JMJ113" s="64"/>
      <c r="JMK113" s="64"/>
      <c r="JML113" s="64"/>
      <c r="JMM113" s="64"/>
      <c r="JMN113" s="64"/>
      <c r="JMO113" s="64"/>
      <c r="JMP113" s="64"/>
      <c r="JMQ113" s="64"/>
      <c r="JMR113" s="64"/>
      <c r="JMS113" s="64"/>
      <c r="JMT113" s="64"/>
      <c r="JMU113" s="64"/>
      <c r="JMV113" s="64"/>
      <c r="JMW113" s="64"/>
      <c r="JMX113" s="64"/>
      <c r="JMY113" s="64"/>
      <c r="JMZ113" s="64"/>
      <c r="JNA113" s="64"/>
      <c r="JNB113" s="64"/>
      <c r="JNC113" s="64"/>
      <c r="JND113" s="64"/>
      <c r="JNE113" s="64"/>
      <c r="JNF113" s="64"/>
      <c r="JNG113" s="64"/>
      <c r="JNH113" s="64"/>
      <c r="JNI113" s="64"/>
      <c r="JNJ113" s="64"/>
      <c r="JNK113" s="64"/>
      <c r="JNL113" s="64"/>
      <c r="JNM113" s="64"/>
      <c r="JNN113" s="64"/>
      <c r="JNO113" s="64"/>
      <c r="JNP113" s="64"/>
      <c r="JNQ113" s="64"/>
      <c r="JNR113" s="64"/>
      <c r="JNS113" s="64"/>
      <c r="JNT113" s="64"/>
      <c r="JNU113" s="64"/>
      <c r="JNV113" s="64"/>
      <c r="JNW113" s="64"/>
      <c r="JNX113" s="64"/>
      <c r="JNY113" s="64"/>
      <c r="JNZ113" s="64"/>
      <c r="JOA113" s="64"/>
      <c r="JOB113" s="64"/>
      <c r="JOC113" s="64"/>
      <c r="JOD113" s="64"/>
      <c r="JOE113" s="64"/>
      <c r="JOF113" s="64"/>
      <c r="JOG113" s="64"/>
      <c r="JOH113" s="64"/>
      <c r="JOI113" s="64"/>
      <c r="JOJ113" s="64"/>
      <c r="JOK113" s="64"/>
      <c r="JOL113" s="64"/>
      <c r="JOM113" s="64"/>
      <c r="JON113" s="64"/>
      <c r="JOO113" s="64"/>
      <c r="JOP113" s="64"/>
      <c r="JOQ113" s="64"/>
      <c r="JOR113" s="64"/>
      <c r="JOS113" s="64"/>
      <c r="JOT113" s="64"/>
      <c r="JOU113" s="64"/>
      <c r="JOV113" s="64"/>
      <c r="JOW113" s="64"/>
      <c r="JOX113" s="64"/>
      <c r="JOY113" s="64"/>
      <c r="JOZ113" s="64"/>
      <c r="JPA113" s="64"/>
      <c r="JPB113" s="64"/>
      <c r="JPC113" s="64"/>
      <c r="JPD113" s="64"/>
      <c r="JPE113" s="64"/>
      <c r="JPF113" s="64"/>
      <c r="JPG113" s="64"/>
      <c r="JPH113" s="64"/>
      <c r="JPI113" s="64"/>
      <c r="JPJ113" s="64"/>
      <c r="JPK113" s="64"/>
      <c r="JPL113" s="64"/>
      <c r="JPM113" s="64"/>
      <c r="JPN113" s="64"/>
      <c r="JPO113" s="64"/>
      <c r="JPP113" s="64"/>
      <c r="JPQ113" s="64"/>
      <c r="JPR113" s="64"/>
      <c r="JPS113" s="64"/>
      <c r="JPT113" s="64"/>
      <c r="JPU113" s="64"/>
      <c r="JPV113" s="64"/>
      <c r="JPW113" s="64"/>
      <c r="JPX113" s="64"/>
      <c r="JPY113" s="64"/>
      <c r="JPZ113" s="64"/>
      <c r="JQA113" s="64"/>
      <c r="JQB113" s="64"/>
      <c r="JQC113" s="64"/>
      <c r="JQD113" s="64"/>
      <c r="JQE113" s="64"/>
      <c r="JQF113" s="64"/>
      <c r="JQG113" s="64"/>
      <c r="JQH113" s="64"/>
      <c r="JQI113" s="64"/>
      <c r="JQJ113" s="64"/>
      <c r="JQK113" s="64"/>
      <c r="JQL113" s="64"/>
      <c r="JQM113" s="64"/>
      <c r="JQN113" s="64"/>
      <c r="JQO113" s="64"/>
      <c r="JQP113" s="64"/>
      <c r="JQQ113" s="64"/>
      <c r="JQR113" s="64"/>
      <c r="JQS113" s="64"/>
      <c r="JQT113" s="64"/>
      <c r="JQU113" s="64"/>
      <c r="JQV113" s="64"/>
      <c r="JQW113" s="64"/>
      <c r="JQX113" s="64"/>
      <c r="JQY113" s="64"/>
      <c r="JQZ113" s="64"/>
      <c r="JRA113" s="64"/>
      <c r="JRB113" s="64"/>
      <c r="JRC113" s="64"/>
      <c r="JRD113" s="64"/>
      <c r="JRE113" s="64"/>
      <c r="JRF113" s="64"/>
      <c r="JRG113" s="64"/>
      <c r="JRH113" s="64"/>
      <c r="JRI113" s="64"/>
      <c r="JRJ113" s="64"/>
      <c r="JRK113" s="64"/>
      <c r="JRL113" s="64"/>
      <c r="JRM113" s="64"/>
      <c r="JRN113" s="64"/>
      <c r="JRO113" s="64"/>
      <c r="JRP113" s="64"/>
      <c r="JRQ113" s="64"/>
      <c r="JRR113" s="64"/>
      <c r="JRS113" s="64"/>
      <c r="JRT113" s="64"/>
      <c r="JRU113" s="64"/>
      <c r="JRV113" s="64"/>
      <c r="JRW113" s="64"/>
      <c r="JRX113" s="64"/>
      <c r="JRY113" s="64"/>
      <c r="JRZ113" s="64"/>
      <c r="JSA113" s="64"/>
      <c r="JSB113" s="64"/>
      <c r="JSC113" s="64"/>
      <c r="JSD113" s="64"/>
      <c r="JSE113" s="64"/>
      <c r="JSF113" s="64"/>
      <c r="JSG113" s="64"/>
      <c r="JSH113" s="64"/>
      <c r="JSI113" s="64"/>
      <c r="JSJ113" s="64"/>
      <c r="JSK113" s="64"/>
      <c r="JSL113" s="64"/>
      <c r="JSM113" s="64"/>
      <c r="JSN113" s="64"/>
      <c r="JSO113" s="64"/>
      <c r="JSP113" s="64"/>
      <c r="JSQ113" s="64"/>
      <c r="JSR113" s="64"/>
      <c r="JSS113" s="64"/>
      <c r="JST113" s="64"/>
      <c r="JSU113" s="64"/>
      <c r="JSV113" s="64"/>
      <c r="JSW113" s="64"/>
      <c r="JSX113" s="64"/>
      <c r="JSY113" s="64"/>
      <c r="JSZ113" s="64"/>
      <c r="JTA113" s="64"/>
      <c r="JTB113" s="64"/>
      <c r="JTC113" s="64"/>
      <c r="JTD113" s="64"/>
      <c r="JTE113" s="64"/>
      <c r="JTF113" s="64"/>
      <c r="JTG113" s="64"/>
      <c r="JTH113" s="64"/>
      <c r="JTI113" s="64"/>
      <c r="JTJ113" s="64"/>
      <c r="JTK113" s="64"/>
      <c r="JTL113" s="64"/>
      <c r="JTM113" s="64"/>
      <c r="JTN113" s="64"/>
      <c r="JTO113" s="64"/>
      <c r="JTP113" s="64"/>
      <c r="JTQ113" s="64"/>
      <c r="JTR113" s="64"/>
      <c r="JTS113" s="64"/>
      <c r="JTT113" s="64"/>
      <c r="JTU113" s="64"/>
      <c r="JTV113" s="64"/>
      <c r="JTW113" s="64"/>
      <c r="JTX113" s="64"/>
      <c r="JTY113" s="64"/>
      <c r="JTZ113" s="64"/>
      <c r="JUA113" s="64"/>
      <c r="JUB113" s="64"/>
      <c r="JUC113" s="64"/>
      <c r="JUD113" s="64"/>
      <c r="JUE113" s="64"/>
      <c r="JUF113" s="64"/>
      <c r="JUG113" s="64"/>
      <c r="JUH113" s="64"/>
      <c r="JUI113" s="64"/>
      <c r="JUJ113" s="64"/>
      <c r="JUK113" s="64"/>
      <c r="JUL113" s="64"/>
      <c r="JUM113" s="64"/>
      <c r="JUN113" s="64"/>
      <c r="JUO113" s="64"/>
      <c r="JUP113" s="64"/>
      <c r="JUQ113" s="64"/>
      <c r="JUR113" s="64"/>
      <c r="JUS113" s="64"/>
      <c r="JUT113" s="64"/>
      <c r="JUU113" s="64"/>
      <c r="JUV113" s="64"/>
      <c r="JUW113" s="64"/>
      <c r="JUX113" s="64"/>
      <c r="JUY113" s="64"/>
      <c r="JUZ113" s="64"/>
      <c r="JVA113" s="64"/>
      <c r="JVB113" s="64"/>
      <c r="JVC113" s="64"/>
      <c r="JVD113" s="64"/>
      <c r="JVE113" s="64"/>
      <c r="JVF113" s="64"/>
      <c r="JVG113" s="64"/>
      <c r="JVH113" s="64"/>
      <c r="JVI113" s="64"/>
      <c r="JVJ113" s="64"/>
      <c r="JVK113" s="64"/>
      <c r="JVL113" s="64"/>
      <c r="JVM113" s="64"/>
      <c r="JVN113" s="64"/>
      <c r="JVO113" s="64"/>
      <c r="JVP113" s="64"/>
      <c r="JVQ113" s="64"/>
      <c r="JVR113" s="64"/>
      <c r="JVS113" s="64"/>
      <c r="JVT113" s="64"/>
      <c r="JVU113" s="64"/>
      <c r="JVV113" s="64"/>
      <c r="JVW113" s="64"/>
      <c r="JVX113" s="64"/>
      <c r="JVY113" s="64"/>
      <c r="JVZ113" s="64"/>
      <c r="JWA113" s="64"/>
      <c r="JWB113" s="64"/>
      <c r="JWC113" s="64"/>
      <c r="JWD113" s="64"/>
      <c r="JWE113" s="64"/>
      <c r="JWF113" s="64"/>
      <c r="JWG113" s="64"/>
      <c r="JWH113" s="64"/>
      <c r="JWI113" s="64"/>
      <c r="JWJ113" s="64"/>
      <c r="JWK113" s="64"/>
      <c r="JWL113" s="64"/>
      <c r="JWM113" s="64"/>
      <c r="JWN113" s="64"/>
      <c r="JWO113" s="64"/>
      <c r="JWP113" s="64"/>
      <c r="JWQ113" s="64"/>
      <c r="JWR113" s="64"/>
      <c r="JWS113" s="64"/>
      <c r="JWT113" s="64"/>
      <c r="JWU113" s="64"/>
      <c r="JWV113" s="64"/>
      <c r="JWW113" s="64"/>
      <c r="JWX113" s="64"/>
      <c r="JWY113" s="64"/>
      <c r="JWZ113" s="64"/>
      <c r="JXA113" s="64"/>
      <c r="JXB113" s="64"/>
      <c r="JXC113" s="64"/>
      <c r="JXD113" s="64"/>
      <c r="JXE113" s="64"/>
      <c r="JXF113" s="64"/>
      <c r="JXG113" s="64"/>
      <c r="JXH113" s="64"/>
      <c r="JXI113" s="64"/>
      <c r="JXJ113" s="64"/>
      <c r="JXK113" s="64"/>
      <c r="JXL113" s="64"/>
      <c r="JXM113" s="64"/>
      <c r="JXN113" s="64"/>
      <c r="JXO113" s="64"/>
      <c r="JXP113" s="64"/>
      <c r="JXQ113" s="64"/>
      <c r="JXR113" s="64"/>
      <c r="JXS113" s="64"/>
      <c r="JXT113" s="64"/>
      <c r="JXU113" s="64"/>
      <c r="JXV113" s="64"/>
      <c r="JXW113" s="64"/>
      <c r="JXX113" s="64"/>
      <c r="JXY113" s="64"/>
      <c r="JXZ113" s="64"/>
      <c r="JYA113" s="64"/>
      <c r="JYB113" s="64"/>
      <c r="JYC113" s="64"/>
      <c r="JYD113" s="64"/>
      <c r="JYE113" s="64"/>
      <c r="JYF113" s="64"/>
      <c r="JYG113" s="64"/>
      <c r="JYH113" s="64"/>
      <c r="JYI113" s="64"/>
      <c r="JYJ113" s="64"/>
      <c r="JYK113" s="64"/>
      <c r="JYL113" s="64"/>
      <c r="JYM113" s="64"/>
      <c r="JYN113" s="64"/>
      <c r="JYO113" s="64"/>
      <c r="JYP113" s="64"/>
      <c r="JYQ113" s="64"/>
      <c r="JYR113" s="64"/>
      <c r="JYS113" s="64"/>
      <c r="JYT113" s="64"/>
      <c r="JYU113" s="64"/>
      <c r="JYV113" s="64"/>
      <c r="JYW113" s="64"/>
      <c r="JYX113" s="64"/>
      <c r="JYY113" s="64"/>
      <c r="JYZ113" s="64"/>
      <c r="JZA113" s="64"/>
      <c r="JZB113" s="64"/>
      <c r="JZC113" s="64"/>
      <c r="JZD113" s="64"/>
      <c r="JZE113" s="64"/>
      <c r="JZF113" s="64"/>
      <c r="JZG113" s="64"/>
      <c r="JZH113" s="64"/>
      <c r="JZI113" s="64"/>
      <c r="JZJ113" s="64"/>
      <c r="JZK113" s="64"/>
      <c r="JZL113" s="64"/>
      <c r="JZM113" s="64"/>
      <c r="JZN113" s="64"/>
      <c r="JZO113" s="64"/>
      <c r="JZP113" s="64"/>
      <c r="JZQ113" s="64"/>
      <c r="JZR113" s="64"/>
      <c r="JZS113" s="64"/>
      <c r="JZT113" s="64"/>
      <c r="JZU113" s="64"/>
      <c r="JZV113" s="64"/>
      <c r="JZW113" s="64"/>
      <c r="JZX113" s="64"/>
      <c r="JZY113" s="64"/>
      <c r="JZZ113" s="64"/>
      <c r="KAA113" s="64"/>
      <c r="KAB113" s="64"/>
      <c r="KAC113" s="64"/>
      <c r="KAD113" s="64"/>
      <c r="KAE113" s="64"/>
      <c r="KAF113" s="64"/>
      <c r="KAG113" s="64"/>
      <c r="KAH113" s="64"/>
      <c r="KAI113" s="64"/>
      <c r="KAJ113" s="64"/>
      <c r="KAK113" s="64"/>
      <c r="KAL113" s="64"/>
      <c r="KAM113" s="64"/>
      <c r="KAN113" s="64"/>
      <c r="KAO113" s="64"/>
      <c r="KAP113" s="64"/>
      <c r="KAQ113" s="64"/>
      <c r="KAR113" s="64"/>
      <c r="KAS113" s="64"/>
      <c r="KAT113" s="64"/>
      <c r="KAU113" s="64"/>
      <c r="KAV113" s="64"/>
      <c r="KAW113" s="64"/>
      <c r="KAX113" s="64"/>
      <c r="KAY113" s="64"/>
      <c r="KAZ113" s="64"/>
      <c r="KBA113" s="64"/>
      <c r="KBB113" s="64"/>
      <c r="KBC113" s="64"/>
      <c r="KBD113" s="64"/>
      <c r="KBE113" s="64"/>
      <c r="KBF113" s="64"/>
      <c r="KBG113" s="64"/>
      <c r="KBH113" s="64"/>
      <c r="KBI113" s="64"/>
      <c r="KBJ113" s="64"/>
      <c r="KBK113" s="64"/>
      <c r="KBL113" s="64"/>
      <c r="KBM113" s="64"/>
      <c r="KBN113" s="64"/>
      <c r="KBO113" s="64"/>
      <c r="KBP113" s="64"/>
      <c r="KBQ113" s="64"/>
      <c r="KBR113" s="64"/>
      <c r="KBS113" s="64"/>
      <c r="KBT113" s="64"/>
      <c r="KBU113" s="64"/>
      <c r="KBV113" s="64"/>
      <c r="KBW113" s="64"/>
      <c r="KBX113" s="64"/>
      <c r="KBY113" s="64"/>
      <c r="KBZ113" s="64"/>
      <c r="KCA113" s="64"/>
      <c r="KCB113" s="64"/>
      <c r="KCC113" s="64"/>
      <c r="KCD113" s="64"/>
      <c r="KCE113" s="64"/>
      <c r="KCF113" s="64"/>
      <c r="KCG113" s="64"/>
      <c r="KCH113" s="64"/>
      <c r="KCI113" s="64"/>
      <c r="KCJ113" s="64"/>
      <c r="KCK113" s="64"/>
      <c r="KCL113" s="64"/>
      <c r="KCM113" s="64"/>
      <c r="KCN113" s="64"/>
      <c r="KCO113" s="64"/>
      <c r="KCP113" s="64"/>
      <c r="KCQ113" s="64"/>
      <c r="KCR113" s="64"/>
      <c r="KCS113" s="64"/>
      <c r="KCT113" s="64"/>
      <c r="KCU113" s="64"/>
      <c r="KCV113" s="64"/>
      <c r="KCW113" s="64"/>
      <c r="KCX113" s="64"/>
      <c r="KCY113" s="64"/>
      <c r="KCZ113" s="64"/>
      <c r="KDA113" s="64"/>
      <c r="KDB113" s="64"/>
      <c r="KDC113" s="64"/>
      <c r="KDD113" s="64"/>
      <c r="KDE113" s="64"/>
      <c r="KDF113" s="64"/>
      <c r="KDG113" s="64"/>
      <c r="KDH113" s="64"/>
      <c r="KDI113" s="64"/>
      <c r="KDJ113" s="64"/>
      <c r="KDK113" s="64"/>
      <c r="KDL113" s="64"/>
      <c r="KDM113" s="64"/>
      <c r="KDN113" s="64"/>
      <c r="KDO113" s="64"/>
      <c r="KDP113" s="64"/>
      <c r="KDQ113" s="64"/>
      <c r="KDR113" s="64"/>
      <c r="KDS113" s="64"/>
      <c r="KDT113" s="64"/>
      <c r="KDU113" s="64"/>
      <c r="KDV113" s="64"/>
      <c r="KDW113" s="64"/>
      <c r="KDX113" s="64"/>
      <c r="KDY113" s="64"/>
      <c r="KDZ113" s="64"/>
      <c r="KEA113" s="64"/>
      <c r="KEB113" s="64"/>
      <c r="KEC113" s="64"/>
      <c r="KED113" s="64"/>
      <c r="KEE113" s="64"/>
      <c r="KEF113" s="64"/>
      <c r="KEG113" s="64"/>
      <c r="KEH113" s="64"/>
      <c r="KEI113" s="64"/>
      <c r="KEJ113" s="64"/>
      <c r="KEK113" s="64"/>
      <c r="KEL113" s="64"/>
      <c r="KEM113" s="64"/>
      <c r="KEN113" s="64"/>
      <c r="KEO113" s="64"/>
      <c r="KEP113" s="64"/>
      <c r="KEQ113" s="64"/>
      <c r="KER113" s="64"/>
      <c r="KES113" s="64"/>
      <c r="KET113" s="64"/>
      <c r="KEU113" s="64"/>
      <c r="KEV113" s="64"/>
      <c r="KEW113" s="64"/>
      <c r="KEX113" s="64"/>
      <c r="KEY113" s="64"/>
      <c r="KEZ113" s="64"/>
      <c r="KFA113" s="64"/>
      <c r="KFB113" s="64"/>
      <c r="KFC113" s="64"/>
      <c r="KFD113" s="64"/>
      <c r="KFE113" s="64"/>
      <c r="KFF113" s="64"/>
      <c r="KFG113" s="64"/>
      <c r="KFH113" s="64"/>
      <c r="KFI113" s="64"/>
      <c r="KFJ113" s="64"/>
      <c r="KFK113" s="64"/>
      <c r="KFL113" s="64"/>
      <c r="KFM113" s="64"/>
      <c r="KFN113" s="64"/>
      <c r="KFO113" s="64"/>
      <c r="KFP113" s="64"/>
      <c r="KFQ113" s="64"/>
      <c r="KFR113" s="64"/>
      <c r="KFS113" s="64"/>
      <c r="KFT113" s="64"/>
      <c r="KFU113" s="64"/>
      <c r="KFV113" s="64"/>
      <c r="KFW113" s="64"/>
      <c r="KFX113" s="64"/>
      <c r="KFY113" s="64"/>
      <c r="KFZ113" s="64"/>
      <c r="KGA113" s="64"/>
      <c r="KGB113" s="64"/>
      <c r="KGC113" s="64"/>
      <c r="KGD113" s="64"/>
      <c r="KGE113" s="64"/>
      <c r="KGF113" s="64"/>
      <c r="KGG113" s="64"/>
      <c r="KGH113" s="64"/>
      <c r="KGI113" s="64"/>
      <c r="KGJ113" s="64"/>
      <c r="KGK113" s="64"/>
      <c r="KGL113" s="64"/>
      <c r="KGM113" s="64"/>
      <c r="KGN113" s="64"/>
      <c r="KGO113" s="64"/>
      <c r="KGP113" s="64"/>
      <c r="KGQ113" s="64"/>
      <c r="KGR113" s="64"/>
      <c r="KGS113" s="64"/>
      <c r="KGT113" s="64"/>
      <c r="KGU113" s="64"/>
      <c r="KGV113" s="64"/>
      <c r="KGW113" s="64"/>
      <c r="KGX113" s="64"/>
      <c r="KGY113" s="64"/>
      <c r="KGZ113" s="64"/>
      <c r="KHA113" s="64"/>
      <c r="KHB113" s="64"/>
      <c r="KHC113" s="64"/>
      <c r="KHD113" s="64"/>
      <c r="KHE113" s="64"/>
      <c r="KHF113" s="64"/>
      <c r="KHG113" s="64"/>
      <c r="KHH113" s="64"/>
      <c r="KHI113" s="64"/>
      <c r="KHJ113" s="64"/>
      <c r="KHK113" s="64"/>
      <c r="KHL113" s="64"/>
      <c r="KHM113" s="64"/>
      <c r="KHN113" s="64"/>
      <c r="KHO113" s="64"/>
      <c r="KHP113" s="64"/>
      <c r="KHQ113" s="64"/>
      <c r="KHR113" s="64"/>
      <c r="KHS113" s="64"/>
      <c r="KHT113" s="64"/>
      <c r="KHU113" s="64"/>
      <c r="KHV113" s="64"/>
      <c r="KHW113" s="64"/>
      <c r="KHX113" s="64"/>
      <c r="KHY113" s="64"/>
      <c r="KHZ113" s="64"/>
      <c r="KIA113" s="64"/>
      <c r="KIB113" s="64"/>
      <c r="KIC113" s="64"/>
      <c r="KID113" s="64"/>
      <c r="KIE113" s="64"/>
      <c r="KIF113" s="64"/>
      <c r="KIG113" s="64"/>
      <c r="KIH113" s="64"/>
      <c r="KII113" s="64"/>
      <c r="KIJ113" s="64"/>
      <c r="KIK113" s="64"/>
      <c r="KIL113" s="64"/>
      <c r="KIM113" s="64"/>
      <c r="KIN113" s="64"/>
      <c r="KIO113" s="64"/>
      <c r="KIP113" s="64"/>
      <c r="KIQ113" s="64"/>
      <c r="KIR113" s="64"/>
      <c r="KIS113" s="64"/>
      <c r="KIT113" s="64"/>
      <c r="KIU113" s="64"/>
      <c r="KIV113" s="64"/>
      <c r="KIW113" s="64"/>
      <c r="KIX113" s="64"/>
      <c r="KIY113" s="64"/>
      <c r="KIZ113" s="64"/>
      <c r="KJA113" s="64"/>
      <c r="KJB113" s="64"/>
      <c r="KJC113" s="64"/>
      <c r="KJD113" s="64"/>
      <c r="KJE113" s="64"/>
      <c r="KJF113" s="64"/>
      <c r="KJG113" s="64"/>
      <c r="KJH113" s="64"/>
      <c r="KJI113" s="64"/>
      <c r="KJJ113" s="64"/>
      <c r="KJK113" s="64"/>
      <c r="KJL113" s="64"/>
      <c r="KJM113" s="64"/>
      <c r="KJN113" s="64"/>
      <c r="KJO113" s="64"/>
      <c r="KJP113" s="64"/>
      <c r="KJQ113" s="64"/>
      <c r="KJR113" s="64"/>
      <c r="KJS113" s="64"/>
      <c r="KJT113" s="64"/>
      <c r="KJU113" s="64"/>
      <c r="KJV113" s="64"/>
      <c r="KJW113" s="64"/>
      <c r="KJX113" s="64"/>
      <c r="KJY113" s="64"/>
      <c r="KJZ113" s="64"/>
      <c r="KKA113" s="64"/>
      <c r="KKB113" s="64"/>
      <c r="KKC113" s="64"/>
      <c r="KKD113" s="64"/>
      <c r="KKE113" s="64"/>
      <c r="KKF113" s="64"/>
      <c r="KKG113" s="64"/>
      <c r="KKH113" s="64"/>
      <c r="KKI113" s="64"/>
      <c r="KKJ113" s="64"/>
      <c r="KKK113" s="64"/>
      <c r="KKL113" s="64"/>
      <c r="KKM113" s="64"/>
      <c r="KKN113" s="64"/>
      <c r="KKO113" s="64"/>
      <c r="KKP113" s="64"/>
      <c r="KKQ113" s="64"/>
      <c r="KKR113" s="64"/>
      <c r="KKS113" s="64"/>
      <c r="KKT113" s="64"/>
      <c r="KKU113" s="64"/>
      <c r="KKV113" s="64"/>
      <c r="KKW113" s="64"/>
      <c r="KKX113" s="64"/>
      <c r="KKY113" s="64"/>
      <c r="KKZ113" s="64"/>
      <c r="KLA113" s="64"/>
      <c r="KLB113" s="64"/>
      <c r="KLC113" s="64"/>
      <c r="KLD113" s="64"/>
      <c r="KLE113" s="64"/>
      <c r="KLF113" s="64"/>
      <c r="KLG113" s="64"/>
      <c r="KLH113" s="64"/>
      <c r="KLI113" s="64"/>
      <c r="KLJ113" s="64"/>
      <c r="KLK113" s="64"/>
      <c r="KLL113" s="64"/>
      <c r="KLM113" s="64"/>
      <c r="KLN113" s="64"/>
      <c r="KLO113" s="64"/>
      <c r="KLP113" s="64"/>
      <c r="KLQ113" s="64"/>
      <c r="KLR113" s="64"/>
      <c r="KLS113" s="64"/>
      <c r="KLT113" s="64"/>
      <c r="KLU113" s="64"/>
      <c r="KLV113" s="64"/>
      <c r="KLW113" s="64"/>
      <c r="KLX113" s="64"/>
      <c r="KLY113" s="64"/>
      <c r="KLZ113" s="64"/>
      <c r="KMA113" s="64"/>
      <c r="KMB113" s="64"/>
      <c r="KMC113" s="64"/>
      <c r="KMD113" s="64"/>
      <c r="KME113" s="64"/>
      <c r="KMF113" s="64"/>
      <c r="KMG113" s="64"/>
      <c r="KMH113" s="64"/>
      <c r="KMI113" s="64"/>
      <c r="KMJ113" s="64"/>
      <c r="KMK113" s="64"/>
      <c r="KML113" s="64"/>
      <c r="KMM113" s="64"/>
      <c r="KMN113" s="64"/>
      <c r="KMO113" s="64"/>
      <c r="KMP113" s="64"/>
      <c r="KMQ113" s="64"/>
      <c r="KMR113" s="64"/>
      <c r="KMS113" s="64"/>
      <c r="KMT113" s="64"/>
      <c r="KMU113" s="64"/>
      <c r="KMV113" s="64"/>
      <c r="KMW113" s="64"/>
      <c r="KMX113" s="64"/>
      <c r="KMY113" s="64"/>
      <c r="KMZ113" s="64"/>
      <c r="KNA113" s="64"/>
      <c r="KNB113" s="64"/>
      <c r="KNC113" s="64"/>
      <c r="KND113" s="64"/>
      <c r="KNE113" s="64"/>
      <c r="KNF113" s="64"/>
      <c r="KNG113" s="64"/>
      <c r="KNH113" s="64"/>
      <c r="KNI113" s="64"/>
      <c r="KNJ113" s="64"/>
      <c r="KNK113" s="64"/>
      <c r="KNL113" s="64"/>
      <c r="KNM113" s="64"/>
      <c r="KNN113" s="64"/>
      <c r="KNO113" s="64"/>
      <c r="KNP113" s="64"/>
      <c r="KNQ113" s="64"/>
      <c r="KNR113" s="64"/>
      <c r="KNS113" s="64"/>
      <c r="KNT113" s="64"/>
      <c r="KNU113" s="64"/>
      <c r="KNV113" s="64"/>
      <c r="KNW113" s="64"/>
      <c r="KNX113" s="64"/>
      <c r="KNY113" s="64"/>
      <c r="KNZ113" s="64"/>
      <c r="KOA113" s="64"/>
      <c r="KOB113" s="64"/>
      <c r="KOC113" s="64"/>
      <c r="KOD113" s="64"/>
      <c r="KOE113" s="64"/>
      <c r="KOF113" s="64"/>
      <c r="KOG113" s="64"/>
      <c r="KOH113" s="64"/>
      <c r="KOI113" s="64"/>
      <c r="KOJ113" s="64"/>
      <c r="KOK113" s="64"/>
      <c r="KOL113" s="64"/>
      <c r="KOM113" s="64"/>
      <c r="KON113" s="64"/>
      <c r="KOO113" s="64"/>
      <c r="KOP113" s="64"/>
      <c r="KOQ113" s="64"/>
      <c r="KOR113" s="64"/>
      <c r="KOS113" s="64"/>
      <c r="KOT113" s="64"/>
      <c r="KOU113" s="64"/>
      <c r="KOV113" s="64"/>
      <c r="KOW113" s="64"/>
      <c r="KOX113" s="64"/>
      <c r="KOY113" s="64"/>
      <c r="KOZ113" s="64"/>
      <c r="KPA113" s="64"/>
      <c r="KPB113" s="64"/>
      <c r="KPC113" s="64"/>
      <c r="KPD113" s="64"/>
      <c r="KPE113" s="64"/>
      <c r="KPF113" s="64"/>
      <c r="KPG113" s="64"/>
      <c r="KPH113" s="64"/>
      <c r="KPI113" s="64"/>
      <c r="KPJ113" s="64"/>
      <c r="KPK113" s="64"/>
      <c r="KPL113" s="64"/>
      <c r="KPM113" s="64"/>
      <c r="KPN113" s="64"/>
      <c r="KPO113" s="64"/>
      <c r="KPP113" s="64"/>
      <c r="KPQ113" s="64"/>
      <c r="KPR113" s="64"/>
      <c r="KPS113" s="64"/>
      <c r="KPT113" s="64"/>
      <c r="KPU113" s="64"/>
      <c r="KPV113" s="64"/>
      <c r="KPW113" s="64"/>
      <c r="KPX113" s="64"/>
      <c r="KPY113" s="64"/>
      <c r="KPZ113" s="64"/>
      <c r="KQA113" s="64"/>
      <c r="KQB113" s="64"/>
      <c r="KQC113" s="64"/>
      <c r="KQD113" s="64"/>
      <c r="KQE113" s="64"/>
      <c r="KQF113" s="64"/>
      <c r="KQG113" s="64"/>
      <c r="KQH113" s="64"/>
      <c r="KQI113" s="64"/>
      <c r="KQJ113" s="64"/>
      <c r="KQK113" s="64"/>
      <c r="KQL113" s="64"/>
      <c r="KQM113" s="64"/>
      <c r="KQN113" s="64"/>
      <c r="KQO113" s="64"/>
      <c r="KQP113" s="64"/>
      <c r="KQQ113" s="64"/>
      <c r="KQR113" s="64"/>
      <c r="KQS113" s="64"/>
      <c r="KQT113" s="64"/>
      <c r="KQU113" s="64"/>
      <c r="KQV113" s="64"/>
      <c r="KQW113" s="64"/>
      <c r="KQX113" s="64"/>
      <c r="KQY113" s="64"/>
      <c r="KQZ113" s="64"/>
      <c r="KRA113" s="64"/>
      <c r="KRB113" s="64"/>
      <c r="KRC113" s="64"/>
      <c r="KRD113" s="64"/>
      <c r="KRE113" s="64"/>
      <c r="KRF113" s="64"/>
      <c r="KRG113" s="64"/>
      <c r="KRH113" s="64"/>
      <c r="KRI113" s="64"/>
      <c r="KRJ113" s="64"/>
      <c r="KRK113" s="64"/>
      <c r="KRL113" s="64"/>
      <c r="KRM113" s="64"/>
      <c r="KRN113" s="64"/>
      <c r="KRO113" s="64"/>
      <c r="KRP113" s="64"/>
      <c r="KRQ113" s="64"/>
      <c r="KRR113" s="64"/>
      <c r="KRS113" s="64"/>
      <c r="KRT113" s="64"/>
      <c r="KRU113" s="64"/>
      <c r="KRV113" s="64"/>
      <c r="KRW113" s="64"/>
      <c r="KRX113" s="64"/>
      <c r="KRY113" s="64"/>
      <c r="KRZ113" s="64"/>
      <c r="KSA113" s="64"/>
      <c r="KSB113" s="64"/>
      <c r="KSC113" s="64"/>
      <c r="KSD113" s="64"/>
      <c r="KSE113" s="64"/>
      <c r="KSF113" s="64"/>
      <c r="KSG113" s="64"/>
      <c r="KSH113" s="64"/>
      <c r="KSI113" s="64"/>
      <c r="KSJ113" s="64"/>
      <c r="KSK113" s="64"/>
      <c r="KSL113" s="64"/>
      <c r="KSM113" s="64"/>
      <c r="KSN113" s="64"/>
      <c r="KSO113" s="64"/>
      <c r="KSP113" s="64"/>
      <c r="KSQ113" s="64"/>
      <c r="KSR113" s="64"/>
      <c r="KSS113" s="64"/>
      <c r="KST113" s="64"/>
      <c r="KSU113" s="64"/>
      <c r="KSV113" s="64"/>
      <c r="KSW113" s="64"/>
      <c r="KSX113" s="64"/>
      <c r="KSY113" s="64"/>
      <c r="KSZ113" s="64"/>
      <c r="KTA113" s="64"/>
      <c r="KTB113" s="64"/>
      <c r="KTC113" s="64"/>
      <c r="KTD113" s="64"/>
      <c r="KTE113" s="64"/>
      <c r="KTF113" s="64"/>
      <c r="KTG113" s="64"/>
      <c r="KTH113" s="64"/>
      <c r="KTI113" s="64"/>
      <c r="KTJ113" s="64"/>
      <c r="KTK113" s="64"/>
      <c r="KTL113" s="64"/>
      <c r="KTM113" s="64"/>
      <c r="KTN113" s="64"/>
      <c r="KTO113" s="64"/>
      <c r="KTP113" s="64"/>
      <c r="KTQ113" s="64"/>
      <c r="KTR113" s="64"/>
      <c r="KTS113" s="64"/>
      <c r="KTT113" s="64"/>
      <c r="KTU113" s="64"/>
      <c r="KTV113" s="64"/>
      <c r="KTW113" s="64"/>
      <c r="KTX113" s="64"/>
      <c r="KTY113" s="64"/>
      <c r="KTZ113" s="64"/>
      <c r="KUA113" s="64"/>
      <c r="KUB113" s="64"/>
      <c r="KUC113" s="64"/>
      <c r="KUD113" s="64"/>
      <c r="KUE113" s="64"/>
      <c r="KUF113" s="64"/>
      <c r="KUG113" s="64"/>
      <c r="KUH113" s="64"/>
      <c r="KUI113" s="64"/>
      <c r="KUJ113" s="64"/>
      <c r="KUK113" s="64"/>
      <c r="KUL113" s="64"/>
      <c r="KUM113" s="64"/>
      <c r="KUN113" s="64"/>
      <c r="KUO113" s="64"/>
      <c r="KUP113" s="64"/>
      <c r="KUQ113" s="64"/>
      <c r="KUR113" s="64"/>
      <c r="KUS113" s="64"/>
      <c r="KUT113" s="64"/>
      <c r="KUU113" s="64"/>
      <c r="KUV113" s="64"/>
      <c r="KUW113" s="64"/>
      <c r="KUX113" s="64"/>
      <c r="KUY113" s="64"/>
      <c r="KUZ113" s="64"/>
      <c r="KVA113" s="64"/>
      <c r="KVB113" s="64"/>
      <c r="KVC113" s="64"/>
      <c r="KVD113" s="64"/>
      <c r="KVE113" s="64"/>
      <c r="KVF113" s="64"/>
      <c r="KVG113" s="64"/>
      <c r="KVH113" s="64"/>
      <c r="KVI113" s="64"/>
      <c r="KVJ113" s="64"/>
      <c r="KVK113" s="64"/>
      <c r="KVL113" s="64"/>
      <c r="KVM113" s="64"/>
      <c r="KVN113" s="64"/>
      <c r="KVO113" s="64"/>
      <c r="KVP113" s="64"/>
      <c r="KVQ113" s="64"/>
      <c r="KVR113" s="64"/>
      <c r="KVS113" s="64"/>
      <c r="KVT113" s="64"/>
      <c r="KVU113" s="64"/>
      <c r="KVV113" s="64"/>
      <c r="KVW113" s="64"/>
      <c r="KVX113" s="64"/>
      <c r="KVY113" s="64"/>
      <c r="KVZ113" s="64"/>
      <c r="KWA113" s="64"/>
      <c r="KWB113" s="64"/>
      <c r="KWC113" s="64"/>
      <c r="KWD113" s="64"/>
      <c r="KWE113" s="64"/>
      <c r="KWF113" s="64"/>
      <c r="KWG113" s="64"/>
      <c r="KWH113" s="64"/>
      <c r="KWI113" s="64"/>
      <c r="KWJ113" s="64"/>
      <c r="KWK113" s="64"/>
      <c r="KWL113" s="64"/>
      <c r="KWM113" s="64"/>
      <c r="KWN113" s="64"/>
      <c r="KWO113" s="64"/>
      <c r="KWP113" s="64"/>
      <c r="KWQ113" s="64"/>
      <c r="KWR113" s="64"/>
      <c r="KWS113" s="64"/>
      <c r="KWT113" s="64"/>
      <c r="KWU113" s="64"/>
      <c r="KWV113" s="64"/>
      <c r="KWW113" s="64"/>
      <c r="KWX113" s="64"/>
      <c r="KWY113" s="64"/>
      <c r="KWZ113" s="64"/>
      <c r="KXA113" s="64"/>
      <c r="KXB113" s="64"/>
      <c r="KXC113" s="64"/>
      <c r="KXD113" s="64"/>
      <c r="KXE113" s="64"/>
      <c r="KXF113" s="64"/>
      <c r="KXG113" s="64"/>
      <c r="KXH113" s="64"/>
      <c r="KXI113" s="64"/>
      <c r="KXJ113" s="64"/>
      <c r="KXK113" s="64"/>
      <c r="KXL113" s="64"/>
      <c r="KXM113" s="64"/>
      <c r="KXN113" s="64"/>
      <c r="KXO113" s="64"/>
      <c r="KXP113" s="64"/>
      <c r="KXQ113" s="64"/>
      <c r="KXR113" s="64"/>
      <c r="KXS113" s="64"/>
      <c r="KXT113" s="64"/>
      <c r="KXU113" s="64"/>
      <c r="KXV113" s="64"/>
      <c r="KXW113" s="64"/>
      <c r="KXX113" s="64"/>
      <c r="KXY113" s="64"/>
      <c r="KXZ113" s="64"/>
      <c r="KYA113" s="64"/>
      <c r="KYB113" s="64"/>
      <c r="KYC113" s="64"/>
      <c r="KYD113" s="64"/>
      <c r="KYE113" s="64"/>
      <c r="KYF113" s="64"/>
      <c r="KYG113" s="64"/>
      <c r="KYH113" s="64"/>
      <c r="KYI113" s="64"/>
      <c r="KYJ113" s="64"/>
      <c r="KYK113" s="64"/>
      <c r="KYL113" s="64"/>
      <c r="KYM113" s="64"/>
      <c r="KYN113" s="64"/>
      <c r="KYO113" s="64"/>
      <c r="KYP113" s="64"/>
      <c r="KYQ113" s="64"/>
      <c r="KYR113" s="64"/>
      <c r="KYS113" s="64"/>
      <c r="KYT113" s="64"/>
      <c r="KYU113" s="64"/>
      <c r="KYV113" s="64"/>
      <c r="KYW113" s="64"/>
      <c r="KYX113" s="64"/>
      <c r="KYY113" s="64"/>
      <c r="KYZ113" s="64"/>
      <c r="KZA113" s="64"/>
      <c r="KZB113" s="64"/>
      <c r="KZC113" s="64"/>
      <c r="KZD113" s="64"/>
      <c r="KZE113" s="64"/>
      <c r="KZF113" s="64"/>
      <c r="KZG113" s="64"/>
      <c r="KZH113" s="64"/>
      <c r="KZI113" s="64"/>
      <c r="KZJ113" s="64"/>
      <c r="KZK113" s="64"/>
      <c r="KZL113" s="64"/>
      <c r="KZM113" s="64"/>
      <c r="KZN113" s="64"/>
      <c r="KZO113" s="64"/>
      <c r="KZP113" s="64"/>
      <c r="KZQ113" s="64"/>
      <c r="KZR113" s="64"/>
      <c r="KZS113" s="64"/>
      <c r="KZT113" s="64"/>
      <c r="KZU113" s="64"/>
      <c r="KZV113" s="64"/>
      <c r="KZW113" s="64"/>
      <c r="KZX113" s="64"/>
      <c r="KZY113" s="64"/>
      <c r="KZZ113" s="64"/>
      <c r="LAA113" s="64"/>
      <c r="LAB113" s="64"/>
      <c r="LAC113" s="64"/>
      <c r="LAD113" s="64"/>
      <c r="LAE113" s="64"/>
      <c r="LAF113" s="64"/>
      <c r="LAG113" s="64"/>
      <c r="LAH113" s="64"/>
      <c r="LAI113" s="64"/>
      <c r="LAJ113" s="64"/>
      <c r="LAK113" s="64"/>
      <c r="LAL113" s="64"/>
      <c r="LAM113" s="64"/>
      <c r="LAN113" s="64"/>
      <c r="LAO113" s="64"/>
      <c r="LAP113" s="64"/>
      <c r="LAQ113" s="64"/>
      <c r="LAR113" s="64"/>
      <c r="LAS113" s="64"/>
      <c r="LAT113" s="64"/>
      <c r="LAU113" s="64"/>
      <c r="LAV113" s="64"/>
      <c r="LAW113" s="64"/>
      <c r="LAX113" s="64"/>
      <c r="LAY113" s="64"/>
      <c r="LAZ113" s="64"/>
      <c r="LBA113" s="64"/>
      <c r="LBB113" s="64"/>
      <c r="LBC113" s="64"/>
      <c r="LBD113" s="64"/>
      <c r="LBE113" s="64"/>
      <c r="LBF113" s="64"/>
      <c r="LBG113" s="64"/>
      <c r="LBH113" s="64"/>
      <c r="LBI113" s="64"/>
      <c r="LBJ113" s="64"/>
      <c r="LBK113" s="64"/>
      <c r="LBL113" s="64"/>
      <c r="LBM113" s="64"/>
      <c r="LBN113" s="64"/>
      <c r="LBO113" s="64"/>
      <c r="LBP113" s="64"/>
      <c r="LBQ113" s="64"/>
      <c r="LBR113" s="64"/>
      <c r="LBS113" s="64"/>
      <c r="LBT113" s="64"/>
      <c r="LBU113" s="64"/>
      <c r="LBV113" s="64"/>
      <c r="LBW113" s="64"/>
      <c r="LBX113" s="64"/>
      <c r="LBY113" s="64"/>
      <c r="LBZ113" s="64"/>
      <c r="LCA113" s="64"/>
      <c r="LCB113" s="64"/>
      <c r="LCC113" s="64"/>
      <c r="LCD113" s="64"/>
      <c r="LCE113" s="64"/>
      <c r="LCF113" s="64"/>
      <c r="LCG113" s="64"/>
      <c r="LCH113" s="64"/>
      <c r="LCI113" s="64"/>
      <c r="LCJ113" s="64"/>
      <c r="LCK113" s="64"/>
      <c r="LCL113" s="64"/>
      <c r="LCM113" s="64"/>
      <c r="LCN113" s="64"/>
      <c r="LCO113" s="64"/>
      <c r="LCP113" s="64"/>
      <c r="LCQ113" s="64"/>
      <c r="LCR113" s="64"/>
      <c r="LCS113" s="64"/>
      <c r="LCT113" s="64"/>
      <c r="LCU113" s="64"/>
      <c r="LCV113" s="64"/>
      <c r="LCW113" s="64"/>
      <c r="LCX113" s="64"/>
      <c r="LCY113" s="64"/>
      <c r="LCZ113" s="64"/>
      <c r="LDA113" s="64"/>
      <c r="LDB113" s="64"/>
      <c r="LDC113" s="64"/>
      <c r="LDD113" s="64"/>
      <c r="LDE113" s="64"/>
      <c r="LDF113" s="64"/>
      <c r="LDG113" s="64"/>
      <c r="LDH113" s="64"/>
      <c r="LDI113" s="64"/>
      <c r="LDJ113" s="64"/>
      <c r="LDK113" s="64"/>
      <c r="LDL113" s="64"/>
      <c r="LDM113" s="64"/>
      <c r="LDN113" s="64"/>
      <c r="LDO113" s="64"/>
      <c r="LDP113" s="64"/>
      <c r="LDQ113" s="64"/>
      <c r="LDR113" s="64"/>
      <c r="LDS113" s="64"/>
      <c r="LDT113" s="64"/>
      <c r="LDU113" s="64"/>
      <c r="LDV113" s="64"/>
      <c r="LDW113" s="64"/>
      <c r="LDX113" s="64"/>
      <c r="LDY113" s="64"/>
      <c r="LDZ113" s="64"/>
      <c r="LEA113" s="64"/>
      <c r="LEB113" s="64"/>
      <c r="LEC113" s="64"/>
      <c r="LED113" s="64"/>
      <c r="LEE113" s="64"/>
      <c r="LEF113" s="64"/>
      <c r="LEG113" s="64"/>
      <c r="LEH113" s="64"/>
      <c r="LEI113" s="64"/>
      <c r="LEJ113" s="64"/>
      <c r="LEK113" s="64"/>
      <c r="LEL113" s="64"/>
      <c r="LEM113" s="64"/>
      <c r="LEN113" s="64"/>
      <c r="LEO113" s="64"/>
      <c r="LEP113" s="64"/>
      <c r="LEQ113" s="64"/>
      <c r="LER113" s="64"/>
      <c r="LES113" s="64"/>
      <c r="LET113" s="64"/>
      <c r="LEU113" s="64"/>
      <c r="LEV113" s="64"/>
      <c r="LEW113" s="64"/>
      <c r="LEX113" s="64"/>
      <c r="LEY113" s="64"/>
      <c r="LEZ113" s="64"/>
      <c r="LFA113" s="64"/>
      <c r="LFB113" s="64"/>
      <c r="LFC113" s="64"/>
      <c r="LFD113" s="64"/>
      <c r="LFE113" s="64"/>
      <c r="LFF113" s="64"/>
      <c r="LFG113" s="64"/>
      <c r="LFH113" s="64"/>
      <c r="LFI113" s="64"/>
      <c r="LFJ113" s="64"/>
      <c r="LFK113" s="64"/>
      <c r="LFL113" s="64"/>
      <c r="LFM113" s="64"/>
      <c r="LFN113" s="64"/>
      <c r="LFO113" s="64"/>
      <c r="LFP113" s="64"/>
      <c r="LFQ113" s="64"/>
      <c r="LFR113" s="64"/>
      <c r="LFS113" s="64"/>
      <c r="LFT113" s="64"/>
      <c r="LFU113" s="64"/>
      <c r="LFV113" s="64"/>
      <c r="LFW113" s="64"/>
      <c r="LFX113" s="64"/>
      <c r="LFY113" s="64"/>
      <c r="LFZ113" s="64"/>
      <c r="LGA113" s="64"/>
      <c r="LGB113" s="64"/>
      <c r="LGC113" s="64"/>
      <c r="LGD113" s="64"/>
      <c r="LGE113" s="64"/>
      <c r="LGF113" s="64"/>
      <c r="LGG113" s="64"/>
      <c r="LGH113" s="64"/>
      <c r="LGI113" s="64"/>
      <c r="LGJ113" s="64"/>
      <c r="LGK113" s="64"/>
      <c r="LGL113" s="64"/>
      <c r="LGM113" s="64"/>
      <c r="LGN113" s="64"/>
      <c r="LGO113" s="64"/>
      <c r="LGP113" s="64"/>
      <c r="LGQ113" s="64"/>
      <c r="LGR113" s="64"/>
      <c r="LGS113" s="64"/>
      <c r="LGT113" s="64"/>
      <c r="LGU113" s="64"/>
      <c r="LGV113" s="64"/>
      <c r="LGW113" s="64"/>
      <c r="LGX113" s="64"/>
      <c r="LGY113" s="64"/>
      <c r="LGZ113" s="64"/>
      <c r="LHA113" s="64"/>
      <c r="LHB113" s="64"/>
      <c r="LHC113" s="64"/>
      <c r="LHD113" s="64"/>
      <c r="LHE113" s="64"/>
      <c r="LHF113" s="64"/>
      <c r="LHG113" s="64"/>
      <c r="LHH113" s="64"/>
      <c r="LHI113" s="64"/>
      <c r="LHJ113" s="64"/>
      <c r="LHK113" s="64"/>
      <c r="LHL113" s="64"/>
      <c r="LHM113" s="64"/>
      <c r="LHN113" s="64"/>
      <c r="LHO113" s="64"/>
      <c r="LHP113" s="64"/>
      <c r="LHQ113" s="64"/>
      <c r="LHR113" s="64"/>
      <c r="LHS113" s="64"/>
      <c r="LHT113" s="64"/>
      <c r="LHU113" s="64"/>
      <c r="LHV113" s="64"/>
      <c r="LHW113" s="64"/>
      <c r="LHX113" s="64"/>
      <c r="LHY113" s="64"/>
      <c r="LHZ113" s="64"/>
      <c r="LIA113" s="64"/>
      <c r="LIB113" s="64"/>
      <c r="LIC113" s="64"/>
      <c r="LID113" s="64"/>
      <c r="LIE113" s="64"/>
      <c r="LIF113" s="64"/>
      <c r="LIG113" s="64"/>
      <c r="LIH113" s="64"/>
      <c r="LII113" s="64"/>
      <c r="LIJ113" s="64"/>
      <c r="LIK113" s="64"/>
      <c r="LIL113" s="64"/>
      <c r="LIM113" s="64"/>
      <c r="LIN113" s="64"/>
      <c r="LIO113" s="64"/>
      <c r="LIP113" s="64"/>
      <c r="LIQ113" s="64"/>
      <c r="LIR113" s="64"/>
      <c r="LIS113" s="64"/>
      <c r="LIT113" s="64"/>
      <c r="LIU113" s="64"/>
      <c r="LIV113" s="64"/>
      <c r="LIW113" s="64"/>
      <c r="LIX113" s="64"/>
      <c r="LIY113" s="64"/>
      <c r="LIZ113" s="64"/>
      <c r="LJA113" s="64"/>
      <c r="LJB113" s="64"/>
      <c r="LJC113" s="64"/>
      <c r="LJD113" s="64"/>
      <c r="LJE113" s="64"/>
      <c r="LJF113" s="64"/>
      <c r="LJG113" s="64"/>
      <c r="LJH113" s="64"/>
      <c r="LJI113" s="64"/>
      <c r="LJJ113" s="64"/>
      <c r="LJK113" s="64"/>
      <c r="LJL113" s="64"/>
      <c r="LJM113" s="64"/>
      <c r="LJN113" s="64"/>
      <c r="LJO113" s="64"/>
      <c r="LJP113" s="64"/>
      <c r="LJQ113" s="64"/>
      <c r="LJR113" s="64"/>
      <c r="LJS113" s="64"/>
      <c r="LJT113" s="64"/>
      <c r="LJU113" s="64"/>
      <c r="LJV113" s="64"/>
      <c r="LJW113" s="64"/>
      <c r="LJX113" s="64"/>
      <c r="LJY113" s="64"/>
      <c r="LJZ113" s="64"/>
      <c r="LKA113" s="64"/>
      <c r="LKB113" s="64"/>
      <c r="LKC113" s="64"/>
      <c r="LKD113" s="64"/>
      <c r="LKE113" s="64"/>
      <c r="LKF113" s="64"/>
      <c r="LKG113" s="64"/>
      <c r="LKH113" s="64"/>
      <c r="LKI113" s="64"/>
      <c r="LKJ113" s="64"/>
      <c r="LKK113" s="64"/>
      <c r="LKL113" s="64"/>
      <c r="LKM113" s="64"/>
      <c r="LKN113" s="64"/>
      <c r="LKO113" s="64"/>
      <c r="LKP113" s="64"/>
      <c r="LKQ113" s="64"/>
      <c r="LKR113" s="64"/>
      <c r="LKS113" s="64"/>
      <c r="LKT113" s="64"/>
      <c r="LKU113" s="64"/>
      <c r="LKV113" s="64"/>
      <c r="LKW113" s="64"/>
      <c r="LKX113" s="64"/>
      <c r="LKY113" s="64"/>
      <c r="LKZ113" s="64"/>
      <c r="LLA113" s="64"/>
      <c r="LLB113" s="64"/>
      <c r="LLC113" s="64"/>
      <c r="LLD113" s="64"/>
      <c r="LLE113" s="64"/>
      <c r="LLF113" s="64"/>
      <c r="LLG113" s="64"/>
      <c r="LLH113" s="64"/>
      <c r="LLI113" s="64"/>
      <c r="LLJ113" s="64"/>
      <c r="LLK113" s="64"/>
      <c r="LLL113" s="64"/>
      <c r="LLM113" s="64"/>
      <c r="LLN113" s="64"/>
      <c r="LLO113" s="64"/>
      <c r="LLP113" s="64"/>
      <c r="LLQ113" s="64"/>
      <c r="LLR113" s="64"/>
      <c r="LLS113" s="64"/>
      <c r="LLT113" s="64"/>
      <c r="LLU113" s="64"/>
      <c r="LLV113" s="64"/>
      <c r="LLW113" s="64"/>
      <c r="LLX113" s="64"/>
      <c r="LLY113" s="64"/>
      <c r="LLZ113" s="64"/>
      <c r="LMA113" s="64"/>
      <c r="LMB113" s="64"/>
      <c r="LMC113" s="64"/>
      <c r="LMD113" s="64"/>
      <c r="LME113" s="64"/>
      <c r="LMF113" s="64"/>
      <c r="LMG113" s="64"/>
      <c r="LMH113" s="64"/>
      <c r="LMI113" s="64"/>
      <c r="LMJ113" s="64"/>
      <c r="LMK113" s="64"/>
      <c r="LML113" s="64"/>
      <c r="LMM113" s="64"/>
      <c r="LMN113" s="64"/>
      <c r="LMO113" s="64"/>
      <c r="LMP113" s="64"/>
      <c r="LMQ113" s="64"/>
      <c r="LMR113" s="64"/>
      <c r="LMS113" s="64"/>
      <c r="LMT113" s="64"/>
      <c r="LMU113" s="64"/>
      <c r="LMV113" s="64"/>
      <c r="LMW113" s="64"/>
      <c r="LMX113" s="64"/>
      <c r="LMY113" s="64"/>
      <c r="LMZ113" s="64"/>
      <c r="LNA113" s="64"/>
      <c r="LNB113" s="64"/>
      <c r="LNC113" s="64"/>
      <c r="LND113" s="64"/>
      <c r="LNE113" s="64"/>
      <c r="LNF113" s="64"/>
      <c r="LNG113" s="64"/>
      <c r="LNH113" s="64"/>
      <c r="LNI113" s="64"/>
      <c r="LNJ113" s="64"/>
      <c r="LNK113" s="64"/>
      <c r="LNL113" s="64"/>
      <c r="LNM113" s="64"/>
      <c r="LNN113" s="64"/>
      <c r="LNO113" s="64"/>
      <c r="LNP113" s="64"/>
      <c r="LNQ113" s="64"/>
      <c r="LNR113" s="64"/>
      <c r="LNS113" s="64"/>
      <c r="LNT113" s="64"/>
      <c r="LNU113" s="64"/>
      <c r="LNV113" s="64"/>
      <c r="LNW113" s="64"/>
      <c r="LNX113" s="64"/>
      <c r="LNY113" s="64"/>
      <c r="LNZ113" s="64"/>
      <c r="LOA113" s="64"/>
      <c r="LOB113" s="64"/>
      <c r="LOC113" s="64"/>
      <c r="LOD113" s="64"/>
      <c r="LOE113" s="64"/>
      <c r="LOF113" s="64"/>
      <c r="LOG113" s="64"/>
      <c r="LOH113" s="64"/>
      <c r="LOI113" s="64"/>
      <c r="LOJ113" s="64"/>
      <c r="LOK113" s="64"/>
      <c r="LOL113" s="64"/>
      <c r="LOM113" s="64"/>
      <c r="LON113" s="64"/>
      <c r="LOO113" s="64"/>
      <c r="LOP113" s="64"/>
      <c r="LOQ113" s="64"/>
      <c r="LOR113" s="64"/>
      <c r="LOS113" s="64"/>
      <c r="LOT113" s="64"/>
      <c r="LOU113" s="64"/>
      <c r="LOV113" s="64"/>
      <c r="LOW113" s="64"/>
      <c r="LOX113" s="64"/>
      <c r="LOY113" s="64"/>
      <c r="LOZ113" s="64"/>
      <c r="LPA113" s="64"/>
      <c r="LPB113" s="64"/>
      <c r="LPC113" s="64"/>
      <c r="LPD113" s="64"/>
      <c r="LPE113" s="64"/>
      <c r="LPF113" s="64"/>
      <c r="LPG113" s="64"/>
      <c r="LPH113" s="64"/>
      <c r="LPI113" s="64"/>
      <c r="LPJ113" s="64"/>
      <c r="LPK113" s="64"/>
      <c r="LPL113" s="64"/>
      <c r="LPM113" s="64"/>
      <c r="LPN113" s="64"/>
      <c r="LPO113" s="64"/>
      <c r="LPP113" s="64"/>
      <c r="LPQ113" s="64"/>
      <c r="LPR113" s="64"/>
      <c r="LPS113" s="64"/>
      <c r="LPT113" s="64"/>
      <c r="LPU113" s="64"/>
      <c r="LPV113" s="64"/>
      <c r="LPW113" s="64"/>
      <c r="LPX113" s="64"/>
      <c r="LPY113" s="64"/>
      <c r="LPZ113" s="64"/>
      <c r="LQA113" s="64"/>
      <c r="LQB113" s="64"/>
      <c r="LQC113" s="64"/>
      <c r="LQD113" s="64"/>
      <c r="LQE113" s="64"/>
      <c r="LQF113" s="64"/>
      <c r="LQG113" s="64"/>
      <c r="LQH113" s="64"/>
      <c r="LQI113" s="64"/>
      <c r="LQJ113" s="64"/>
      <c r="LQK113" s="64"/>
      <c r="LQL113" s="64"/>
      <c r="LQM113" s="64"/>
      <c r="LQN113" s="64"/>
      <c r="LQO113" s="64"/>
      <c r="LQP113" s="64"/>
      <c r="LQQ113" s="64"/>
      <c r="LQR113" s="64"/>
      <c r="LQS113" s="64"/>
      <c r="LQT113" s="64"/>
      <c r="LQU113" s="64"/>
      <c r="LQV113" s="64"/>
      <c r="LQW113" s="64"/>
      <c r="LQX113" s="64"/>
      <c r="LQY113" s="64"/>
      <c r="LQZ113" s="64"/>
      <c r="LRA113" s="64"/>
      <c r="LRB113" s="64"/>
      <c r="LRC113" s="64"/>
      <c r="LRD113" s="64"/>
      <c r="LRE113" s="64"/>
      <c r="LRF113" s="64"/>
      <c r="LRG113" s="64"/>
      <c r="LRH113" s="64"/>
      <c r="LRI113" s="64"/>
      <c r="LRJ113" s="64"/>
      <c r="LRK113" s="64"/>
      <c r="LRL113" s="64"/>
      <c r="LRM113" s="64"/>
      <c r="LRN113" s="64"/>
      <c r="LRO113" s="64"/>
      <c r="LRP113" s="64"/>
      <c r="LRQ113" s="64"/>
      <c r="LRR113" s="64"/>
      <c r="LRS113" s="64"/>
      <c r="LRT113" s="64"/>
      <c r="LRU113" s="64"/>
      <c r="LRV113" s="64"/>
      <c r="LRW113" s="64"/>
      <c r="LRX113" s="64"/>
      <c r="LRY113" s="64"/>
      <c r="LRZ113" s="64"/>
      <c r="LSA113" s="64"/>
      <c r="LSB113" s="64"/>
      <c r="LSC113" s="64"/>
      <c r="LSD113" s="64"/>
      <c r="LSE113" s="64"/>
      <c r="LSF113" s="64"/>
      <c r="LSG113" s="64"/>
      <c r="LSH113" s="64"/>
      <c r="LSI113" s="64"/>
      <c r="LSJ113" s="64"/>
      <c r="LSK113" s="64"/>
      <c r="LSL113" s="64"/>
      <c r="LSM113" s="64"/>
      <c r="LSN113" s="64"/>
      <c r="LSO113" s="64"/>
      <c r="LSP113" s="64"/>
      <c r="LSQ113" s="64"/>
      <c r="LSR113" s="64"/>
      <c r="LSS113" s="64"/>
      <c r="LST113" s="64"/>
      <c r="LSU113" s="64"/>
      <c r="LSV113" s="64"/>
      <c r="LSW113" s="64"/>
      <c r="LSX113" s="64"/>
      <c r="LSY113" s="64"/>
      <c r="LSZ113" s="64"/>
      <c r="LTA113" s="64"/>
      <c r="LTB113" s="64"/>
      <c r="LTC113" s="64"/>
      <c r="LTD113" s="64"/>
      <c r="LTE113" s="64"/>
      <c r="LTF113" s="64"/>
      <c r="LTG113" s="64"/>
      <c r="LTH113" s="64"/>
      <c r="LTI113" s="64"/>
      <c r="LTJ113" s="64"/>
      <c r="LTK113" s="64"/>
      <c r="LTL113" s="64"/>
      <c r="LTM113" s="64"/>
      <c r="LTN113" s="64"/>
      <c r="LTO113" s="64"/>
      <c r="LTP113" s="64"/>
      <c r="LTQ113" s="64"/>
      <c r="LTR113" s="64"/>
      <c r="LTS113" s="64"/>
      <c r="LTT113" s="64"/>
      <c r="LTU113" s="64"/>
      <c r="LTV113" s="64"/>
      <c r="LTW113" s="64"/>
      <c r="LTX113" s="64"/>
      <c r="LTY113" s="64"/>
      <c r="LTZ113" s="64"/>
      <c r="LUA113" s="64"/>
      <c r="LUB113" s="64"/>
      <c r="LUC113" s="64"/>
      <c r="LUD113" s="64"/>
      <c r="LUE113" s="64"/>
      <c r="LUF113" s="64"/>
      <c r="LUG113" s="64"/>
      <c r="LUH113" s="64"/>
      <c r="LUI113" s="64"/>
      <c r="LUJ113" s="64"/>
      <c r="LUK113" s="64"/>
      <c r="LUL113" s="64"/>
      <c r="LUM113" s="64"/>
      <c r="LUN113" s="64"/>
      <c r="LUO113" s="64"/>
      <c r="LUP113" s="64"/>
      <c r="LUQ113" s="64"/>
      <c r="LUR113" s="64"/>
      <c r="LUS113" s="64"/>
      <c r="LUT113" s="64"/>
      <c r="LUU113" s="64"/>
      <c r="LUV113" s="64"/>
      <c r="LUW113" s="64"/>
      <c r="LUX113" s="64"/>
      <c r="LUY113" s="64"/>
      <c r="LUZ113" s="64"/>
      <c r="LVA113" s="64"/>
      <c r="LVB113" s="64"/>
      <c r="LVC113" s="64"/>
      <c r="LVD113" s="64"/>
      <c r="LVE113" s="64"/>
      <c r="LVF113" s="64"/>
      <c r="LVG113" s="64"/>
      <c r="LVH113" s="64"/>
      <c r="LVI113" s="64"/>
      <c r="LVJ113" s="64"/>
      <c r="LVK113" s="64"/>
      <c r="LVL113" s="64"/>
      <c r="LVM113" s="64"/>
      <c r="LVN113" s="64"/>
      <c r="LVO113" s="64"/>
      <c r="LVP113" s="64"/>
      <c r="LVQ113" s="64"/>
      <c r="LVR113" s="64"/>
      <c r="LVS113" s="64"/>
      <c r="LVT113" s="64"/>
      <c r="LVU113" s="64"/>
      <c r="LVV113" s="64"/>
      <c r="LVW113" s="64"/>
      <c r="LVX113" s="64"/>
      <c r="LVY113" s="64"/>
      <c r="LVZ113" s="64"/>
      <c r="LWA113" s="64"/>
      <c r="LWB113" s="64"/>
      <c r="LWC113" s="64"/>
      <c r="LWD113" s="64"/>
      <c r="LWE113" s="64"/>
      <c r="LWF113" s="64"/>
      <c r="LWG113" s="64"/>
      <c r="LWH113" s="64"/>
      <c r="LWI113" s="64"/>
      <c r="LWJ113" s="64"/>
      <c r="LWK113" s="64"/>
      <c r="LWL113" s="64"/>
      <c r="LWM113" s="64"/>
      <c r="LWN113" s="64"/>
      <c r="LWO113" s="64"/>
      <c r="LWP113" s="64"/>
      <c r="LWQ113" s="64"/>
      <c r="LWR113" s="64"/>
      <c r="LWS113" s="64"/>
      <c r="LWT113" s="64"/>
      <c r="LWU113" s="64"/>
      <c r="LWV113" s="64"/>
      <c r="LWW113" s="64"/>
      <c r="LWX113" s="64"/>
      <c r="LWY113" s="64"/>
      <c r="LWZ113" s="64"/>
      <c r="LXA113" s="64"/>
      <c r="LXB113" s="64"/>
      <c r="LXC113" s="64"/>
      <c r="LXD113" s="64"/>
      <c r="LXE113" s="64"/>
      <c r="LXF113" s="64"/>
      <c r="LXG113" s="64"/>
      <c r="LXH113" s="64"/>
      <c r="LXI113" s="64"/>
      <c r="LXJ113" s="64"/>
      <c r="LXK113" s="64"/>
      <c r="LXL113" s="64"/>
      <c r="LXM113" s="64"/>
      <c r="LXN113" s="64"/>
      <c r="LXO113" s="64"/>
      <c r="LXP113" s="64"/>
      <c r="LXQ113" s="64"/>
      <c r="LXR113" s="64"/>
      <c r="LXS113" s="64"/>
      <c r="LXT113" s="64"/>
      <c r="LXU113" s="64"/>
      <c r="LXV113" s="64"/>
      <c r="LXW113" s="64"/>
      <c r="LXX113" s="64"/>
      <c r="LXY113" s="64"/>
      <c r="LXZ113" s="64"/>
      <c r="LYA113" s="64"/>
      <c r="LYB113" s="64"/>
      <c r="LYC113" s="64"/>
      <c r="LYD113" s="64"/>
      <c r="LYE113" s="64"/>
      <c r="LYF113" s="64"/>
      <c r="LYG113" s="64"/>
      <c r="LYH113" s="64"/>
      <c r="LYI113" s="64"/>
      <c r="LYJ113" s="64"/>
      <c r="LYK113" s="64"/>
      <c r="LYL113" s="64"/>
      <c r="LYM113" s="64"/>
      <c r="LYN113" s="64"/>
      <c r="LYO113" s="64"/>
      <c r="LYP113" s="64"/>
      <c r="LYQ113" s="64"/>
      <c r="LYR113" s="64"/>
      <c r="LYS113" s="64"/>
      <c r="LYT113" s="64"/>
      <c r="LYU113" s="64"/>
      <c r="LYV113" s="64"/>
      <c r="LYW113" s="64"/>
      <c r="LYX113" s="64"/>
      <c r="LYY113" s="64"/>
      <c r="LYZ113" s="64"/>
      <c r="LZA113" s="64"/>
      <c r="LZB113" s="64"/>
      <c r="LZC113" s="64"/>
      <c r="LZD113" s="64"/>
      <c r="LZE113" s="64"/>
      <c r="LZF113" s="64"/>
      <c r="LZG113" s="64"/>
      <c r="LZH113" s="64"/>
      <c r="LZI113" s="64"/>
      <c r="LZJ113" s="64"/>
      <c r="LZK113" s="64"/>
      <c r="LZL113" s="64"/>
      <c r="LZM113" s="64"/>
      <c r="LZN113" s="64"/>
      <c r="LZO113" s="64"/>
      <c r="LZP113" s="64"/>
      <c r="LZQ113" s="64"/>
      <c r="LZR113" s="64"/>
      <c r="LZS113" s="64"/>
      <c r="LZT113" s="64"/>
      <c r="LZU113" s="64"/>
      <c r="LZV113" s="64"/>
      <c r="LZW113" s="64"/>
      <c r="LZX113" s="64"/>
      <c r="LZY113" s="64"/>
      <c r="LZZ113" s="64"/>
      <c r="MAA113" s="64"/>
      <c r="MAB113" s="64"/>
      <c r="MAC113" s="64"/>
      <c r="MAD113" s="64"/>
      <c r="MAE113" s="64"/>
      <c r="MAF113" s="64"/>
      <c r="MAG113" s="64"/>
      <c r="MAH113" s="64"/>
      <c r="MAI113" s="64"/>
      <c r="MAJ113" s="64"/>
      <c r="MAK113" s="64"/>
      <c r="MAL113" s="64"/>
      <c r="MAM113" s="64"/>
      <c r="MAN113" s="64"/>
      <c r="MAO113" s="64"/>
      <c r="MAP113" s="64"/>
      <c r="MAQ113" s="64"/>
      <c r="MAR113" s="64"/>
      <c r="MAS113" s="64"/>
      <c r="MAT113" s="64"/>
      <c r="MAU113" s="64"/>
      <c r="MAV113" s="64"/>
      <c r="MAW113" s="64"/>
      <c r="MAX113" s="64"/>
      <c r="MAY113" s="64"/>
      <c r="MAZ113" s="64"/>
      <c r="MBA113" s="64"/>
      <c r="MBB113" s="64"/>
      <c r="MBC113" s="64"/>
      <c r="MBD113" s="64"/>
      <c r="MBE113" s="64"/>
      <c r="MBF113" s="64"/>
      <c r="MBG113" s="64"/>
      <c r="MBH113" s="64"/>
      <c r="MBI113" s="64"/>
      <c r="MBJ113" s="64"/>
      <c r="MBK113" s="64"/>
      <c r="MBL113" s="64"/>
      <c r="MBM113" s="64"/>
      <c r="MBN113" s="64"/>
      <c r="MBO113" s="64"/>
      <c r="MBP113" s="64"/>
      <c r="MBQ113" s="64"/>
      <c r="MBR113" s="64"/>
      <c r="MBS113" s="64"/>
      <c r="MBT113" s="64"/>
      <c r="MBU113" s="64"/>
      <c r="MBV113" s="64"/>
      <c r="MBW113" s="64"/>
      <c r="MBX113" s="64"/>
      <c r="MBY113" s="64"/>
      <c r="MBZ113" s="64"/>
      <c r="MCA113" s="64"/>
      <c r="MCB113" s="64"/>
      <c r="MCC113" s="64"/>
      <c r="MCD113" s="64"/>
      <c r="MCE113" s="64"/>
      <c r="MCF113" s="64"/>
      <c r="MCG113" s="64"/>
      <c r="MCH113" s="64"/>
      <c r="MCI113" s="64"/>
      <c r="MCJ113" s="64"/>
      <c r="MCK113" s="64"/>
      <c r="MCL113" s="64"/>
      <c r="MCM113" s="64"/>
      <c r="MCN113" s="64"/>
      <c r="MCO113" s="64"/>
      <c r="MCP113" s="64"/>
      <c r="MCQ113" s="64"/>
      <c r="MCR113" s="64"/>
      <c r="MCS113" s="64"/>
      <c r="MCT113" s="64"/>
      <c r="MCU113" s="64"/>
      <c r="MCV113" s="64"/>
      <c r="MCW113" s="64"/>
      <c r="MCX113" s="64"/>
      <c r="MCY113" s="64"/>
      <c r="MCZ113" s="64"/>
      <c r="MDA113" s="64"/>
      <c r="MDB113" s="64"/>
      <c r="MDC113" s="64"/>
      <c r="MDD113" s="64"/>
      <c r="MDE113" s="64"/>
      <c r="MDF113" s="64"/>
      <c r="MDG113" s="64"/>
      <c r="MDH113" s="64"/>
      <c r="MDI113" s="64"/>
      <c r="MDJ113" s="64"/>
      <c r="MDK113" s="64"/>
      <c r="MDL113" s="64"/>
      <c r="MDM113" s="64"/>
      <c r="MDN113" s="64"/>
      <c r="MDO113" s="64"/>
      <c r="MDP113" s="64"/>
      <c r="MDQ113" s="64"/>
      <c r="MDR113" s="64"/>
      <c r="MDS113" s="64"/>
      <c r="MDT113" s="64"/>
      <c r="MDU113" s="64"/>
      <c r="MDV113" s="64"/>
      <c r="MDW113" s="64"/>
      <c r="MDX113" s="64"/>
      <c r="MDY113" s="64"/>
      <c r="MDZ113" s="64"/>
      <c r="MEA113" s="64"/>
      <c r="MEB113" s="64"/>
      <c r="MEC113" s="64"/>
      <c r="MED113" s="64"/>
      <c r="MEE113" s="64"/>
      <c r="MEF113" s="64"/>
      <c r="MEG113" s="64"/>
      <c r="MEH113" s="64"/>
      <c r="MEI113" s="64"/>
      <c r="MEJ113" s="64"/>
      <c r="MEK113" s="64"/>
      <c r="MEL113" s="64"/>
      <c r="MEM113" s="64"/>
      <c r="MEN113" s="64"/>
      <c r="MEO113" s="64"/>
      <c r="MEP113" s="64"/>
      <c r="MEQ113" s="64"/>
      <c r="MER113" s="64"/>
      <c r="MES113" s="64"/>
      <c r="MET113" s="64"/>
      <c r="MEU113" s="64"/>
      <c r="MEV113" s="64"/>
      <c r="MEW113" s="64"/>
      <c r="MEX113" s="64"/>
      <c r="MEY113" s="64"/>
      <c r="MEZ113" s="64"/>
      <c r="MFA113" s="64"/>
      <c r="MFB113" s="64"/>
      <c r="MFC113" s="64"/>
      <c r="MFD113" s="64"/>
      <c r="MFE113" s="64"/>
      <c r="MFF113" s="64"/>
      <c r="MFG113" s="64"/>
      <c r="MFH113" s="64"/>
      <c r="MFI113" s="64"/>
      <c r="MFJ113" s="64"/>
      <c r="MFK113" s="64"/>
      <c r="MFL113" s="64"/>
      <c r="MFM113" s="64"/>
      <c r="MFN113" s="64"/>
      <c r="MFO113" s="64"/>
      <c r="MFP113" s="64"/>
      <c r="MFQ113" s="64"/>
      <c r="MFR113" s="64"/>
      <c r="MFS113" s="64"/>
      <c r="MFT113" s="64"/>
      <c r="MFU113" s="64"/>
      <c r="MFV113" s="64"/>
      <c r="MFW113" s="64"/>
      <c r="MFX113" s="64"/>
      <c r="MFY113" s="64"/>
      <c r="MFZ113" s="64"/>
      <c r="MGA113" s="64"/>
      <c r="MGB113" s="64"/>
      <c r="MGC113" s="64"/>
      <c r="MGD113" s="64"/>
      <c r="MGE113" s="64"/>
      <c r="MGF113" s="64"/>
      <c r="MGG113" s="64"/>
      <c r="MGH113" s="64"/>
      <c r="MGI113" s="64"/>
      <c r="MGJ113" s="64"/>
      <c r="MGK113" s="64"/>
      <c r="MGL113" s="64"/>
      <c r="MGM113" s="64"/>
      <c r="MGN113" s="64"/>
      <c r="MGO113" s="64"/>
      <c r="MGP113" s="64"/>
      <c r="MGQ113" s="64"/>
      <c r="MGR113" s="64"/>
      <c r="MGS113" s="64"/>
      <c r="MGT113" s="64"/>
      <c r="MGU113" s="64"/>
      <c r="MGV113" s="64"/>
      <c r="MGW113" s="64"/>
      <c r="MGX113" s="64"/>
      <c r="MGY113" s="64"/>
      <c r="MGZ113" s="64"/>
      <c r="MHA113" s="64"/>
      <c r="MHB113" s="64"/>
      <c r="MHC113" s="64"/>
      <c r="MHD113" s="64"/>
      <c r="MHE113" s="64"/>
      <c r="MHF113" s="64"/>
      <c r="MHG113" s="64"/>
      <c r="MHH113" s="64"/>
      <c r="MHI113" s="64"/>
      <c r="MHJ113" s="64"/>
      <c r="MHK113" s="64"/>
      <c r="MHL113" s="64"/>
      <c r="MHM113" s="64"/>
      <c r="MHN113" s="64"/>
      <c r="MHO113" s="64"/>
      <c r="MHP113" s="64"/>
      <c r="MHQ113" s="64"/>
      <c r="MHR113" s="64"/>
      <c r="MHS113" s="64"/>
      <c r="MHT113" s="64"/>
      <c r="MHU113" s="64"/>
      <c r="MHV113" s="64"/>
      <c r="MHW113" s="64"/>
      <c r="MHX113" s="64"/>
      <c r="MHY113" s="64"/>
      <c r="MHZ113" s="64"/>
      <c r="MIA113" s="64"/>
      <c r="MIB113" s="64"/>
      <c r="MIC113" s="64"/>
      <c r="MID113" s="64"/>
      <c r="MIE113" s="64"/>
      <c r="MIF113" s="64"/>
      <c r="MIG113" s="64"/>
      <c r="MIH113" s="64"/>
      <c r="MII113" s="64"/>
      <c r="MIJ113" s="64"/>
      <c r="MIK113" s="64"/>
      <c r="MIL113" s="64"/>
      <c r="MIM113" s="64"/>
      <c r="MIN113" s="64"/>
      <c r="MIO113" s="64"/>
      <c r="MIP113" s="64"/>
      <c r="MIQ113" s="64"/>
      <c r="MIR113" s="64"/>
      <c r="MIS113" s="64"/>
      <c r="MIT113" s="64"/>
      <c r="MIU113" s="64"/>
      <c r="MIV113" s="64"/>
      <c r="MIW113" s="64"/>
      <c r="MIX113" s="64"/>
      <c r="MIY113" s="64"/>
      <c r="MIZ113" s="64"/>
      <c r="MJA113" s="64"/>
      <c r="MJB113" s="64"/>
      <c r="MJC113" s="64"/>
      <c r="MJD113" s="64"/>
      <c r="MJE113" s="64"/>
      <c r="MJF113" s="64"/>
      <c r="MJG113" s="64"/>
      <c r="MJH113" s="64"/>
      <c r="MJI113" s="64"/>
      <c r="MJJ113" s="64"/>
      <c r="MJK113" s="64"/>
      <c r="MJL113" s="64"/>
      <c r="MJM113" s="64"/>
      <c r="MJN113" s="64"/>
      <c r="MJO113" s="64"/>
      <c r="MJP113" s="64"/>
      <c r="MJQ113" s="64"/>
      <c r="MJR113" s="64"/>
      <c r="MJS113" s="64"/>
      <c r="MJT113" s="64"/>
      <c r="MJU113" s="64"/>
      <c r="MJV113" s="64"/>
      <c r="MJW113" s="64"/>
      <c r="MJX113" s="64"/>
      <c r="MJY113" s="64"/>
      <c r="MJZ113" s="64"/>
      <c r="MKA113" s="64"/>
      <c r="MKB113" s="64"/>
      <c r="MKC113" s="64"/>
      <c r="MKD113" s="64"/>
      <c r="MKE113" s="64"/>
      <c r="MKF113" s="64"/>
      <c r="MKG113" s="64"/>
      <c r="MKH113" s="64"/>
      <c r="MKI113" s="64"/>
      <c r="MKJ113" s="64"/>
      <c r="MKK113" s="64"/>
      <c r="MKL113" s="64"/>
      <c r="MKM113" s="64"/>
      <c r="MKN113" s="64"/>
      <c r="MKO113" s="64"/>
      <c r="MKP113" s="64"/>
      <c r="MKQ113" s="64"/>
      <c r="MKR113" s="64"/>
      <c r="MKS113" s="64"/>
      <c r="MKT113" s="64"/>
      <c r="MKU113" s="64"/>
      <c r="MKV113" s="64"/>
      <c r="MKW113" s="64"/>
      <c r="MKX113" s="64"/>
      <c r="MKY113" s="64"/>
      <c r="MKZ113" s="64"/>
      <c r="MLA113" s="64"/>
      <c r="MLB113" s="64"/>
      <c r="MLC113" s="64"/>
      <c r="MLD113" s="64"/>
      <c r="MLE113" s="64"/>
      <c r="MLF113" s="64"/>
      <c r="MLG113" s="64"/>
      <c r="MLH113" s="64"/>
      <c r="MLI113" s="64"/>
      <c r="MLJ113" s="64"/>
      <c r="MLK113" s="64"/>
      <c r="MLL113" s="64"/>
      <c r="MLM113" s="64"/>
      <c r="MLN113" s="64"/>
      <c r="MLO113" s="64"/>
      <c r="MLP113" s="64"/>
      <c r="MLQ113" s="64"/>
      <c r="MLR113" s="64"/>
      <c r="MLS113" s="64"/>
      <c r="MLT113" s="64"/>
      <c r="MLU113" s="64"/>
      <c r="MLV113" s="64"/>
      <c r="MLW113" s="64"/>
      <c r="MLX113" s="64"/>
      <c r="MLY113" s="64"/>
      <c r="MLZ113" s="64"/>
      <c r="MMA113" s="64"/>
      <c r="MMB113" s="64"/>
      <c r="MMC113" s="64"/>
      <c r="MMD113" s="64"/>
      <c r="MME113" s="64"/>
      <c r="MMF113" s="64"/>
      <c r="MMG113" s="64"/>
      <c r="MMH113" s="64"/>
      <c r="MMI113" s="64"/>
      <c r="MMJ113" s="64"/>
      <c r="MMK113" s="64"/>
      <c r="MML113" s="64"/>
      <c r="MMM113" s="64"/>
      <c r="MMN113" s="64"/>
      <c r="MMO113" s="64"/>
      <c r="MMP113" s="64"/>
      <c r="MMQ113" s="64"/>
      <c r="MMR113" s="64"/>
      <c r="MMS113" s="64"/>
      <c r="MMT113" s="64"/>
      <c r="MMU113" s="64"/>
      <c r="MMV113" s="64"/>
      <c r="MMW113" s="64"/>
      <c r="MMX113" s="64"/>
      <c r="MMY113" s="64"/>
      <c r="MMZ113" s="64"/>
      <c r="MNA113" s="64"/>
      <c r="MNB113" s="64"/>
      <c r="MNC113" s="64"/>
      <c r="MND113" s="64"/>
      <c r="MNE113" s="64"/>
      <c r="MNF113" s="64"/>
      <c r="MNG113" s="64"/>
      <c r="MNH113" s="64"/>
      <c r="MNI113" s="64"/>
      <c r="MNJ113" s="64"/>
      <c r="MNK113" s="64"/>
      <c r="MNL113" s="64"/>
      <c r="MNM113" s="64"/>
      <c r="MNN113" s="64"/>
      <c r="MNO113" s="64"/>
      <c r="MNP113" s="64"/>
      <c r="MNQ113" s="64"/>
      <c r="MNR113" s="64"/>
      <c r="MNS113" s="64"/>
      <c r="MNT113" s="64"/>
      <c r="MNU113" s="64"/>
      <c r="MNV113" s="64"/>
      <c r="MNW113" s="64"/>
      <c r="MNX113" s="64"/>
      <c r="MNY113" s="64"/>
      <c r="MNZ113" s="64"/>
      <c r="MOA113" s="64"/>
      <c r="MOB113" s="64"/>
      <c r="MOC113" s="64"/>
      <c r="MOD113" s="64"/>
      <c r="MOE113" s="64"/>
      <c r="MOF113" s="64"/>
      <c r="MOG113" s="64"/>
      <c r="MOH113" s="64"/>
      <c r="MOI113" s="64"/>
      <c r="MOJ113" s="64"/>
      <c r="MOK113" s="64"/>
      <c r="MOL113" s="64"/>
      <c r="MOM113" s="64"/>
      <c r="MON113" s="64"/>
      <c r="MOO113" s="64"/>
      <c r="MOP113" s="64"/>
      <c r="MOQ113" s="64"/>
      <c r="MOR113" s="64"/>
      <c r="MOS113" s="64"/>
      <c r="MOT113" s="64"/>
      <c r="MOU113" s="64"/>
      <c r="MOV113" s="64"/>
      <c r="MOW113" s="64"/>
      <c r="MOX113" s="64"/>
      <c r="MOY113" s="64"/>
      <c r="MOZ113" s="64"/>
      <c r="MPA113" s="64"/>
      <c r="MPB113" s="64"/>
      <c r="MPC113" s="64"/>
      <c r="MPD113" s="64"/>
      <c r="MPE113" s="64"/>
      <c r="MPF113" s="64"/>
      <c r="MPG113" s="64"/>
      <c r="MPH113" s="64"/>
      <c r="MPI113" s="64"/>
      <c r="MPJ113" s="64"/>
      <c r="MPK113" s="64"/>
      <c r="MPL113" s="64"/>
      <c r="MPM113" s="64"/>
      <c r="MPN113" s="64"/>
      <c r="MPO113" s="64"/>
      <c r="MPP113" s="64"/>
      <c r="MPQ113" s="64"/>
      <c r="MPR113" s="64"/>
      <c r="MPS113" s="64"/>
      <c r="MPT113" s="64"/>
      <c r="MPU113" s="64"/>
      <c r="MPV113" s="64"/>
      <c r="MPW113" s="64"/>
      <c r="MPX113" s="64"/>
      <c r="MPY113" s="64"/>
      <c r="MPZ113" s="64"/>
      <c r="MQA113" s="64"/>
      <c r="MQB113" s="64"/>
      <c r="MQC113" s="64"/>
      <c r="MQD113" s="64"/>
      <c r="MQE113" s="64"/>
      <c r="MQF113" s="64"/>
      <c r="MQG113" s="64"/>
      <c r="MQH113" s="64"/>
      <c r="MQI113" s="64"/>
      <c r="MQJ113" s="64"/>
      <c r="MQK113" s="64"/>
      <c r="MQL113" s="64"/>
      <c r="MQM113" s="64"/>
      <c r="MQN113" s="64"/>
      <c r="MQO113" s="64"/>
      <c r="MQP113" s="64"/>
      <c r="MQQ113" s="64"/>
      <c r="MQR113" s="64"/>
      <c r="MQS113" s="64"/>
      <c r="MQT113" s="64"/>
      <c r="MQU113" s="64"/>
      <c r="MQV113" s="64"/>
      <c r="MQW113" s="64"/>
      <c r="MQX113" s="64"/>
      <c r="MQY113" s="64"/>
      <c r="MQZ113" s="64"/>
      <c r="MRA113" s="64"/>
      <c r="MRB113" s="64"/>
      <c r="MRC113" s="64"/>
      <c r="MRD113" s="64"/>
      <c r="MRE113" s="64"/>
      <c r="MRF113" s="64"/>
      <c r="MRG113" s="64"/>
      <c r="MRH113" s="64"/>
      <c r="MRI113" s="64"/>
      <c r="MRJ113" s="64"/>
      <c r="MRK113" s="64"/>
      <c r="MRL113" s="64"/>
      <c r="MRM113" s="64"/>
      <c r="MRN113" s="64"/>
      <c r="MRO113" s="64"/>
      <c r="MRP113" s="64"/>
      <c r="MRQ113" s="64"/>
      <c r="MRR113" s="64"/>
      <c r="MRS113" s="64"/>
      <c r="MRT113" s="64"/>
      <c r="MRU113" s="64"/>
      <c r="MRV113" s="64"/>
      <c r="MRW113" s="64"/>
      <c r="MRX113" s="64"/>
      <c r="MRY113" s="64"/>
      <c r="MRZ113" s="64"/>
      <c r="MSA113" s="64"/>
      <c r="MSB113" s="64"/>
      <c r="MSC113" s="64"/>
      <c r="MSD113" s="64"/>
      <c r="MSE113" s="64"/>
      <c r="MSF113" s="64"/>
      <c r="MSG113" s="64"/>
      <c r="MSH113" s="64"/>
      <c r="MSI113" s="64"/>
      <c r="MSJ113" s="64"/>
      <c r="MSK113" s="64"/>
      <c r="MSL113" s="64"/>
      <c r="MSM113" s="64"/>
      <c r="MSN113" s="64"/>
      <c r="MSO113" s="64"/>
      <c r="MSP113" s="64"/>
      <c r="MSQ113" s="64"/>
      <c r="MSR113" s="64"/>
      <c r="MSS113" s="64"/>
      <c r="MST113" s="64"/>
      <c r="MSU113" s="64"/>
      <c r="MSV113" s="64"/>
      <c r="MSW113" s="64"/>
      <c r="MSX113" s="64"/>
      <c r="MSY113" s="64"/>
      <c r="MSZ113" s="64"/>
      <c r="MTA113" s="64"/>
      <c r="MTB113" s="64"/>
      <c r="MTC113" s="64"/>
      <c r="MTD113" s="64"/>
      <c r="MTE113" s="64"/>
      <c r="MTF113" s="64"/>
      <c r="MTG113" s="64"/>
      <c r="MTH113" s="64"/>
      <c r="MTI113" s="64"/>
      <c r="MTJ113" s="64"/>
      <c r="MTK113" s="64"/>
      <c r="MTL113" s="64"/>
      <c r="MTM113" s="64"/>
      <c r="MTN113" s="64"/>
      <c r="MTO113" s="64"/>
      <c r="MTP113" s="64"/>
      <c r="MTQ113" s="64"/>
      <c r="MTR113" s="64"/>
      <c r="MTS113" s="64"/>
      <c r="MTT113" s="64"/>
      <c r="MTU113" s="64"/>
      <c r="MTV113" s="64"/>
      <c r="MTW113" s="64"/>
      <c r="MTX113" s="64"/>
      <c r="MTY113" s="64"/>
      <c r="MTZ113" s="64"/>
      <c r="MUA113" s="64"/>
      <c r="MUB113" s="64"/>
      <c r="MUC113" s="64"/>
      <c r="MUD113" s="64"/>
      <c r="MUE113" s="64"/>
      <c r="MUF113" s="64"/>
      <c r="MUG113" s="64"/>
      <c r="MUH113" s="64"/>
      <c r="MUI113" s="64"/>
      <c r="MUJ113" s="64"/>
      <c r="MUK113" s="64"/>
      <c r="MUL113" s="64"/>
      <c r="MUM113" s="64"/>
      <c r="MUN113" s="64"/>
      <c r="MUO113" s="64"/>
      <c r="MUP113" s="64"/>
      <c r="MUQ113" s="64"/>
      <c r="MUR113" s="64"/>
      <c r="MUS113" s="64"/>
      <c r="MUT113" s="64"/>
      <c r="MUU113" s="64"/>
      <c r="MUV113" s="64"/>
      <c r="MUW113" s="64"/>
      <c r="MUX113" s="64"/>
      <c r="MUY113" s="64"/>
      <c r="MUZ113" s="64"/>
      <c r="MVA113" s="64"/>
      <c r="MVB113" s="64"/>
      <c r="MVC113" s="64"/>
      <c r="MVD113" s="64"/>
      <c r="MVE113" s="64"/>
      <c r="MVF113" s="64"/>
      <c r="MVG113" s="64"/>
      <c r="MVH113" s="64"/>
      <c r="MVI113" s="64"/>
      <c r="MVJ113" s="64"/>
      <c r="MVK113" s="64"/>
      <c r="MVL113" s="64"/>
      <c r="MVM113" s="64"/>
      <c r="MVN113" s="64"/>
      <c r="MVO113" s="64"/>
      <c r="MVP113" s="64"/>
      <c r="MVQ113" s="64"/>
      <c r="MVR113" s="64"/>
      <c r="MVS113" s="64"/>
      <c r="MVT113" s="64"/>
      <c r="MVU113" s="64"/>
      <c r="MVV113" s="64"/>
      <c r="MVW113" s="64"/>
      <c r="MVX113" s="64"/>
      <c r="MVY113" s="64"/>
      <c r="MVZ113" s="64"/>
      <c r="MWA113" s="64"/>
      <c r="MWB113" s="64"/>
      <c r="MWC113" s="64"/>
      <c r="MWD113" s="64"/>
      <c r="MWE113" s="64"/>
      <c r="MWF113" s="64"/>
      <c r="MWG113" s="64"/>
      <c r="MWH113" s="64"/>
      <c r="MWI113" s="64"/>
      <c r="MWJ113" s="64"/>
      <c r="MWK113" s="64"/>
      <c r="MWL113" s="64"/>
      <c r="MWM113" s="64"/>
      <c r="MWN113" s="64"/>
      <c r="MWO113" s="64"/>
      <c r="MWP113" s="64"/>
      <c r="MWQ113" s="64"/>
      <c r="MWR113" s="64"/>
      <c r="MWS113" s="64"/>
      <c r="MWT113" s="64"/>
      <c r="MWU113" s="64"/>
      <c r="MWV113" s="64"/>
      <c r="MWW113" s="64"/>
      <c r="MWX113" s="64"/>
      <c r="MWY113" s="64"/>
      <c r="MWZ113" s="64"/>
      <c r="MXA113" s="64"/>
      <c r="MXB113" s="64"/>
      <c r="MXC113" s="64"/>
      <c r="MXD113" s="64"/>
      <c r="MXE113" s="64"/>
      <c r="MXF113" s="64"/>
      <c r="MXG113" s="64"/>
      <c r="MXH113" s="64"/>
      <c r="MXI113" s="64"/>
      <c r="MXJ113" s="64"/>
      <c r="MXK113" s="64"/>
      <c r="MXL113" s="64"/>
      <c r="MXM113" s="64"/>
      <c r="MXN113" s="64"/>
      <c r="MXO113" s="64"/>
      <c r="MXP113" s="64"/>
      <c r="MXQ113" s="64"/>
      <c r="MXR113" s="64"/>
      <c r="MXS113" s="64"/>
      <c r="MXT113" s="64"/>
      <c r="MXU113" s="64"/>
      <c r="MXV113" s="64"/>
      <c r="MXW113" s="64"/>
      <c r="MXX113" s="64"/>
      <c r="MXY113" s="64"/>
      <c r="MXZ113" s="64"/>
      <c r="MYA113" s="64"/>
      <c r="MYB113" s="64"/>
      <c r="MYC113" s="64"/>
      <c r="MYD113" s="64"/>
      <c r="MYE113" s="64"/>
      <c r="MYF113" s="64"/>
      <c r="MYG113" s="64"/>
      <c r="MYH113" s="64"/>
      <c r="MYI113" s="64"/>
      <c r="MYJ113" s="64"/>
      <c r="MYK113" s="64"/>
      <c r="MYL113" s="64"/>
      <c r="MYM113" s="64"/>
      <c r="MYN113" s="64"/>
      <c r="MYO113" s="64"/>
      <c r="MYP113" s="64"/>
      <c r="MYQ113" s="64"/>
      <c r="MYR113" s="64"/>
      <c r="MYS113" s="64"/>
      <c r="MYT113" s="64"/>
      <c r="MYU113" s="64"/>
      <c r="MYV113" s="64"/>
      <c r="MYW113" s="64"/>
      <c r="MYX113" s="64"/>
      <c r="MYY113" s="64"/>
      <c r="MYZ113" s="64"/>
      <c r="MZA113" s="64"/>
      <c r="MZB113" s="64"/>
      <c r="MZC113" s="64"/>
      <c r="MZD113" s="64"/>
      <c r="MZE113" s="64"/>
      <c r="MZF113" s="64"/>
      <c r="MZG113" s="64"/>
      <c r="MZH113" s="64"/>
      <c r="MZI113" s="64"/>
      <c r="MZJ113" s="64"/>
      <c r="MZK113" s="64"/>
      <c r="MZL113" s="64"/>
      <c r="MZM113" s="64"/>
      <c r="MZN113" s="64"/>
      <c r="MZO113" s="64"/>
      <c r="MZP113" s="64"/>
      <c r="MZQ113" s="64"/>
      <c r="MZR113" s="64"/>
      <c r="MZS113" s="64"/>
      <c r="MZT113" s="64"/>
      <c r="MZU113" s="64"/>
      <c r="MZV113" s="64"/>
      <c r="MZW113" s="64"/>
      <c r="MZX113" s="64"/>
      <c r="MZY113" s="64"/>
      <c r="MZZ113" s="64"/>
      <c r="NAA113" s="64"/>
      <c r="NAB113" s="64"/>
      <c r="NAC113" s="64"/>
      <c r="NAD113" s="64"/>
      <c r="NAE113" s="64"/>
      <c r="NAF113" s="64"/>
      <c r="NAG113" s="64"/>
      <c r="NAH113" s="64"/>
      <c r="NAI113" s="64"/>
      <c r="NAJ113" s="64"/>
      <c r="NAK113" s="64"/>
      <c r="NAL113" s="64"/>
      <c r="NAM113" s="64"/>
      <c r="NAN113" s="64"/>
      <c r="NAO113" s="64"/>
      <c r="NAP113" s="64"/>
      <c r="NAQ113" s="64"/>
      <c r="NAR113" s="64"/>
      <c r="NAS113" s="64"/>
      <c r="NAT113" s="64"/>
      <c r="NAU113" s="64"/>
      <c r="NAV113" s="64"/>
      <c r="NAW113" s="64"/>
      <c r="NAX113" s="64"/>
      <c r="NAY113" s="64"/>
      <c r="NAZ113" s="64"/>
      <c r="NBA113" s="64"/>
      <c r="NBB113" s="64"/>
      <c r="NBC113" s="64"/>
      <c r="NBD113" s="64"/>
      <c r="NBE113" s="64"/>
      <c r="NBF113" s="64"/>
      <c r="NBG113" s="64"/>
      <c r="NBH113" s="64"/>
      <c r="NBI113" s="64"/>
      <c r="NBJ113" s="64"/>
      <c r="NBK113" s="64"/>
      <c r="NBL113" s="64"/>
      <c r="NBM113" s="64"/>
      <c r="NBN113" s="64"/>
      <c r="NBO113" s="64"/>
      <c r="NBP113" s="64"/>
      <c r="NBQ113" s="64"/>
      <c r="NBR113" s="64"/>
      <c r="NBS113" s="64"/>
      <c r="NBT113" s="64"/>
      <c r="NBU113" s="64"/>
      <c r="NBV113" s="64"/>
      <c r="NBW113" s="64"/>
      <c r="NBX113" s="64"/>
      <c r="NBY113" s="64"/>
      <c r="NBZ113" s="64"/>
      <c r="NCA113" s="64"/>
      <c r="NCB113" s="64"/>
      <c r="NCC113" s="64"/>
      <c r="NCD113" s="64"/>
      <c r="NCE113" s="64"/>
      <c r="NCF113" s="64"/>
      <c r="NCG113" s="64"/>
      <c r="NCH113" s="64"/>
      <c r="NCI113" s="64"/>
      <c r="NCJ113" s="64"/>
      <c r="NCK113" s="64"/>
      <c r="NCL113" s="64"/>
      <c r="NCM113" s="64"/>
      <c r="NCN113" s="64"/>
      <c r="NCO113" s="64"/>
      <c r="NCP113" s="64"/>
      <c r="NCQ113" s="64"/>
      <c r="NCR113" s="64"/>
      <c r="NCS113" s="64"/>
      <c r="NCT113" s="64"/>
      <c r="NCU113" s="64"/>
      <c r="NCV113" s="64"/>
      <c r="NCW113" s="64"/>
      <c r="NCX113" s="64"/>
      <c r="NCY113" s="64"/>
      <c r="NCZ113" s="64"/>
      <c r="NDA113" s="64"/>
      <c r="NDB113" s="64"/>
      <c r="NDC113" s="64"/>
      <c r="NDD113" s="64"/>
      <c r="NDE113" s="64"/>
      <c r="NDF113" s="64"/>
      <c r="NDG113" s="64"/>
      <c r="NDH113" s="64"/>
      <c r="NDI113" s="64"/>
      <c r="NDJ113" s="64"/>
      <c r="NDK113" s="64"/>
      <c r="NDL113" s="64"/>
      <c r="NDM113" s="64"/>
      <c r="NDN113" s="64"/>
      <c r="NDO113" s="64"/>
      <c r="NDP113" s="64"/>
      <c r="NDQ113" s="64"/>
      <c r="NDR113" s="64"/>
      <c r="NDS113" s="64"/>
      <c r="NDT113" s="64"/>
      <c r="NDU113" s="64"/>
      <c r="NDV113" s="64"/>
      <c r="NDW113" s="64"/>
      <c r="NDX113" s="64"/>
      <c r="NDY113" s="64"/>
      <c r="NDZ113" s="64"/>
      <c r="NEA113" s="64"/>
      <c r="NEB113" s="64"/>
      <c r="NEC113" s="64"/>
      <c r="NED113" s="64"/>
      <c r="NEE113" s="64"/>
      <c r="NEF113" s="64"/>
      <c r="NEG113" s="64"/>
      <c r="NEH113" s="64"/>
      <c r="NEI113" s="64"/>
      <c r="NEJ113" s="64"/>
      <c r="NEK113" s="64"/>
      <c r="NEL113" s="64"/>
      <c r="NEM113" s="64"/>
      <c r="NEN113" s="64"/>
      <c r="NEO113" s="64"/>
      <c r="NEP113" s="64"/>
      <c r="NEQ113" s="64"/>
      <c r="NER113" s="64"/>
      <c r="NES113" s="64"/>
      <c r="NET113" s="64"/>
      <c r="NEU113" s="64"/>
      <c r="NEV113" s="64"/>
      <c r="NEW113" s="64"/>
      <c r="NEX113" s="64"/>
      <c r="NEY113" s="64"/>
      <c r="NEZ113" s="64"/>
      <c r="NFA113" s="64"/>
      <c r="NFB113" s="64"/>
      <c r="NFC113" s="64"/>
      <c r="NFD113" s="64"/>
      <c r="NFE113" s="64"/>
      <c r="NFF113" s="64"/>
      <c r="NFG113" s="64"/>
      <c r="NFH113" s="64"/>
      <c r="NFI113" s="64"/>
      <c r="NFJ113" s="64"/>
      <c r="NFK113" s="64"/>
      <c r="NFL113" s="64"/>
      <c r="NFM113" s="64"/>
      <c r="NFN113" s="64"/>
      <c r="NFO113" s="64"/>
      <c r="NFP113" s="64"/>
      <c r="NFQ113" s="64"/>
      <c r="NFR113" s="64"/>
      <c r="NFS113" s="64"/>
      <c r="NFT113" s="64"/>
      <c r="NFU113" s="64"/>
      <c r="NFV113" s="64"/>
      <c r="NFW113" s="64"/>
      <c r="NFX113" s="64"/>
      <c r="NFY113" s="64"/>
      <c r="NFZ113" s="64"/>
      <c r="NGA113" s="64"/>
      <c r="NGB113" s="64"/>
      <c r="NGC113" s="64"/>
      <c r="NGD113" s="64"/>
      <c r="NGE113" s="64"/>
      <c r="NGF113" s="64"/>
      <c r="NGG113" s="64"/>
      <c r="NGH113" s="64"/>
      <c r="NGI113" s="64"/>
      <c r="NGJ113" s="64"/>
      <c r="NGK113" s="64"/>
      <c r="NGL113" s="64"/>
      <c r="NGM113" s="64"/>
      <c r="NGN113" s="64"/>
      <c r="NGO113" s="64"/>
      <c r="NGP113" s="64"/>
      <c r="NGQ113" s="64"/>
      <c r="NGR113" s="64"/>
      <c r="NGS113" s="64"/>
      <c r="NGT113" s="64"/>
      <c r="NGU113" s="64"/>
      <c r="NGV113" s="64"/>
      <c r="NGW113" s="64"/>
      <c r="NGX113" s="64"/>
      <c r="NGY113" s="64"/>
      <c r="NGZ113" s="64"/>
      <c r="NHA113" s="64"/>
      <c r="NHB113" s="64"/>
      <c r="NHC113" s="64"/>
      <c r="NHD113" s="64"/>
      <c r="NHE113" s="64"/>
      <c r="NHF113" s="64"/>
      <c r="NHG113" s="64"/>
      <c r="NHH113" s="64"/>
      <c r="NHI113" s="64"/>
      <c r="NHJ113" s="64"/>
      <c r="NHK113" s="64"/>
      <c r="NHL113" s="64"/>
      <c r="NHM113" s="64"/>
      <c r="NHN113" s="64"/>
      <c r="NHO113" s="64"/>
      <c r="NHP113" s="64"/>
      <c r="NHQ113" s="64"/>
      <c r="NHR113" s="64"/>
      <c r="NHS113" s="64"/>
      <c r="NHT113" s="64"/>
      <c r="NHU113" s="64"/>
      <c r="NHV113" s="64"/>
      <c r="NHW113" s="64"/>
      <c r="NHX113" s="64"/>
      <c r="NHY113" s="64"/>
      <c r="NHZ113" s="64"/>
      <c r="NIA113" s="64"/>
      <c r="NIB113" s="64"/>
      <c r="NIC113" s="64"/>
      <c r="NID113" s="64"/>
      <c r="NIE113" s="64"/>
      <c r="NIF113" s="64"/>
      <c r="NIG113" s="64"/>
      <c r="NIH113" s="64"/>
      <c r="NII113" s="64"/>
      <c r="NIJ113" s="64"/>
      <c r="NIK113" s="64"/>
      <c r="NIL113" s="64"/>
      <c r="NIM113" s="64"/>
      <c r="NIN113" s="64"/>
      <c r="NIO113" s="64"/>
      <c r="NIP113" s="64"/>
      <c r="NIQ113" s="64"/>
      <c r="NIR113" s="64"/>
      <c r="NIS113" s="64"/>
      <c r="NIT113" s="64"/>
      <c r="NIU113" s="64"/>
      <c r="NIV113" s="64"/>
      <c r="NIW113" s="64"/>
      <c r="NIX113" s="64"/>
      <c r="NIY113" s="64"/>
      <c r="NIZ113" s="64"/>
      <c r="NJA113" s="64"/>
      <c r="NJB113" s="64"/>
      <c r="NJC113" s="64"/>
      <c r="NJD113" s="64"/>
      <c r="NJE113" s="64"/>
      <c r="NJF113" s="64"/>
      <c r="NJG113" s="64"/>
      <c r="NJH113" s="64"/>
      <c r="NJI113" s="64"/>
      <c r="NJJ113" s="64"/>
      <c r="NJK113" s="64"/>
      <c r="NJL113" s="64"/>
      <c r="NJM113" s="64"/>
      <c r="NJN113" s="64"/>
      <c r="NJO113" s="64"/>
      <c r="NJP113" s="64"/>
      <c r="NJQ113" s="64"/>
      <c r="NJR113" s="64"/>
      <c r="NJS113" s="64"/>
      <c r="NJT113" s="64"/>
      <c r="NJU113" s="64"/>
      <c r="NJV113" s="64"/>
      <c r="NJW113" s="64"/>
      <c r="NJX113" s="64"/>
      <c r="NJY113" s="64"/>
      <c r="NJZ113" s="64"/>
      <c r="NKA113" s="64"/>
      <c r="NKB113" s="64"/>
      <c r="NKC113" s="64"/>
      <c r="NKD113" s="64"/>
      <c r="NKE113" s="64"/>
      <c r="NKF113" s="64"/>
      <c r="NKG113" s="64"/>
      <c r="NKH113" s="64"/>
      <c r="NKI113" s="64"/>
      <c r="NKJ113" s="64"/>
      <c r="NKK113" s="64"/>
      <c r="NKL113" s="64"/>
      <c r="NKM113" s="64"/>
      <c r="NKN113" s="64"/>
      <c r="NKO113" s="64"/>
      <c r="NKP113" s="64"/>
      <c r="NKQ113" s="64"/>
      <c r="NKR113" s="64"/>
      <c r="NKS113" s="64"/>
      <c r="NKT113" s="64"/>
      <c r="NKU113" s="64"/>
      <c r="NKV113" s="64"/>
      <c r="NKW113" s="64"/>
      <c r="NKX113" s="64"/>
      <c r="NKY113" s="64"/>
      <c r="NKZ113" s="64"/>
      <c r="NLA113" s="64"/>
      <c r="NLB113" s="64"/>
      <c r="NLC113" s="64"/>
      <c r="NLD113" s="64"/>
      <c r="NLE113" s="64"/>
      <c r="NLF113" s="64"/>
      <c r="NLG113" s="64"/>
      <c r="NLH113" s="64"/>
      <c r="NLI113" s="64"/>
      <c r="NLJ113" s="64"/>
      <c r="NLK113" s="64"/>
      <c r="NLL113" s="64"/>
      <c r="NLM113" s="64"/>
      <c r="NLN113" s="64"/>
      <c r="NLO113" s="64"/>
      <c r="NLP113" s="64"/>
      <c r="NLQ113" s="64"/>
      <c r="NLR113" s="64"/>
      <c r="NLS113" s="64"/>
      <c r="NLT113" s="64"/>
      <c r="NLU113" s="64"/>
      <c r="NLV113" s="64"/>
      <c r="NLW113" s="64"/>
      <c r="NLX113" s="64"/>
      <c r="NLY113" s="64"/>
      <c r="NLZ113" s="64"/>
      <c r="NMA113" s="64"/>
      <c r="NMB113" s="64"/>
      <c r="NMC113" s="64"/>
      <c r="NMD113" s="64"/>
      <c r="NME113" s="64"/>
      <c r="NMF113" s="64"/>
      <c r="NMG113" s="64"/>
      <c r="NMH113" s="64"/>
      <c r="NMI113" s="64"/>
      <c r="NMJ113" s="64"/>
      <c r="NMK113" s="64"/>
      <c r="NML113" s="64"/>
      <c r="NMM113" s="64"/>
      <c r="NMN113" s="64"/>
      <c r="NMO113" s="64"/>
      <c r="NMP113" s="64"/>
      <c r="NMQ113" s="64"/>
      <c r="NMR113" s="64"/>
      <c r="NMS113" s="64"/>
      <c r="NMT113" s="64"/>
      <c r="NMU113" s="64"/>
      <c r="NMV113" s="64"/>
      <c r="NMW113" s="64"/>
      <c r="NMX113" s="64"/>
      <c r="NMY113" s="64"/>
      <c r="NMZ113" s="64"/>
      <c r="NNA113" s="64"/>
      <c r="NNB113" s="64"/>
      <c r="NNC113" s="64"/>
      <c r="NND113" s="64"/>
      <c r="NNE113" s="64"/>
      <c r="NNF113" s="64"/>
      <c r="NNG113" s="64"/>
      <c r="NNH113" s="64"/>
      <c r="NNI113" s="64"/>
      <c r="NNJ113" s="64"/>
      <c r="NNK113" s="64"/>
      <c r="NNL113" s="64"/>
      <c r="NNM113" s="64"/>
      <c r="NNN113" s="64"/>
      <c r="NNO113" s="64"/>
      <c r="NNP113" s="64"/>
      <c r="NNQ113" s="64"/>
      <c r="NNR113" s="64"/>
      <c r="NNS113" s="64"/>
      <c r="NNT113" s="64"/>
      <c r="NNU113" s="64"/>
      <c r="NNV113" s="64"/>
      <c r="NNW113" s="64"/>
      <c r="NNX113" s="64"/>
      <c r="NNY113" s="64"/>
      <c r="NNZ113" s="64"/>
      <c r="NOA113" s="64"/>
      <c r="NOB113" s="64"/>
      <c r="NOC113" s="64"/>
      <c r="NOD113" s="64"/>
      <c r="NOE113" s="64"/>
      <c r="NOF113" s="64"/>
      <c r="NOG113" s="64"/>
      <c r="NOH113" s="64"/>
      <c r="NOI113" s="64"/>
      <c r="NOJ113" s="64"/>
      <c r="NOK113" s="64"/>
      <c r="NOL113" s="64"/>
      <c r="NOM113" s="64"/>
      <c r="NON113" s="64"/>
      <c r="NOO113" s="64"/>
      <c r="NOP113" s="64"/>
      <c r="NOQ113" s="64"/>
      <c r="NOR113" s="64"/>
      <c r="NOS113" s="64"/>
      <c r="NOT113" s="64"/>
      <c r="NOU113" s="64"/>
      <c r="NOV113" s="64"/>
      <c r="NOW113" s="64"/>
      <c r="NOX113" s="64"/>
      <c r="NOY113" s="64"/>
      <c r="NOZ113" s="64"/>
      <c r="NPA113" s="64"/>
      <c r="NPB113" s="64"/>
      <c r="NPC113" s="64"/>
      <c r="NPD113" s="64"/>
      <c r="NPE113" s="64"/>
      <c r="NPF113" s="64"/>
      <c r="NPG113" s="64"/>
      <c r="NPH113" s="64"/>
      <c r="NPI113" s="64"/>
      <c r="NPJ113" s="64"/>
      <c r="NPK113" s="64"/>
      <c r="NPL113" s="64"/>
      <c r="NPM113" s="64"/>
      <c r="NPN113" s="64"/>
      <c r="NPO113" s="64"/>
      <c r="NPP113" s="64"/>
      <c r="NPQ113" s="64"/>
      <c r="NPR113" s="64"/>
      <c r="NPS113" s="64"/>
      <c r="NPT113" s="64"/>
      <c r="NPU113" s="64"/>
      <c r="NPV113" s="64"/>
      <c r="NPW113" s="64"/>
      <c r="NPX113" s="64"/>
      <c r="NPY113" s="64"/>
      <c r="NPZ113" s="64"/>
      <c r="NQA113" s="64"/>
      <c r="NQB113" s="64"/>
      <c r="NQC113" s="64"/>
      <c r="NQD113" s="64"/>
      <c r="NQE113" s="64"/>
      <c r="NQF113" s="64"/>
      <c r="NQG113" s="64"/>
      <c r="NQH113" s="64"/>
      <c r="NQI113" s="64"/>
      <c r="NQJ113" s="64"/>
      <c r="NQK113" s="64"/>
      <c r="NQL113" s="64"/>
      <c r="NQM113" s="64"/>
      <c r="NQN113" s="64"/>
      <c r="NQO113" s="64"/>
      <c r="NQP113" s="64"/>
      <c r="NQQ113" s="64"/>
      <c r="NQR113" s="64"/>
      <c r="NQS113" s="64"/>
      <c r="NQT113" s="64"/>
      <c r="NQU113" s="64"/>
      <c r="NQV113" s="64"/>
      <c r="NQW113" s="64"/>
      <c r="NQX113" s="64"/>
      <c r="NQY113" s="64"/>
      <c r="NQZ113" s="64"/>
      <c r="NRA113" s="64"/>
      <c r="NRB113" s="64"/>
      <c r="NRC113" s="64"/>
      <c r="NRD113" s="64"/>
      <c r="NRE113" s="64"/>
      <c r="NRF113" s="64"/>
      <c r="NRG113" s="64"/>
      <c r="NRH113" s="64"/>
      <c r="NRI113" s="64"/>
      <c r="NRJ113" s="64"/>
      <c r="NRK113" s="64"/>
      <c r="NRL113" s="64"/>
      <c r="NRM113" s="64"/>
      <c r="NRN113" s="64"/>
      <c r="NRO113" s="64"/>
      <c r="NRP113" s="64"/>
      <c r="NRQ113" s="64"/>
      <c r="NRR113" s="64"/>
      <c r="NRS113" s="64"/>
      <c r="NRT113" s="64"/>
      <c r="NRU113" s="64"/>
      <c r="NRV113" s="64"/>
      <c r="NRW113" s="64"/>
      <c r="NRX113" s="64"/>
      <c r="NRY113" s="64"/>
      <c r="NRZ113" s="64"/>
      <c r="NSA113" s="64"/>
      <c r="NSB113" s="64"/>
      <c r="NSC113" s="64"/>
      <c r="NSD113" s="64"/>
      <c r="NSE113" s="64"/>
      <c r="NSF113" s="64"/>
      <c r="NSG113" s="64"/>
      <c r="NSH113" s="64"/>
      <c r="NSI113" s="64"/>
      <c r="NSJ113" s="64"/>
      <c r="NSK113" s="64"/>
      <c r="NSL113" s="64"/>
      <c r="NSM113" s="64"/>
      <c r="NSN113" s="64"/>
      <c r="NSO113" s="64"/>
      <c r="NSP113" s="64"/>
      <c r="NSQ113" s="64"/>
      <c r="NSR113" s="64"/>
      <c r="NSS113" s="64"/>
      <c r="NST113" s="64"/>
      <c r="NSU113" s="64"/>
      <c r="NSV113" s="64"/>
      <c r="NSW113" s="64"/>
      <c r="NSX113" s="64"/>
      <c r="NSY113" s="64"/>
      <c r="NSZ113" s="64"/>
      <c r="NTA113" s="64"/>
      <c r="NTB113" s="64"/>
      <c r="NTC113" s="64"/>
      <c r="NTD113" s="64"/>
      <c r="NTE113" s="64"/>
      <c r="NTF113" s="64"/>
      <c r="NTG113" s="64"/>
      <c r="NTH113" s="64"/>
      <c r="NTI113" s="64"/>
      <c r="NTJ113" s="64"/>
      <c r="NTK113" s="64"/>
      <c r="NTL113" s="64"/>
      <c r="NTM113" s="64"/>
      <c r="NTN113" s="64"/>
      <c r="NTO113" s="64"/>
      <c r="NTP113" s="64"/>
      <c r="NTQ113" s="64"/>
      <c r="NTR113" s="64"/>
      <c r="NTS113" s="64"/>
      <c r="NTT113" s="64"/>
      <c r="NTU113" s="64"/>
      <c r="NTV113" s="64"/>
      <c r="NTW113" s="64"/>
      <c r="NTX113" s="64"/>
      <c r="NTY113" s="64"/>
      <c r="NTZ113" s="64"/>
      <c r="NUA113" s="64"/>
      <c r="NUB113" s="64"/>
      <c r="NUC113" s="64"/>
      <c r="NUD113" s="64"/>
      <c r="NUE113" s="64"/>
      <c r="NUF113" s="64"/>
      <c r="NUG113" s="64"/>
      <c r="NUH113" s="64"/>
      <c r="NUI113" s="64"/>
      <c r="NUJ113" s="64"/>
      <c r="NUK113" s="64"/>
      <c r="NUL113" s="64"/>
      <c r="NUM113" s="64"/>
      <c r="NUN113" s="64"/>
      <c r="NUO113" s="64"/>
      <c r="NUP113" s="64"/>
      <c r="NUQ113" s="64"/>
      <c r="NUR113" s="64"/>
      <c r="NUS113" s="64"/>
      <c r="NUT113" s="64"/>
      <c r="NUU113" s="64"/>
      <c r="NUV113" s="64"/>
      <c r="NUW113" s="64"/>
      <c r="NUX113" s="64"/>
      <c r="NUY113" s="64"/>
      <c r="NUZ113" s="64"/>
      <c r="NVA113" s="64"/>
      <c r="NVB113" s="64"/>
      <c r="NVC113" s="64"/>
      <c r="NVD113" s="64"/>
      <c r="NVE113" s="64"/>
      <c r="NVF113" s="64"/>
      <c r="NVG113" s="64"/>
      <c r="NVH113" s="64"/>
      <c r="NVI113" s="64"/>
      <c r="NVJ113" s="64"/>
      <c r="NVK113" s="64"/>
      <c r="NVL113" s="64"/>
      <c r="NVM113" s="64"/>
      <c r="NVN113" s="64"/>
      <c r="NVO113" s="64"/>
      <c r="NVP113" s="64"/>
      <c r="NVQ113" s="64"/>
      <c r="NVR113" s="64"/>
      <c r="NVS113" s="64"/>
      <c r="NVT113" s="64"/>
      <c r="NVU113" s="64"/>
      <c r="NVV113" s="64"/>
      <c r="NVW113" s="64"/>
      <c r="NVX113" s="64"/>
      <c r="NVY113" s="64"/>
      <c r="NVZ113" s="64"/>
      <c r="NWA113" s="64"/>
      <c r="NWB113" s="64"/>
      <c r="NWC113" s="64"/>
      <c r="NWD113" s="64"/>
      <c r="NWE113" s="64"/>
      <c r="NWF113" s="64"/>
      <c r="NWG113" s="64"/>
      <c r="NWH113" s="64"/>
      <c r="NWI113" s="64"/>
      <c r="NWJ113" s="64"/>
      <c r="NWK113" s="64"/>
      <c r="NWL113" s="64"/>
      <c r="NWM113" s="64"/>
      <c r="NWN113" s="64"/>
      <c r="NWO113" s="64"/>
      <c r="NWP113" s="64"/>
      <c r="NWQ113" s="64"/>
      <c r="NWR113" s="64"/>
      <c r="NWS113" s="64"/>
      <c r="NWT113" s="64"/>
      <c r="NWU113" s="64"/>
      <c r="NWV113" s="64"/>
      <c r="NWW113" s="64"/>
      <c r="NWX113" s="64"/>
      <c r="NWY113" s="64"/>
      <c r="NWZ113" s="64"/>
      <c r="NXA113" s="64"/>
      <c r="NXB113" s="64"/>
      <c r="NXC113" s="64"/>
      <c r="NXD113" s="64"/>
      <c r="NXE113" s="64"/>
      <c r="NXF113" s="64"/>
      <c r="NXG113" s="64"/>
      <c r="NXH113" s="64"/>
      <c r="NXI113" s="64"/>
      <c r="NXJ113" s="64"/>
      <c r="NXK113" s="64"/>
      <c r="NXL113" s="64"/>
      <c r="NXM113" s="64"/>
      <c r="NXN113" s="64"/>
      <c r="NXO113" s="64"/>
      <c r="NXP113" s="64"/>
      <c r="NXQ113" s="64"/>
      <c r="NXR113" s="64"/>
      <c r="NXS113" s="64"/>
      <c r="NXT113" s="64"/>
      <c r="NXU113" s="64"/>
      <c r="NXV113" s="64"/>
      <c r="NXW113" s="64"/>
      <c r="NXX113" s="64"/>
      <c r="NXY113" s="64"/>
      <c r="NXZ113" s="64"/>
      <c r="NYA113" s="64"/>
      <c r="NYB113" s="64"/>
      <c r="NYC113" s="64"/>
      <c r="NYD113" s="64"/>
      <c r="NYE113" s="64"/>
      <c r="NYF113" s="64"/>
      <c r="NYG113" s="64"/>
      <c r="NYH113" s="64"/>
      <c r="NYI113" s="64"/>
      <c r="NYJ113" s="64"/>
      <c r="NYK113" s="64"/>
      <c r="NYL113" s="64"/>
      <c r="NYM113" s="64"/>
      <c r="NYN113" s="64"/>
      <c r="NYO113" s="64"/>
      <c r="NYP113" s="64"/>
      <c r="NYQ113" s="64"/>
      <c r="NYR113" s="64"/>
      <c r="NYS113" s="64"/>
      <c r="NYT113" s="64"/>
      <c r="NYU113" s="64"/>
      <c r="NYV113" s="64"/>
      <c r="NYW113" s="64"/>
      <c r="NYX113" s="64"/>
      <c r="NYY113" s="64"/>
      <c r="NYZ113" s="64"/>
      <c r="NZA113" s="64"/>
      <c r="NZB113" s="64"/>
      <c r="NZC113" s="64"/>
      <c r="NZD113" s="64"/>
      <c r="NZE113" s="64"/>
      <c r="NZF113" s="64"/>
      <c r="NZG113" s="64"/>
      <c r="NZH113" s="64"/>
      <c r="NZI113" s="64"/>
      <c r="NZJ113" s="64"/>
      <c r="NZK113" s="64"/>
      <c r="NZL113" s="64"/>
      <c r="NZM113" s="64"/>
      <c r="NZN113" s="64"/>
      <c r="NZO113" s="64"/>
      <c r="NZP113" s="64"/>
      <c r="NZQ113" s="64"/>
      <c r="NZR113" s="64"/>
      <c r="NZS113" s="64"/>
      <c r="NZT113" s="64"/>
      <c r="NZU113" s="64"/>
      <c r="NZV113" s="64"/>
      <c r="NZW113" s="64"/>
      <c r="NZX113" s="64"/>
      <c r="NZY113" s="64"/>
      <c r="NZZ113" s="64"/>
      <c r="OAA113" s="64"/>
      <c r="OAB113" s="64"/>
      <c r="OAC113" s="64"/>
      <c r="OAD113" s="64"/>
      <c r="OAE113" s="64"/>
      <c r="OAF113" s="64"/>
      <c r="OAG113" s="64"/>
      <c r="OAH113" s="64"/>
      <c r="OAI113" s="64"/>
      <c r="OAJ113" s="64"/>
      <c r="OAK113" s="64"/>
      <c r="OAL113" s="64"/>
      <c r="OAM113" s="64"/>
      <c r="OAN113" s="64"/>
      <c r="OAO113" s="64"/>
      <c r="OAP113" s="64"/>
      <c r="OAQ113" s="64"/>
      <c r="OAR113" s="64"/>
      <c r="OAS113" s="64"/>
      <c r="OAT113" s="64"/>
      <c r="OAU113" s="64"/>
      <c r="OAV113" s="64"/>
      <c r="OAW113" s="64"/>
      <c r="OAX113" s="64"/>
      <c r="OAY113" s="64"/>
      <c r="OAZ113" s="64"/>
      <c r="OBA113" s="64"/>
      <c r="OBB113" s="64"/>
      <c r="OBC113" s="64"/>
      <c r="OBD113" s="64"/>
      <c r="OBE113" s="64"/>
      <c r="OBF113" s="64"/>
      <c r="OBG113" s="64"/>
      <c r="OBH113" s="64"/>
      <c r="OBI113" s="64"/>
      <c r="OBJ113" s="64"/>
      <c r="OBK113" s="64"/>
      <c r="OBL113" s="64"/>
      <c r="OBM113" s="64"/>
      <c r="OBN113" s="64"/>
      <c r="OBO113" s="64"/>
      <c r="OBP113" s="64"/>
      <c r="OBQ113" s="64"/>
      <c r="OBR113" s="64"/>
      <c r="OBS113" s="64"/>
      <c r="OBT113" s="64"/>
      <c r="OBU113" s="64"/>
      <c r="OBV113" s="64"/>
      <c r="OBW113" s="64"/>
      <c r="OBX113" s="64"/>
      <c r="OBY113" s="64"/>
      <c r="OBZ113" s="64"/>
      <c r="OCA113" s="64"/>
      <c r="OCB113" s="64"/>
      <c r="OCC113" s="64"/>
      <c r="OCD113" s="64"/>
      <c r="OCE113" s="64"/>
      <c r="OCF113" s="64"/>
      <c r="OCG113" s="64"/>
      <c r="OCH113" s="64"/>
      <c r="OCI113" s="64"/>
      <c r="OCJ113" s="64"/>
      <c r="OCK113" s="64"/>
      <c r="OCL113" s="64"/>
      <c r="OCM113" s="64"/>
      <c r="OCN113" s="64"/>
      <c r="OCO113" s="64"/>
      <c r="OCP113" s="64"/>
      <c r="OCQ113" s="64"/>
      <c r="OCR113" s="64"/>
      <c r="OCS113" s="64"/>
      <c r="OCT113" s="64"/>
      <c r="OCU113" s="64"/>
      <c r="OCV113" s="64"/>
      <c r="OCW113" s="64"/>
      <c r="OCX113" s="64"/>
      <c r="OCY113" s="64"/>
      <c r="OCZ113" s="64"/>
      <c r="ODA113" s="64"/>
      <c r="ODB113" s="64"/>
      <c r="ODC113" s="64"/>
      <c r="ODD113" s="64"/>
      <c r="ODE113" s="64"/>
      <c r="ODF113" s="64"/>
      <c r="ODG113" s="64"/>
      <c r="ODH113" s="64"/>
      <c r="ODI113" s="64"/>
      <c r="ODJ113" s="64"/>
      <c r="ODK113" s="64"/>
      <c r="ODL113" s="64"/>
      <c r="ODM113" s="64"/>
      <c r="ODN113" s="64"/>
      <c r="ODO113" s="64"/>
      <c r="ODP113" s="64"/>
      <c r="ODQ113" s="64"/>
      <c r="ODR113" s="64"/>
      <c r="ODS113" s="64"/>
      <c r="ODT113" s="64"/>
      <c r="ODU113" s="64"/>
      <c r="ODV113" s="64"/>
      <c r="ODW113" s="64"/>
      <c r="ODX113" s="64"/>
      <c r="ODY113" s="64"/>
      <c r="ODZ113" s="64"/>
      <c r="OEA113" s="64"/>
      <c r="OEB113" s="64"/>
      <c r="OEC113" s="64"/>
      <c r="OED113" s="64"/>
      <c r="OEE113" s="64"/>
      <c r="OEF113" s="64"/>
      <c r="OEG113" s="64"/>
      <c r="OEH113" s="64"/>
      <c r="OEI113" s="64"/>
      <c r="OEJ113" s="64"/>
      <c r="OEK113" s="64"/>
      <c r="OEL113" s="64"/>
      <c r="OEM113" s="64"/>
      <c r="OEN113" s="64"/>
      <c r="OEO113" s="64"/>
      <c r="OEP113" s="64"/>
      <c r="OEQ113" s="64"/>
      <c r="OER113" s="64"/>
      <c r="OES113" s="64"/>
      <c r="OET113" s="64"/>
      <c r="OEU113" s="64"/>
      <c r="OEV113" s="64"/>
      <c r="OEW113" s="64"/>
      <c r="OEX113" s="64"/>
      <c r="OEY113" s="64"/>
      <c r="OEZ113" s="64"/>
      <c r="OFA113" s="64"/>
      <c r="OFB113" s="64"/>
      <c r="OFC113" s="64"/>
      <c r="OFD113" s="64"/>
      <c r="OFE113" s="64"/>
      <c r="OFF113" s="64"/>
      <c r="OFG113" s="64"/>
      <c r="OFH113" s="64"/>
      <c r="OFI113" s="64"/>
      <c r="OFJ113" s="64"/>
      <c r="OFK113" s="64"/>
      <c r="OFL113" s="64"/>
      <c r="OFM113" s="64"/>
      <c r="OFN113" s="64"/>
      <c r="OFO113" s="64"/>
      <c r="OFP113" s="64"/>
      <c r="OFQ113" s="64"/>
      <c r="OFR113" s="64"/>
      <c r="OFS113" s="64"/>
      <c r="OFT113" s="64"/>
      <c r="OFU113" s="64"/>
      <c r="OFV113" s="64"/>
      <c r="OFW113" s="64"/>
      <c r="OFX113" s="64"/>
      <c r="OFY113" s="64"/>
      <c r="OFZ113" s="64"/>
      <c r="OGA113" s="64"/>
      <c r="OGB113" s="64"/>
      <c r="OGC113" s="64"/>
      <c r="OGD113" s="64"/>
      <c r="OGE113" s="64"/>
      <c r="OGF113" s="64"/>
      <c r="OGG113" s="64"/>
      <c r="OGH113" s="64"/>
      <c r="OGI113" s="64"/>
      <c r="OGJ113" s="64"/>
      <c r="OGK113" s="64"/>
      <c r="OGL113" s="64"/>
      <c r="OGM113" s="64"/>
      <c r="OGN113" s="64"/>
      <c r="OGO113" s="64"/>
      <c r="OGP113" s="64"/>
      <c r="OGQ113" s="64"/>
      <c r="OGR113" s="64"/>
      <c r="OGS113" s="64"/>
      <c r="OGT113" s="64"/>
      <c r="OGU113" s="64"/>
      <c r="OGV113" s="64"/>
      <c r="OGW113" s="64"/>
      <c r="OGX113" s="64"/>
      <c r="OGY113" s="64"/>
      <c r="OGZ113" s="64"/>
      <c r="OHA113" s="64"/>
      <c r="OHB113" s="64"/>
      <c r="OHC113" s="64"/>
      <c r="OHD113" s="64"/>
      <c r="OHE113" s="64"/>
      <c r="OHF113" s="64"/>
      <c r="OHG113" s="64"/>
      <c r="OHH113" s="64"/>
      <c r="OHI113" s="64"/>
      <c r="OHJ113" s="64"/>
      <c r="OHK113" s="64"/>
      <c r="OHL113" s="64"/>
      <c r="OHM113" s="64"/>
      <c r="OHN113" s="64"/>
      <c r="OHO113" s="64"/>
      <c r="OHP113" s="64"/>
      <c r="OHQ113" s="64"/>
      <c r="OHR113" s="64"/>
      <c r="OHS113" s="64"/>
      <c r="OHT113" s="64"/>
      <c r="OHU113" s="64"/>
      <c r="OHV113" s="64"/>
      <c r="OHW113" s="64"/>
      <c r="OHX113" s="64"/>
      <c r="OHY113" s="64"/>
      <c r="OHZ113" s="64"/>
      <c r="OIA113" s="64"/>
      <c r="OIB113" s="64"/>
      <c r="OIC113" s="64"/>
      <c r="OID113" s="64"/>
      <c r="OIE113" s="64"/>
      <c r="OIF113" s="64"/>
      <c r="OIG113" s="64"/>
      <c r="OIH113" s="64"/>
      <c r="OII113" s="64"/>
      <c r="OIJ113" s="64"/>
      <c r="OIK113" s="64"/>
      <c r="OIL113" s="64"/>
      <c r="OIM113" s="64"/>
      <c r="OIN113" s="64"/>
      <c r="OIO113" s="64"/>
      <c r="OIP113" s="64"/>
      <c r="OIQ113" s="64"/>
      <c r="OIR113" s="64"/>
      <c r="OIS113" s="64"/>
      <c r="OIT113" s="64"/>
      <c r="OIU113" s="64"/>
      <c r="OIV113" s="64"/>
      <c r="OIW113" s="64"/>
      <c r="OIX113" s="64"/>
      <c r="OIY113" s="64"/>
      <c r="OIZ113" s="64"/>
      <c r="OJA113" s="64"/>
      <c r="OJB113" s="64"/>
      <c r="OJC113" s="64"/>
      <c r="OJD113" s="64"/>
      <c r="OJE113" s="64"/>
      <c r="OJF113" s="64"/>
      <c r="OJG113" s="64"/>
      <c r="OJH113" s="64"/>
      <c r="OJI113" s="64"/>
      <c r="OJJ113" s="64"/>
      <c r="OJK113" s="64"/>
      <c r="OJL113" s="64"/>
      <c r="OJM113" s="64"/>
      <c r="OJN113" s="64"/>
      <c r="OJO113" s="64"/>
      <c r="OJP113" s="64"/>
      <c r="OJQ113" s="64"/>
      <c r="OJR113" s="64"/>
      <c r="OJS113" s="64"/>
      <c r="OJT113" s="64"/>
      <c r="OJU113" s="64"/>
      <c r="OJV113" s="64"/>
      <c r="OJW113" s="64"/>
      <c r="OJX113" s="64"/>
      <c r="OJY113" s="64"/>
      <c r="OJZ113" s="64"/>
      <c r="OKA113" s="64"/>
      <c r="OKB113" s="64"/>
      <c r="OKC113" s="64"/>
      <c r="OKD113" s="64"/>
      <c r="OKE113" s="64"/>
      <c r="OKF113" s="64"/>
      <c r="OKG113" s="64"/>
      <c r="OKH113" s="64"/>
      <c r="OKI113" s="64"/>
      <c r="OKJ113" s="64"/>
      <c r="OKK113" s="64"/>
      <c r="OKL113" s="64"/>
      <c r="OKM113" s="64"/>
      <c r="OKN113" s="64"/>
      <c r="OKO113" s="64"/>
      <c r="OKP113" s="64"/>
      <c r="OKQ113" s="64"/>
      <c r="OKR113" s="64"/>
      <c r="OKS113" s="64"/>
      <c r="OKT113" s="64"/>
      <c r="OKU113" s="64"/>
      <c r="OKV113" s="64"/>
      <c r="OKW113" s="64"/>
      <c r="OKX113" s="64"/>
      <c r="OKY113" s="64"/>
      <c r="OKZ113" s="64"/>
      <c r="OLA113" s="64"/>
      <c r="OLB113" s="64"/>
      <c r="OLC113" s="64"/>
      <c r="OLD113" s="64"/>
      <c r="OLE113" s="64"/>
      <c r="OLF113" s="64"/>
      <c r="OLG113" s="64"/>
      <c r="OLH113" s="64"/>
      <c r="OLI113" s="64"/>
      <c r="OLJ113" s="64"/>
      <c r="OLK113" s="64"/>
      <c r="OLL113" s="64"/>
      <c r="OLM113" s="64"/>
      <c r="OLN113" s="64"/>
      <c r="OLO113" s="64"/>
      <c r="OLP113" s="64"/>
      <c r="OLQ113" s="64"/>
      <c r="OLR113" s="64"/>
      <c r="OLS113" s="64"/>
      <c r="OLT113" s="64"/>
      <c r="OLU113" s="64"/>
      <c r="OLV113" s="64"/>
      <c r="OLW113" s="64"/>
      <c r="OLX113" s="64"/>
      <c r="OLY113" s="64"/>
      <c r="OLZ113" s="64"/>
      <c r="OMA113" s="64"/>
      <c r="OMB113" s="64"/>
      <c r="OMC113" s="64"/>
      <c r="OMD113" s="64"/>
      <c r="OME113" s="64"/>
      <c r="OMF113" s="64"/>
      <c r="OMG113" s="64"/>
      <c r="OMH113" s="64"/>
      <c r="OMI113" s="64"/>
      <c r="OMJ113" s="64"/>
      <c r="OMK113" s="64"/>
      <c r="OML113" s="64"/>
      <c r="OMM113" s="64"/>
      <c r="OMN113" s="64"/>
      <c r="OMO113" s="64"/>
      <c r="OMP113" s="64"/>
      <c r="OMQ113" s="64"/>
      <c r="OMR113" s="64"/>
      <c r="OMS113" s="64"/>
      <c r="OMT113" s="64"/>
      <c r="OMU113" s="64"/>
      <c r="OMV113" s="64"/>
      <c r="OMW113" s="64"/>
      <c r="OMX113" s="64"/>
      <c r="OMY113" s="64"/>
      <c r="OMZ113" s="64"/>
      <c r="ONA113" s="64"/>
      <c r="ONB113" s="64"/>
      <c r="ONC113" s="64"/>
      <c r="OND113" s="64"/>
      <c r="ONE113" s="64"/>
      <c r="ONF113" s="64"/>
      <c r="ONG113" s="64"/>
      <c r="ONH113" s="64"/>
      <c r="ONI113" s="64"/>
      <c r="ONJ113" s="64"/>
      <c r="ONK113" s="64"/>
      <c r="ONL113" s="64"/>
      <c r="ONM113" s="64"/>
      <c r="ONN113" s="64"/>
      <c r="ONO113" s="64"/>
      <c r="ONP113" s="64"/>
      <c r="ONQ113" s="64"/>
      <c r="ONR113" s="64"/>
      <c r="ONS113" s="64"/>
      <c r="ONT113" s="64"/>
      <c r="ONU113" s="64"/>
      <c r="ONV113" s="64"/>
      <c r="ONW113" s="64"/>
      <c r="ONX113" s="64"/>
      <c r="ONY113" s="64"/>
      <c r="ONZ113" s="64"/>
      <c r="OOA113" s="64"/>
      <c r="OOB113" s="64"/>
      <c r="OOC113" s="64"/>
      <c r="OOD113" s="64"/>
      <c r="OOE113" s="64"/>
      <c r="OOF113" s="64"/>
      <c r="OOG113" s="64"/>
      <c r="OOH113" s="64"/>
      <c r="OOI113" s="64"/>
      <c r="OOJ113" s="64"/>
      <c r="OOK113" s="64"/>
      <c r="OOL113" s="64"/>
      <c r="OOM113" s="64"/>
      <c r="OON113" s="64"/>
      <c r="OOO113" s="64"/>
      <c r="OOP113" s="64"/>
      <c r="OOQ113" s="64"/>
      <c r="OOR113" s="64"/>
      <c r="OOS113" s="64"/>
      <c r="OOT113" s="64"/>
      <c r="OOU113" s="64"/>
      <c r="OOV113" s="64"/>
      <c r="OOW113" s="64"/>
      <c r="OOX113" s="64"/>
      <c r="OOY113" s="64"/>
      <c r="OOZ113" s="64"/>
      <c r="OPA113" s="64"/>
      <c r="OPB113" s="64"/>
      <c r="OPC113" s="64"/>
      <c r="OPD113" s="64"/>
      <c r="OPE113" s="64"/>
      <c r="OPF113" s="64"/>
      <c r="OPG113" s="64"/>
      <c r="OPH113" s="64"/>
      <c r="OPI113" s="64"/>
      <c r="OPJ113" s="64"/>
      <c r="OPK113" s="64"/>
      <c r="OPL113" s="64"/>
      <c r="OPM113" s="64"/>
      <c r="OPN113" s="64"/>
      <c r="OPO113" s="64"/>
      <c r="OPP113" s="64"/>
      <c r="OPQ113" s="64"/>
      <c r="OPR113" s="64"/>
      <c r="OPS113" s="64"/>
      <c r="OPT113" s="64"/>
      <c r="OPU113" s="64"/>
      <c r="OPV113" s="64"/>
      <c r="OPW113" s="64"/>
      <c r="OPX113" s="64"/>
      <c r="OPY113" s="64"/>
      <c r="OPZ113" s="64"/>
      <c r="OQA113" s="64"/>
      <c r="OQB113" s="64"/>
      <c r="OQC113" s="64"/>
      <c r="OQD113" s="64"/>
      <c r="OQE113" s="64"/>
      <c r="OQF113" s="64"/>
      <c r="OQG113" s="64"/>
      <c r="OQH113" s="64"/>
      <c r="OQI113" s="64"/>
      <c r="OQJ113" s="64"/>
      <c r="OQK113" s="64"/>
      <c r="OQL113" s="64"/>
      <c r="OQM113" s="64"/>
      <c r="OQN113" s="64"/>
      <c r="OQO113" s="64"/>
      <c r="OQP113" s="64"/>
      <c r="OQQ113" s="64"/>
      <c r="OQR113" s="64"/>
      <c r="OQS113" s="64"/>
      <c r="OQT113" s="64"/>
      <c r="OQU113" s="64"/>
      <c r="OQV113" s="64"/>
      <c r="OQW113" s="64"/>
      <c r="OQX113" s="64"/>
      <c r="OQY113" s="64"/>
      <c r="OQZ113" s="64"/>
      <c r="ORA113" s="64"/>
      <c r="ORB113" s="64"/>
      <c r="ORC113" s="64"/>
      <c r="ORD113" s="64"/>
      <c r="ORE113" s="64"/>
      <c r="ORF113" s="64"/>
      <c r="ORG113" s="64"/>
      <c r="ORH113" s="64"/>
      <c r="ORI113" s="64"/>
      <c r="ORJ113" s="64"/>
      <c r="ORK113" s="64"/>
      <c r="ORL113" s="64"/>
      <c r="ORM113" s="64"/>
      <c r="ORN113" s="64"/>
      <c r="ORO113" s="64"/>
      <c r="ORP113" s="64"/>
      <c r="ORQ113" s="64"/>
      <c r="ORR113" s="64"/>
      <c r="ORS113" s="64"/>
      <c r="ORT113" s="64"/>
      <c r="ORU113" s="64"/>
      <c r="ORV113" s="64"/>
      <c r="ORW113" s="64"/>
      <c r="ORX113" s="64"/>
      <c r="ORY113" s="64"/>
      <c r="ORZ113" s="64"/>
      <c r="OSA113" s="64"/>
      <c r="OSB113" s="64"/>
      <c r="OSC113" s="64"/>
      <c r="OSD113" s="64"/>
      <c r="OSE113" s="64"/>
      <c r="OSF113" s="64"/>
      <c r="OSG113" s="64"/>
      <c r="OSH113" s="64"/>
      <c r="OSI113" s="64"/>
      <c r="OSJ113" s="64"/>
      <c r="OSK113" s="64"/>
      <c r="OSL113" s="64"/>
      <c r="OSM113" s="64"/>
      <c r="OSN113" s="64"/>
      <c r="OSO113" s="64"/>
      <c r="OSP113" s="64"/>
      <c r="OSQ113" s="64"/>
      <c r="OSR113" s="64"/>
      <c r="OSS113" s="64"/>
      <c r="OST113" s="64"/>
      <c r="OSU113" s="64"/>
      <c r="OSV113" s="64"/>
      <c r="OSW113" s="64"/>
      <c r="OSX113" s="64"/>
      <c r="OSY113" s="64"/>
      <c r="OSZ113" s="64"/>
      <c r="OTA113" s="64"/>
      <c r="OTB113" s="64"/>
      <c r="OTC113" s="64"/>
      <c r="OTD113" s="64"/>
      <c r="OTE113" s="64"/>
      <c r="OTF113" s="64"/>
      <c r="OTG113" s="64"/>
      <c r="OTH113" s="64"/>
      <c r="OTI113" s="64"/>
      <c r="OTJ113" s="64"/>
      <c r="OTK113" s="64"/>
      <c r="OTL113" s="64"/>
      <c r="OTM113" s="64"/>
      <c r="OTN113" s="64"/>
      <c r="OTO113" s="64"/>
      <c r="OTP113" s="64"/>
      <c r="OTQ113" s="64"/>
      <c r="OTR113" s="64"/>
      <c r="OTS113" s="64"/>
      <c r="OTT113" s="64"/>
      <c r="OTU113" s="64"/>
      <c r="OTV113" s="64"/>
      <c r="OTW113" s="64"/>
      <c r="OTX113" s="64"/>
      <c r="OTY113" s="64"/>
      <c r="OTZ113" s="64"/>
      <c r="OUA113" s="64"/>
      <c r="OUB113" s="64"/>
      <c r="OUC113" s="64"/>
      <c r="OUD113" s="64"/>
      <c r="OUE113" s="64"/>
      <c r="OUF113" s="64"/>
      <c r="OUG113" s="64"/>
      <c r="OUH113" s="64"/>
      <c r="OUI113" s="64"/>
      <c r="OUJ113" s="64"/>
      <c r="OUK113" s="64"/>
      <c r="OUL113" s="64"/>
      <c r="OUM113" s="64"/>
      <c r="OUN113" s="64"/>
      <c r="OUO113" s="64"/>
      <c r="OUP113" s="64"/>
      <c r="OUQ113" s="64"/>
      <c r="OUR113" s="64"/>
      <c r="OUS113" s="64"/>
      <c r="OUT113" s="64"/>
      <c r="OUU113" s="64"/>
      <c r="OUV113" s="64"/>
      <c r="OUW113" s="64"/>
      <c r="OUX113" s="64"/>
      <c r="OUY113" s="64"/>
      <c r="OUZ113" s="64"/>
      <c r="OVA113" s="64"/>
      <c r="OVB113" s="64"/>
      <c r="OVC113" s="64"/>
      <c r="OVD113" s="64"/>
      <c r="OVE113" s="64"/>
      <c r="OVF113" s="64"/>
      <c r="OVG113" s="64"/>
      <c r="OVH113" s="64"/>
      <c r="OVI113" s="64"/>
      <c r="OVJ113" s="64"/>
      <c r="OVK113" s="64"/>
      <c r="OVL113" s="64"/>
      <c r="OVM113" s="64"/>
      <c r="OVN113" s="64"/>
      <c r="OVO113" s="64"/>
      <c r="OVP113" s="64"/>
      <c r="OVQ113" s="64"/>
      <c r="OVR113" s="64"/>
      <c r="OVS113" s="64"/>
      <c r="OVT113" s="64"/>
      <c r="OVU113" s="64"/>
      <c r="OVV113" s="64"/>
      <c r="OVW113" s="64"/>
      <c r="OVX113" s="64"/>
      <c r="OVY113" s="64"/>
      <c r="OVZ113" s="64"/>
      <c r="OWA113" s="64"/>
      <c r="OWB113" s="64"/>
      <c r="OWC113" s="64"/>
      <c r="OWD113" s="64"/>
      <c r="OWE113" s="64"/>
      <c r="OWF113" s="64"/>
      <c r="OWG113" s="64"/>
      <c r="OWH113" s="64"/>
      <c r="OWI113" s="64"/>
      <c r="OWJ113" s="64"/>
      <c r="OWK113" s="64"/>
      <c r="OWL113" s="64"/>
      <c r="OWM113" s="64"/>
      <c r="OWN113" s="64"/>
      <c r="OWO113" s="64"/>
      <c r="OWP113" s="64"/>
      <c r="OWQ113" s="64"/>
      <c r="OWR113" s="64"/>
      <c r="OWS113" s="64"/>
      <c r="OWT113" s="64"/>
      <c r="OWU113" s="64"/>
      <c r="OWV113" s="64"/>
      <c r="OWW113" s="64"/>
      <c r="OWX113" s="64"/>
      <c r="OWY113" s="64"/>
      <c r="OWZ113" s="64"/>
      <c r="OXA113" s="64"/>
      <c r="OXB113" s="64"/>
      <c r="OXC113" s="64"/>
      <c r="OXD113" s="64"/>
      <c r="OXE113" s="64"/>
      <c r="OXF113" s="64"/>
      <c r="OXG113" s="64"/>
      <c r="OXH113" s="64"/>
      <c r="OXI113" s="64"/>
      <c r="OXJ113" s="64"/>
      <c r="OXK113" s="64"/>
      <c r="OXL113" s="64"/>
      <c r="OXM113" s="64"/>
      <c r="OXN113" s="64"/>
      <c r="OXO113" s="64"/>
      <c r="OXP113" s="64"/>
      <c r="OXQ113" s="64"/>
      <c r="OXR113" s="64"/>
      <c r="OXS113" s="64"/>
      <c r="OXT113" s="64"/>
      <c r="OXU113" s="64"/>
      <c r="OXV113" s="64"/>
      <c r="OXW113" s="64"/>
      <c r="OXX113" s="64"/>
      <c r="OXY113" s="64"/>
      <c r="OXZ113" s="64"/>
      <c r="OYA113" s="64"/>
      <c r="OYB113" s="64"/>
      <c r="OYC113" s="64"/>
      <c r="OYD113" s="64"/>
      <c r="OYE113" s="64"/>
      <c r="OYF113" s="64"/>
      <c r="OYG113" s="64"/>
      <c r="OYH113" s="64"/>
      <c r="OYI113" s="64"/>
      <c r="OYJ113" s="64"/>
      <c r="OYK113" s="64"/>
      <c r="OYL113" s="64"/>
      <c r="OYM113" s="64"/>
      <c r="OYN113" s="64"/>
      <c r="OYO113" s="64"/>
      <c r="OYP113" s="64"/>
      <c r="OYQ113" s="64"/>
      <c r="OYR113" s="64"/>
      <c r="OYS113" s="64"/>
      <c r="OYT113" s="64"/>
      <c r="OYU113" s="64"/>
      <c r="OYV113" s="64"/>
      <c r="OYW113" s="64"/>
      <c r="OYX113" s="64"/>
      <c r="OYY113" s="64"/>
      <c r="OYZ113" s="64"/>
      <c r="OZA113" s="64"/>
      <c r="OZB113" s="64"/>
      <c r="OZC113" s="64"/>
      <c r="OZD113" s="64"/>
      <c r="OZE113" s="64"/>
      <c r="OZF113" s="64"/>
      <c r="OZG113" s="64"/>
      <c r="OZH113" s="64"/>
      <c r="OZI113" s="64"/>
      <c r="OZJ113" s="64"/>
      <c r="OZK113" s="64"/>
      <c r="OZL113" s="64"/>
      <c r="OZM113" s="64"/>
      <c r="OZN113" s="64"/>
      <c r="OZO113" s="64"/>
      <c r="OZP113" s="64"/>
      <c r="OZQ113" s="64"/>
      <c r="OZR113" s="64"/>
      <c r="OZS113" s="64"/>
      <c r="OZT113" s="64"/>
      <c r="OZU113" s="64"/>
      <c r="OZV113" s="64"/>
      <c r="OZW113" s="64"/>
      <c r="OZX113" s="64"/>
      <c r="OZY113" s="64"/>
      <c r="OZZ113" s="64"/>
      <c r="PAA113" s="64"/>
      <c r="PAB113" s="64"/>
      <c r="PAC113" s="64"/>
      <c r="PAD113" s="64"/>
      <c r="PAE113" s="64"/>
      <c r="PAF113" s="64"/>
      <c r="PAG113" s="64"/>
      <c r="PAH113" s="64"/>
      <c r="PAI113" s="64"/>
      <c r="PAJ113" s="64"/>
      <c r="PAK113" s="64"/>
      <c r="PAL113" s="64"/>
      <c r="PAM113" s="64"/>
      <c r="PAN113" s="64"/>
      <c r="PAO113" s="64"/>
      <c r="PAP113" s="64"/>
      <c r="PAQ113" s="64"/>
      <c r="PAR113" s="64"/>
      <c r="PAS113" s="64"/>
      <c r="PAT113" s="64"/>
      <c r="PAU113" s="64"/>
      <c r="PAV113" s="64"/>
      <c r="PAW113" s="64"/>
      <c r="PAX113" s="64"/>
      <c r="PAY113" s="64"/>
      <c r="PAZ113" s="64"/>
      <c r="PBA113" s="64"/>
      <c r="PBB113" s="64"/>
      <c r="PBC113" s="64"/>
      <c r="PBD113" s="64"/>
      <c r="PBE113" s="64"/>
      <c r="PBF113" s="64"/>
      <c r="PBG113" s="64"/>
      <c r="PBH113" s="64"/>
      <c r="PBI113" s="64"/>
      <c r="PBJ113" s="64"/>
      <c r="PBK113" s="64"/>
      <c r="PBL113" s="64"/>
      <c r="PBM113" s="64"/>
      <c r="PBN113" s="64"/>
      <c r="PBO113" s="64"/>
      <c r="PBP113" s="64"/>
      <c r="PBQ113" s="64"/>
      <c r="PBR113" s="64"/>
      <c r="PBS113" s="64"/>
      <c r="PBT113" s="64"/>
      <c r="PBU113" s="64"/>
      <c r="PBV113" s="64"/>
      <c r="PBW113" s="64"/>
      <c r="PBX113" s="64"/>
      <c r="PBY113" s="64"/>
      <c r="PBZ113" s="64"/>
      <c r="PCA113" s="64"/>
      <c r="PCB113" s="64"/>
      <c r="PCC113" s="64"/>
      <c r="PCD113" s="64"/>
      <c r="PCE113" s="64"/>
      <c r="PCF113" s="64"/>
      <c r="PCG113" s="64"/>
      <c r="PCH113" s="64"/>
      <c r="PCI113" s="64"/>
      <c r="PCJ113" s="64"/>
      <c r="PCK113" s="64"/>
      <c r="PCL113" s="64"/>
      <c r="PCM113" s="64"/>
      <c r="PCN113" s="64"/>
      <c r="PCO113" s="64"/>
      <c r="PCP113" s="64"/>
      <c r="PCQ113" s="64"/>
      <c r="PCR113" s="64"/>
      <c r="PCS113" s="64"/>
      <c r="PCT113" s="64"/>
      <c r="PCU113" s="64"/>
      <c r="PCV113" s="64"/>
      <c r="PCW113" s="64"/>
      <c r="PCX113" s="64"/>
      <c r="PCY113" s="64"/>
      <c r="PCZ113" s="64"/>
      <c r="PDA113" s="64"/>
      <c r="PDB113" s="64"/>
      <c r="PDC113" s="64"/>
      <c r="PDD113" s="64"/>
      <c r="PDE113" s="64"/>
      <c r="PDF113" s="64"/>
      <c r="PDG113" s="64"/>
      <c r="PDH113" s="64"/>
      <c r="PDI113" s="64"/>
      <c r="PDJ113" s="64"/>
      <c r="PDK113" s="64"/>
      <c r="PDL113" s="64"/>
      <c r="PDM113" s="64"/>
      <c r="PDN113" s="64"/>
      <c r="PDO113" s="64"/>
      <c r="PDP113" s="64"/>
      <c r="PDQ113" s="64"/>
      <c r="PDR113" s="64"/>
      <c r="PDS113" s="64"/>
      <c r="PDT113" s="64"/>
      <c r="PDU113" s="64"/>
      <c r="PDV113" s="64"/>
      <c r="PDW113" s="64"/>
      <c r="PDX113" s="64"/>
      <c r="PDY113" s="64"/>
      <c r="PDZ113" s="64"/>
      <c r="PEA113" s="64"/>
      <c r="PEB113" s="64"/>
      <c r="PEC113" s="64"/>
      <c r="PED113" s="64"/>
      <c r="PEE113" s="64"/>
      <c r="PEF113" s="64"/>
      <c r="PEG113" s="64"/>
      <c r="PEH113" s="64"/>
      <c r="PEI113" s="64"/>
      <c r="PEJ113" s="64"/>
      <c r="PEK113" s="64"/>
      <c r="PEL113" s="64"/>
      <c r="PEM113" s="64"/>
      <c r="PEN113" s="64"/>
      <c r="PEO113" s="64"/>
      <c r="PEP113" s="64"/>
      <c r="PEQ113" s="64"/>
      <c r="PER113" s="64"/>
      <c r="PES113" s="64"/>
      <c r="PET113" s="64"/>
      <c r="PEU113" s="64"/>
      <c r="PEV113" s="64"/>
      <c r="PEW113" s="64"/>
      <c r="PEX113" s="64"/>
      <c r="PEY113" s="64"/>
      <c r="PEZ113" s="64"/>
      <c r="PFA113" s="64"/>
      <c r="PFB113" s="64"/>
      <c r="PFC113" s="64"/>
      <c r="PFD113" s="64"/>
      <c r="PFE113" s="64"/>
      <c r="PFF113" s="64"/>
      <c r="PFG113" s="64"/>
      <c r="PFH113" s="64"/>
      <c r="PFI113" s="64"/>
      <c r="PFJ113" s="64"/>
      <c r="PFK113" s="64"/>
      <c r="PFL113" s="64"/>
      <c r="PFM113" s="64"/>
      <c r="PFN113" s="64"/>
      <c r="PFO113" s="64"/>
      <c r="PFP113" s="64"/>
      <c r="PFQ113" s="64"/>
      <c r="PFR113" s="64"/>
      <c r="PFS113" s="64"/>
      <c r="PFT113" s="64"/>
      <c r="PFU113" s="64"/>
      <c r="PFV113" s="64"/>
      <c r="PFW113" s="64"/>
      <c r="PFX113" s="64"/>
      <c r="PFY113" s="64"/>
      <c r="PFZ113" s="64"/>
      <c r="PGA113" s="64"/>
      <c r="PGB113" s="64"/>
      <c r="PGC113" s="64"/>
      <c r="PGD113" s="64"/>
      <c r="PGE113" s="64"/>
      <c r="PGF113" s="64"/>
      <c r="PGG113" s="64"/>
      <c r="PGH113" s="64"/>
      <c r="PGI113" s="64"/>
      <c r="PGJ113" s="64"/>
      <c r="PGK113" s="64"/>
      <c r="PGL113" s="64"/>
      <c r="PGM113" s="64"/>
      <c r="PGN113" s="64"/>
      <c r="PGO113" s="64"/>
      <c r="PGP113" s="64"/>
      <c r="PGQ113" s="64"/>
      <c r="PGR113" s="64"/>
      <c r="PGS113" s="64"/>
      <c r="PGT113" s="64"/>
      <c r="PGU113" s="64"/>
      <c r="PGV113" s="64"/>
      <c r="PGW113" s="64"/>
      <c r="PGX113" s="64"/>
      <c r="PGY113" s="64"/>
      <c r="PGZ113" s="64"/>
      <c r="PHA113" s="64"/>
      <c r="PHB113" s="64"/>
      <c r="PHC113" s="64"/>
      <c r="PHD113" s="64"/>
      <c r="PHE113" s="64"/>
      <c r="PHF113" s="64"/>
      <c r="PHG113" s="64"/>
      <c r="PHH113" s="64"/>
      <c r="PHI113" s="64"/>
      <c r="PHJ113" s="64"/>
      <c r="PHK113" s="64"/>
      <c r="PHL113" s="64"/>
      <c r="PHM113" s="64"/>
      <c r="PHN113" s="64"/>
      <c r="PHO113" s="64"/>
      <c r="PHP113" s="64"/>
      <c r="PHQ113" s="64"/>
      <c r="PHR113" s="64"/>
      <c r="PHS113" s="64"/>
      <c r="PHT113" s="64"/>
      <c r="PHU113" s="64"/>
      <c r="PHV113" s="64"/>
      <c r="PHW113" s="64"/>
      <c r="PHX113" s="64"/>
      <c r="PHY113" s="64"/>
      <c r="PHZ113" s="64"/>
      <c r="PIA113" s="64"/>
      <c r="PIB113" s="64"/>
      <c r="PIC113" s="64"/>
      <c r="PID113" s="64"/>
      <c r="PIE113" s="64"/>
      <c r="PIF113" s="64"/>
      <c r="PIG113" s="64"/>
      <c r="PIH113" s="64"/>
      <c r="PII113" s="64"/>
      <c r="PIJ113" s="64"/>
      <c r="PIK113" s="64"/>
      <c r="PIL113" s="64"/>
      <c r="PIM113" s="64"/>
      <c r="PIN113" s="64"/>
      <c r="PIO113" s="64"/>
      <c r="PIP113" s="64"/>
      <c r="PIQ113" s="64"/>
      <c r="PIR113" s="64"/>
      <c r="PIS113" s="64"/>
      <c r="PIT113" s="64"/>
      <c r="PIU113" s="64"/>
      <c r="PIV113" s="64"/>
      <c r="PIW113" s="64"/>
      <c r="PIX113" s="64"/>
      <c r="PIY113" s="64"/>
      <c r="PIZ113" s="64"/>
      <c r="PJA113" s="64"/>
      <c r="PJB113" s="64"/>
      <c r="PJC113" s="64"/>
      <c r="PJD113" s="64"/>
      <c r="PJE113" s="64"/>
      <c r="PJF113" s="64"/>
      <c r="PJG113" s="64"/>
      <c r="PJH113" s="64"/>
      <c r="PJI113" s="64"/>
      <c r="PJJ113" s="64"/>
      <c r="PJK113" s="64"/>
      <c r="PJL113" s="64"/>
      <c r="PJM113" s="64"/>
      <c r="PJN113" s="64"/>
      <c r="PJO113" s="64"/>
      <c r="PJP113" s="64"/>
      <c r="PJQ113" s="64"/>
      <c r="PJR113" s="64"/>
      <c r="PJS113" s="64"/>
      <c r="PJT113" s="64"/>
      <c r="PJU113" s="64"/>
      <c r="PJV113" s="64"/>
      <c r="PJW113" s="64"/>
      <c r="PJX113" s="64"/>
      <c r="PJY113" s="64"/>
      <c r="PJZ113" s="64"/>
      <c r="PKA113" s="64"/>
      <c r="PKB113" s="64"/>
      <c r="PKC113" s="64"/>
      <c r="PKD113" s="64"/>
      <c r="PKE113" s="64"/>
      <c r="PKF113" s="64"/>
      <c r="PKG113" s="64"/>
      <c r="PKH113" s="64"/>
      <c r="PKI113" s="64"/>
      <c r="PKJ113" s="64"/>
      <c r="PKK113" s="64"/>
      <c r="PKL113" s="64"/>
      <c r="PKM113" s="64"/>
      <c r="PKN113" s="64"/>
      <c r="PKO113" s="64"/>
      <c r="PKP113" s="64"/>
      <c r="PKQ113" s="64"/>
      <c r="PKR113" s="64"/>
      <c r="PKS113" s="64"/>
      <c r="PKT113" s="64"/>
      <c r="PKU113" s="64"/>
      <c r="PKV113" s="64"/>
      <c r="PKW113" s="64"/>
      <c r="PKX113" s="64"/>
      <c r="PKY113" s="64"/>
      <c r="PKZ113" s="64"/>
      <c r="PLA113" s="64"/>
      <c r="PLB113" s="64"/>
      <c r="PLC113" s="64"/>
      <c r="PLD113" s="64"/>
      <c r="PLE113" s="64"/>
      <c r="PLF113" s="64"/>
      <c r="PLG113" s="64"/>
      <c r="PLH113" s="64"/>
      <c r="PLI113" s="64"/>
      <c r="PLJ113" s="64"/>
      <c r="PLK113" s="64"/>
      <c r="PLL113" s="64"/>
      <c r="PLM113" s="64"/>
      <c r="PLN113" s="64"/>
      <c r="PLO113" s="64"/>
      <c r="PLP113" s="64"/>
      <c r="PLQ113" s="64"/>
      <c r="PLR113" s="64"/>
      <c r="PLS113" s="64"/>
      <c r="PLT113" s="64"/>
      <c r="PLU113" s="64"/>
      <c r="PLV113" s="64"/>
      <c r="PLW113" s="64"/>
      <c r="PLX113" s="64"/>
      <c r="PLY113" s="64"/>
      <c r="PLZ113" s="64"/>
      <c r="PMA113" s="64"/>
      <c r="PMB113" s="64"/>
      <c r="PMC113" s="64"/>
      <c r="PMD113" s="64"/>
      <c r="PME113" s="64"/>
      <c r="PMF113" s="64"/>
      <c r="PMG113" s="64"/>
      <c r="PMH113" s="64"/>
      <c r="PMI113" s="64"/>
      <c r="PMJ113" s="64"/>
      <c r="PMK113" s="64"/>
      <c r="PML113" s="64"/>
      <c r="PMM113" s="64"/>
      <c r="PMN113" s="64"/>
      <c r="PMO113" s="64"/>
      <c r="PMP113" s="64"/>
      <c r="PMQ113" s="64"/>
      <c r="PMR113" s="64"/>
      <c r="PMS113" s="64"/>
      <c r="PMT113" s="64"/>
      <c r="PMU113" s="64"/>
      <c r="PMV113" s="64"/>
      <c r="PMW113" s="64"/>
      <c r="PMX113" s="64"/>
      <c r="PMY113" s="64"/>
      <c r="PMZ113" s="64"/>
      <c r="PNA113" s="64"/>
      <c r="PNB113" s="64"/>
      <c r="PNC113" s="64"/>
      <c r="PND113" s="64"/>
      <c r="PNE113" s="64"/>
      <c r="PNF113" s="64"/>
      <c r="PNG113" s="64"/>
      <c r="PNH113" s="64"/>
      <c r="PNI113" s="64"/>
      <c r="PNJ113" s="64"/>
      <c r="PNK113" s="64"/>
      <c r="PNL113" s="64"/>
      <c r="PNM113" s="64"/>
      <c r="PNN113" s="64"/>
      <c r="PNO113" s="64"/>
      <c r="PNP113" s="64"/>
      <c r="PNQ113" s="64"/>
      <c r="PNR113" s="64"/>
      <c r="PNS113" s="64"/>
      <c r="PNT113" s="64"/>
      <c r="PNU113" s="64"/>
      <c r="PNV113" s="64"/>
      <c r="PNW113" s="64"/>
      <c r="PNX113" s="64"/>
      <c r="PNY113" s="64"/>
      <c r="PNZ113" s="64"/>
      <c r="POA113" s="64"/>
      <c r="POB113" s="64"/>
      <c r="POC113" s="64"/>
      <c r="POD113" s="64"/>
      <c r="POE113" s="64"/>
      <c r="POF113" s="64"/>
      <c r="POG113" s="64"/>
      <c r="POH113" s="64"/>
      <c r="POI113" s="64"/>
      <c r="POJ113" s="64"/>
      <c r="POK113" s="64"/>
      <c r="POL113" s="64"/>
      <c r="POM113" s="64"/>
      <c r="PON113" s="64"/>
      <c r="POO113" s="64"/>
      <c r="POP113" s="64"/>
      <c r="POQ113" s="64"/>
      <c r="POR113" s="64"/>
      <c r="POS113" s="64"/>
      <c r="POT113" s="64"/>
      <c r="POU113" s="64"/>
      <c r="POV113" s="64"/>
      <c r="POW113" s="64"/>
      <c r="POX113" s="64"/>
      <c r="POY113" s="64"/>
      <c r="POZ113" s="64"/>
      <c r="PPA113" s="64"/>
      <c r="PPB113" s="64"/>
      <c r="PPC113" s="64"/>
      <c r="PPD113" s="64"/>
      <c r="PPE113" s="64"/>
      <c r="PPF113" s="64"/>
      <c r="PPG113" s="64"/>
      <c r="PPH113" s="64"/>
      <c r="PPI113" s="64"/>
      <c r="PPJ113" s="64"/>
      <c r="PPK113" s="64"/>
      <c r="PPL113" s="64"/>
      <c r="PPM113" s="64"/>
      <c r="PPN113" s="64"/>
      <c r="PPO113" s="64"/>
      <c r="PPP113" s="64"/>
      <c r="PPQ113" s="64"/>
      <c r="PPR113" s="64"/>
      <c r="PPS113" s="64"/>
      <c r="PPT113" s="64"/>
      <c r="PPU113" s="64"/>
      <c r="PPV113" s="64"/>
      <c r="PPW113" s="64"/>
      <c r="PPX113" s="64"/>
      <c r="PPY113" s="64"/>
      <c r="PPZ113" s="64"/>
      <c r="PQA113" s="64"/>
      <c r="PQB113" s="64"/>
      <c r="PQC113" s="64"/>
      <c r="PQD113" s="64"/>
      <c r="PQE113" s="64"/>
      <c r="PQF113" s="64"/>
      <c r="PQG113" s="64"/>
      <c r="PQH113" s="64"/>
      <c r="PQI113" s="64"/>
      <c r="PQJ113" s="64"/>
      <c r="PQK113" s="64"/>
      <c r="PQL113" s="64"/>
      <c r="PQM113" s="64"/>
      <c r="PQN113" s="64"/>
      <c r="PQO113" s="64"/>
      <c r="PQP113" s="64"/>
      <c r="PQQ113" s="64"/>
      <c r="PQR113" s="64"/>
      <c r="PQS113" s="64"/>
      <c r="PQT113" s="64"/>
      <c r="PQU113" s="64"/>
      <c r="PQV113" s="64"/>
      <c r="PQW113" s="64"/>
      <c r="PQX113" s="64"/>
      <c r="PQY113" s="64"/>
      <c r="PQZ113" s="64"/>
      <c r="PRA113" s="64"/>
      <c r="PRB113" s="64"/>
      <c r="PRC113" s="64"/>
      <c r="PRD113" s="64"/>
      <c r="PRE113" s="64"/>
      <c r="PRF113" s="64"/>
      <c r="PRG113" s="64"/>
      <c r="PRH113" s="64"/>
      <c r="PRI113" s="64"/>
      <c r="PRJ113" s="64"/>
      <c r="PRK113" s="64"/>
      <c r="PRL113" s="64"/>
      <c r="PRM113" s="64"/>
      <c r="PRN113" s="64"/>
      <c r="PRO113" s="64"/>
      <c r="PRP113" s="64"/>
      <c r="PRQ113" s="64"/>
      <c r="PRR113" s="64"/>
      <c r="PRS113" s="64"/>
      <c r="PRT113" s="64"/>
      <c r="PRU113" s="64"/>
      <c r="PRV113" s="64"/>
      <c r="PRW113" s="64"/>
      <c r="PRX113" s="64"/>
      <c r="PRY113" s="64"/>
      <c r="PRZ113" s="64"/>
      <c r="PSA113" s="64"/>
      <c r="PSB113" s="64"/>
      <c r="PSC113" s="64"/>
      <c r="PSD113" s="64"/>
      <c r="PSE113" s="64"/>
      <c r="PSF113" s="64"/>
      <c r="PSG113" s="64"/>
      <c r="PSH113" s="64"/>
      <c r="PSI113" s="64"/>
      <c r="PSJ113" s="64"/>
      <c r="PSK113" s="64"/>
      <c r="PSL113" s="64"/>
      <c r="PSM113" s="64"/>
      <c r="PSN113" s="64"/>
      <c r="PSO113" s="64"/>
      <c r="PSP113" s="64"/>
      <c r="PSQ113" s="64"/>
      <c r="PSR113" s="64"/>
      <c r="PSS113" s="64"/>
      <c r="PST113" s="64"/>
      <c r="PSU113" s="64"/>
      <c r="PSV113" s="64"/>
      <c r="PSW113" s="64"/>
      <c r="PSX113" s="64"/>
      <c r="PSY113" s="64"/>
      <c r="PSZ113" s="64"/>
      <c r="PTA113" s="64"/>
      <c r="PTB113" s="64"/>
      <c r="PTC113" s="64"/>
      <c r="PTD113" s="64"/>
      <c r="PTE113" s="64"/>
      <c r="PTF113" s="64"/>
      <c r="PTG113" s="64"/>
      <c r="PTH113" s="64"/>
      <c r="PTI113" s="64"/>
      <c r="PTJ113" s="64"/>
      <c r="PTK113" s="64"/>
      <c r="PTL113" s="64"/>
      <c r="PTM113" s="64"/>
      <c r="PTN113" s="64"/>
      <c r="PTO113" s="64"/>
      <c r="PTP113" s="64"/>
      <c r="PTQ113" s="64"/>
      <c r="PTR113" s="64"/>
      <c r="PTS113" s="64"/>
      <c r="PTT113" s="64"/>
      <c r="PTU113" s="64"/>
      <c r="PTV113" s="64"/>
      <c r="PTW113" s="64"/>
      <c r="PTX113" s="64"/>
      <c r="PTY113" s="64"/>
      <c r="PTZ113" s="64"/>
      <c r="PUA113" s="64"/>
      <c r="PUB113" s="64"/>
      <c r="PUC113" s="64"/>
      <c r="PUD113" s="64"/>
      <c r="PUE113" s="64"/>
      <c r="PUF113" s="64"/>
      <c r="PUG113" s="64"/>
      <c r="PUH113" s="64"/>
      <c r="PUI113" s="64"/>
      <c r="PUJ113" s="64"/>
      <c r="PUK113" s="64"/>
      <c r="PUL113" s="64"/>
      <c r="PUM113" s="64"/>
      <c r="PUN113" s="64"/>
      <c r="PUO113" s="64"/>
      <c r="PUP113" s="64"/>
      <c r="PUQ113" s="64"/>
      <c r="PUR113" s="64"/>
      <c r="PUS113" s="64"/>
      <c r="PUT113" s="64"/>
      <c r="PUU113" s="64"/>
      <c r="PUV113" s="64"/>
      <c r="PUW113" s="64"/>
      <c r="PUX113" s="64"/>
      <c r="PUY113" s="64"/>
      <c r="PUZ113" s="64"/>
      <c r="PVA113" s="64"/>
      <c r="PVB113" s="64"/>
      <c r="PVC113" s="64"/>
      <c r="PVD113" s="64"/>
      <c r="PVE113" s="64"/>
      <c r="PVF113" s="64"/>
      <c r="PVG113" s="64"/>
      <c r="PVH113" s="64"/>
      <c r="PVI113" s="64"/>
      <c r="PVJ113" s="64"/>
      <c r="PVK113" s="64"/>
      <c r="PVL113" s="64"/>
      <c r="PVM113" s="64"/>
      <c r="PVN113" s="64"/>
      <c r="PVO113" s="64"/>
      <c r="PVP113" s="64"/>
      <c r="PVQ113" s="64"/>
      <c r="PVR113" s="64"/>
      <c r="PVS113" s="64"/>
      <c r="PVT113" s="64"/>
      <c r="PVU113" s="64"/>
      <c r="PVV113" s="64"/>
      <c r="PVW113" s="64"/>
      <c r="PVX113" s="64"/>
      <c r="PVY113" s="64"/>
      <c r="PVZ113" s="64"/>
      <c r="PWA113" s="64"/>
      <c r="PWB113" s="64"/>
      <c r="PWC113" s="64"/>
      <c r="PWD113" s="64"/>
      <c r="PWE113" s="64"/>
      <c r="PWF113" s="64"/>
      <c r="PWG113" s="64"/>
      <c r="PWH113" s="64"/>
      <c r="PWI113" s="64"/>
      <c r="PWJ113" s="64"/>
      <c r="PWK113" s="64"/>
      <c r="PWL113" s="64"/>
      <c r="PWM113" s="64"/>
      <c r="PWN113" s="64"/>
      <c r="PWO113" s="64"/>
      <c r="PWP113" s="64"/>
      <c r="PWQ113" s="64"/>
      <c r="PWR113" s="64"/>
      <c r="PWS113" s="64"/>
      <c r="PWT113" s="64"/>
      <c r="PWU113" s="64"/>
      <c r="PWV113" s="64"/>
      <c r="PWW113" s="64"/>
      <c r="PWX113" s="64"/>
      <c r="PWY113" s="64"/>
      <c r="PWZ113" s="64"/>
      <c r="PXA113" s="64"/>
      <c r="PXB113" s="64"/>
      <c r="PXC113" s="64"/>
      <c r="PXD113" s="64"/>
      <c r="PXE113" s="64"/>
      <c r="PXF113" s="64"/>
      <c r="PXG113" s="64"/>
      <c r="PXH113" s="64"/>
      <c r="PXI113" s="64"/>
      <c r="PXJ113" s="64"/>
      <c r="PXK113" s="64"/>
      <c r="PXL113" s="64"/>
      <c r="PXM113" s="64"/>
      <c r="PXN113" s="64"/>
      <c r="PXO113" s="64"/>
      <c r="PXP113" s="64"/>
      <c r="PXQ113" s="64"/>
      <c r="PXR113" s="64"/>
      <c r="PXS113" s="64"/>
      <c r="PXT113" s="64"/>
      <c r="PXU113" s="64"/>
      <c r="PXV113" s="64"/>
      <c r="PXW113" s="64"/>
      <c r="PXX113" s="64"/>
      <c r="PXY113" s="64"/>
      <c r="PXZ113" s="64"/>
      <c r="PYA113" s="64"/>
      <c r="PYB113" s="64"/>
      <c r="PYC113" s="64"/>
      <c r="PYD113" s="64"/>
      <c r="PYE113" s="64"/>
      <c r="PYF113" s="64"/>
      <c r="PYG113" s="64"/>
      <c r="PYH113" s="64"/>
      <c r="PYI113" s="64"/>
      <c r="PYJ113" s="64"/>
      <c r="PYK113" s="64"/>
      <c r="PYL113" s="64"/>
      <c r="PYM113" s="64"/>
      <c r="PYN113" s="64"/>
      <c r="PYO113" s="64"/>
      <c r="PYP113" s="64"/>
      <c r="PYQ113" s="64"/>
      <c r="PYR113" s="64"/>
      <c r="PYS113" s="64"/>
      <c r="PYT113" s="64"/>
      <c r="PYU113" s="64"/>
      <c r="PYV113" s="64"/>
      <c r="PYW113" s="64"/>
      <c r="PYX113" s="64"/>
      <c r="PYY113" s="64"/>
      <c r="PYZ113" s="64"/>
      <c r="PZA113" s="64"/>
      <c r="PZB113" s="64"/>
      <c r="PZC113" s="64"/>
      <c r="PZD113" s="64"/>
      <c r="PZE113" s="64"/>
      <c r="PZF113" s="64"/>
      <c r="PZG113" s="64"/>
      <c r="PZH113" s="64"/>
      <c r="PZI113" s="64"/>
      <c r="PZJ113" s="64"/>
      <c r="PZK113" s="64"/>
      <c r="PZL113" s="64"/>
      <c r="PZM113" s="64"/>
      <c r="PZN113" s="64"/>
      <c r="PZO113" s="64"/>
      <c r="PZP113" s="64"/>
      <c r="PZQ113" s="64"/>
      <c r="PZR113" s="64"/>
      <c r="PZS113" s="64"/>
      <c r="PZT113" s="64"/>
      <c r="PZU113" s="64"/>
      <c r="PZV113" s="64"/>
      <c r="PZW113" s="64"/>
      <c r="PZX113" s="64"/>
      <c r="PZY113" s="64"/>
      <c r="PZZ113" s="64"/>
      <c r="QAA113" s="64"/>
      <c r="QAB113" s="64"/>
      <c r="QAC113" s="64"/>
      <c r="QAD113" s="64"/>
      <c r="QAE113" s="64"/>
      <c r="QAF113" s="64"/>
      <c r="QAG113" s="64"/>
      <c r="QAH113" s="64"/>
      <c r="QAI113" s="64"/>
      <c r="QAJ113" s="64"/>
      <c r="QAK113" s="64"/>
      <c r="QAL113" s="64"/>
      <c r="QAM113" s="64"/>
      <c r="QAN113" s="64"/>
      <c r="QAO113" s="64"/>
      <c r="QAP113" s="64"/>
      <c r="QAQ113" s="64"/>
      <c r="QAR113" s="64"/>
      <c r="QAS113" s="64"/>
      <c r="QAT113" s="64"/>
      <c r="QAU113" s="64"/>
      <c r="QAV113" s="64"/>
      <c r="QAW113" s="64"/>
      <c r="QAX113" s="64"/>
      <c r="QAY113" s="64"/>
      <c r="QAZ113" s="64"/>
      <c r="QBA113" s="64"/>
      <c r="QBB113" s="64"/>
      <c r="QBC113" s="64"/>
      <c r="QBD113" s="64"/>
      <c r="QBE113" s="64"/>
      <c r="QBF113" s="64"/>
      <c r="QBG113" s="64"/>
      <c r="QBH113" s="64"/>
      <c r="QBI113" s="64"/>
      <c r="QBJ113" s="64"/>
      <c r="QBK113" s="64"/>
      <c r="QBL113" s="64"/>
      <c r="QBM113" s="64"/>
      <c r="QBN113" s="64"/>
      <c r="QBO113" s="64"/>
      <c r="QBP113" s="64"/>
      <c r="QBQ113" s="64"/>
      <c r="QBR113" s="64"/>
      <c r="QBS113" s="64"/>
      <c r="QBT113" s="64"/>
      <c r="QBU113" s="64"/>
      <c r="QBV113" s="64"/>
      <c r="QBW113" s="64"/>
      <c r="QBX113" s="64"/>
      <c r="QBY113" s="64"/>
      <c r="QBZ113" s="64"/>
      <c r="QCA113" s="64"/>
      <c r="QCB113" s="64"/>
      <c r="QCC113" s="64"/>
      <c r="QCD113" s="64"/>
      <c r="QCE113" s="64"/>
      <c r="QCF113" s="64"/>
      <c r="QCG113" s="64"/>
      <c r="QCH113" s="64"/>
      <c r="QCI113" s="64"/>
      <c r="QCJ113" s="64"/>
      <c r="QCK113" s="64"/>
      <c r="QCL113" s="64"/>
      <c r="QCM113" s="64"/>
      <c r="QCN113" s="64"/>
      <c r="QCO113" s="64"/>
      <c r="QCP113" s="64"/>
      <c r="QCQ113" s="64"/>
      <c r="QCR113" s="64"/>
      <c r="QCS113" s="64"/>
      <c r="QCT113" s="64"/>
      <c r="QCU113" s="64"/>
      <c r="QCV113" s="64"/>
      <c r="QCW113" s="64"/>
      <c r="QCX113" s="64"/>
      <c r="QCY113" s="64"/>
      <c r="QCZ113" s="64"/>
      <c r="QDA113" s="64"/>
      <c r="QDB113" s="64"/>
      <c r="QDC113" s="64"/>
      <c r="QDD113" s="64"/>
      <c r="QDE113" s="64"/>
      <c r="QDF113" s="64"/>
      <c r="QDG113" s="64"/>
      <c r="QDH113" s="64"/>
      <c r="QDI113" s="64"/>
      <c r="QDJ113" s="64"/>
      <c r="QDK113" s="64"/>
      <c r="QDL113" s="64"/>
      <c r="QDM113" s="64"/>
      <c r="QDN113" s="64"/>
      <c r="QDO113" s="64"/>
      <c r="QDP113" s="64"/>
      <c r="QDQ113" s="64"/>
      <c r="QDR113" s="64"/>
      <c r="QDS113" s="64"/>
      <c r="QDT113" s="64"/>
      <c r="QDU113" s="64"/>
      <c r="QDV113" s="64"/>
      <c r="QDW113" s="64"/>
      <c r="QDX113" s="64"/>
      <c r="QDY113" s="64"/>
      <c r="QDZ113" s="64"/>
      <c r="QEA113" s="64"/>
      <c r="QEB113" s="64"/>
      <c r="QEC113" s="64"/>
      <c r="QED113" s="64"/>
      <c r="QEE113" s="64"/>
      <c r="QEF113" s="64"/>
      <c r="QEG113" s="64"/>
      <c r="QEH113" s="64"/>
      <c r="QEI113" s="64"/>
      <c r="QEJ113" s="64"/>
      <c r="QEK113" s="64"/>
      <c r="QEL113" s="64"/>
      <c r="QEM113" s="64"/>
      <c r="QEN113" s="64"/>
      <c r="QEO113" s="64"/>
      <c r="QEP113" s="64"/>
      <c r="QEQ113" s="64"/>
      <c r="QER113" s="64"/>
      <c r="QES113" s="64"/>
      <c r="QET113" s="64"/>
      <c r="QEU113" s="64"/>
      <c r="QEV113" s="64"/>
      <c r="QEW113" s="64"/>
      <c r="QEX113" s="64"/>
      <c r="QEY113" s="64"/>
      <c r="QEZ113" s="64"/>
      <c r="QFA113" s="64"/>
      <c r="QFB113" s="64"/>
      <c r="QFC113" s="64"/>
      <c r="QFD113" s="64"/>
      <c r="QFE113" s="64"/>
      <c r="QFF113" s="64"/>
      <c r="QFG113" s="64"/>
      <c r="QFH113" s="64"/>
      <c r="QFI113" s="64"/>
      <c r="QFJ113" s="64"/>
      <c r="QFK113" s="64"/>
      <c r="QFL113" s="64"/>
      <c r="QFM113" s="64"/>
      <c r="QFN113" s="64"/>
      <c r="QFO113" s="64"/>
      <c r="QFP113" s="64"/>
      <c r="QFQ113" s="64"/>
      <c r="QFR113" s="64"/>
      <c r="QFS113" s="64"/>
      <c r="QFT113" s="64"/>
      <c r="QFU113" s="64"/>
      <c r="QFV113" s="64"/>
      <c r="QFW113" s="64"/>
      <c r="QFX113" s="64"/>
      <c r="QFY113" s="64"/>
      <c r="QFZ113" s="64"/>
      <c r="QGA113" s="64"/>
      <c r="QGB113" s="64"/>
      <c r="QGC113" s="64"/>
      <c r="QGD113" s="64"/>
      <c r="QGE113" s="64"/>
      <c r="QGF113" s="64"/>
      <c r="QGG113" s="64"/>
      <c r="QGH113" s="64"/>
      <c r="QGI113" s="64"/>
      <c r="QGJ113" s="64"/>
      <c r="QGK113" s="64"/>
      <c r="QGL113" s="64"/>
      <c r="QGM113" s="64"/>
      <c r="QGN113" s="64"/>
      <c r="QGO113" s="64"/>
      <c r="QGP113" s="64"/>
      <c r="QGQ113" s="64"/>
      <c r="QGR113" s="64"/>
      <c r="QGS113" s="64"/>
      <c r="QGT113" s="64"/>
      <c r="QGU113" s="64"/>
      <c r="QGV113" s="64"/>
      <c r="QGW113" s="64"/>
      <c r="QGX113" s="64"/>
      <c r="QGY113" s="64"/>
      <c r="QGZ113" s="64"/>
      <c r="QHA113" s="64"/>
      <c r="QHB113" s="64"/>
      <c r="QHC113" s="64"/>
      <c r="QHD113" s="64"/>
      <c r="QHE113" s="64"/>
      <c r="QHF113" s="64"/>
      <c r="QHG113" s="64"/>
      <c r="QHH113" s="64"/>
      <c r="QHI113" s="64"/>
      <c r="QHJ113" s="64"/>
      <c r="QHK113" s="64"/>
      <c r="QHL113" s="64"/>
      <c r="QHM113" s="64"/>
      <c r="QHN113" s="64"/>
      <c r="QHO113" s="64"/>
      <c r="QHP113" s="64"/>
      <c r="QHQ113" s="64"/>
      <c r="QHR113" s="64"/>
      <c r="QHS113" s="64"/>
      <c r="QHT113" s="64"/>
      <c r="QHU113" s="64"/>
      <c r="QHV113" s="64"/>
      <c r="QHW113" s="64"/>
      <c r="QHX113" s="64"/>
      <c r="QHY113" s="64"/>
      <c r="QHZ113" s="64"/>
      <c r="QIA113" s="64"/>
      <c r="QIB113" s="64"/>
      <c r="QIC113" s="64"/>
      <c r="QID113" s="64"/>
      <c r="QIE113" s="64"/>
      <c r="QIF113" s="64"/>
      <c r="QIG113" s="64"/>
      <c r="QIH113" s="64"/>
      <c r="QII113" s="64"/>
      <c r="QIJ113" s="64"/>
      <c r="QIK113" s="64"/>
      <c r="QIL113" s="64"/>
      <c r="QIM113" s="64"/>
      <c r="QIN113" s="64"/>
      <c r="QIO113" s="64"/>
      <c r="QIP113" s="64"/>
      <c r="QIQ113" s="64"/>
      <c r="QIR113" s="64"/>
      <c r="QIS113" s="64"/>
      <c r="QIT113" s="64"/>
      <c r="QIU113" s="64"/>
      <c r="QIV113" s="64"/>
      <c r="QIW113" s="64"/>
      <c r="QIX113" s="64"/>
      <c r="QIY113" s="64"/>
      <c r="QIZ113" s="64"/>
      <c r="QJA113" s="64"/>
      <c r="QJB113" s="64"/>
      <c r="QJC113" s="64"/>
      <c r="QJD113" s="64"/>
      <c r="QJE113" s="64"/>
      <c r="QJF113" s="64"/>
      <c r="QJG113" s="64"/>
      <c r="QJH113" s="64"/>
      <c r="QJI113" s="64"/>
      <c r="QJJ113" s="64"/>
      <c r="QJK113" s="64"/>
      <c r="QJL113" s="64"/>
      <c r="QJM113" s="64"/>
      <c r="QJN113" s="64"/>
      <c r="QJO113" s="64"/>
      <c r="QJP113" s="64"/>
      <c r="QJQ113" s="64"/>
      <c r="QJR113" s="64"/>
      <c r="QJS113" s="64"/>
      <c r="QJT113" s="64"/>
      <c r="QJU113" s="64"/>
      <c r="QJV113" s="64"/>
      <c r="QJW113" s="64"/>
      <c r="QJX113" s="64"/>
      <c r="QJY113" s="64"/>
      <c r="QJZ113" s="64"/>
      <c r="QKA113" s="64"/>
      <c r="QKB113" s="64"/>
      <c r="QKC113" s="64"/>
      <c r="QKD113" s="64"/>
      <c r="QKE113" s="64"/>
      <c r="QKF113" s="64"/>
      <c r="QKG113" s="64"/>
      <c r="QKH113" s="64"/>
      <c r="QKI113" s="64"/>
      <c r="QKJ113" s="64"/>
      <c r="QKK113" s="64"/>
      <c r="QKL113" s="64"/>
      <c r="QKM113" s="64"/>
      <c r="QKN113" s="64"/>
      <c r="QKO113" s="64"/>
      <c r="QKP113" s="64"/>
      <c r="QKQ113" s="64"/>
      <c r="QKR113" s="64"/>
      <c r="QKS113" s="64"/>
      <c r="QKT113" s="64"/>
      <c r="QKU113" s="64"/>
      <c r="QKV113" s="64"/>
      <c r="QKW113" s="64"/>
      <c r="QKX113" s="64"/>
      <c r="QKY113" s="64"/>
      <c r="QKZ113" s="64"/>
      <c r="QLA113" s="64"/>
      <c r="QLB113" s="64"/>
      <c r="QLC113" s="64"/>
      <c r="QLD113" s="64"/>
      <c r="QLE113" s="64"/>
      <c r="QLF113" s="64"/>
      <c r="QLG113" s="64"/>
      <c r="QLH113" s="64"/>
      <c r="QLI113" s="64"/>
      <c r="QLJ113" s="64"/>
      <c r="QLK113" s="64"/>
      <c r="QLL113" s="64"/>
      <c r="QLM113" s="64"/>
      <c r="QLN113" s="64"/>
      <c r="QLO113" s="64"/>
      <c r="QLP113" s="64"/>
      <c r="QLQ113" s="64"/>
      <c r="QLR113" s="64"/>
      <c r="QLS113" s="64"/>
      <c r="QLT113" s="64"/>
      <c r="QLU113" s="64"/>
      <c r="QLV113" s="64"/>
      <c r="QLW113" s="64"/>
      <c r="QLX113" s="64"/>
      <c r="QLY113" s="64"/>
      <c r="QLZ113" s="64"/>
      <c r="QMA113" s="64"/>
      <c r="QMB113" s="64"/>
      <c r="QMC113" s="64"/>
      <c r="QMD113" s="64"/>
      <c r="QME113" s="64"/>
      <c r="QMF113" s="64"/>
      <c r="QMG113" s="64"/>
      <c r="QMH113" s="64"/>
      <c r="QMI113" s="64"/>
      <c r="QMJ113" s="64"/>
      <c r="QMK113" s="64"/>
      <c r="QML113" s="64"/>
      <c r="QMM113" s="64"/>
      <c r="QMN113" s="64"/>
      <c r="QMO113" s="64"/>
      <c r="QMP113" s="64"/>
      <c r="QMQ113" s="64"/>
      <c r="QMR113" s="64"/>
      <c r="QMS113" s="64"/>
      <c r="QMT113" s="64"/>
      <c r="QMU113" s="64"/>
      <c r="QMV113" s="64"/>
      <c r="QMW113" s="64"/>
      <c r="QMX113" s="64"/>
      <c r="QMY113" s="64"/>
      <c r="QMZ113" s="64"/>
      <c r="QNA113" s="64"/>
      <c r="QNB113" s="64"/>
      <c r="QNC113" s="64"/>
      <c r="QND113" s="64"/>
      <c r="QNE113" s="64"/>
      <c r="QNF113" s="64"/>
      <c r="QNG113" s="64"/>
      <c r="QNH113" s="64"/>
      <c r="QNI113" s="64"/>
      <c r="QNJ113" s="64"/>
      <c r="QNK113" s="64"/>
      <c r="QNL113" s="64"/>
      <c r="QNM113" s="64"/>
      <c r="QNN113" s="64"/>
      <c r="QNO113" s="64"/>
      <c r="QNP113" s="64"/>
      <c r="QNQ113" s="64"/>
      <c r="QNR113" s="64"/>
      <c r="QNS113" s="64"/>
      <c r="QNT113" s="64"/>
      <c r="QNU113" s="64"/>
      <c r="QNV113" s="64"/>
      <c r="QNW113" s="64"/>
      <c r="QNX113" s="64"/>
      <c r="QNY113" s="64"/>
      <c r="QNZ113" s="64"/>
      <c r="QOA113" s="64"/>
      <c r="QOB113" s="64"/>
      <c r="QOC113" s="64"/>
      <c r="QOD113" s="64"/>
      <c r="QOE113" s="64"/>
      <c r="QOF113" s="64"/>
      <c r="QOG113" s="64"/>
      <c r="QOH113" s="64"/>
      <c r="QOI113" s="64"/>
      <c r="QOJ113" s="64"/>
      <c r="QOK113" s="64"/>
      <c r="QOL113" s="64"/>
      <c r="QOM113" s="64"/>
      <c r="QON113" s="64"/>
      <c r="QOO113" s="64"/>
      <c r="QOP113" s="64"/>
      <c r="QOQ113" s="64"/>
      <c r="QOR113" s="64"/>
      <c r="QOS113" s="64"/>
      <c r="QOT113" s="64"/>
      <c r="QOU113" s="64"/>
      <c r="QOV113" s="64"/>
      <c r="QOW113" s="64"/>
      <c r="QOX113" s="64"/>
      <c r="QOY113" s="64"/>
      <c r="QOZ113" s="64"/>
      <c r="QPA113" s="64"/>
      <c r="QPB113" s="64"/>
      <c r="QPC113" s="64"/>
      <c r="QPD113" s="64"/>
      <c r="QPE113" s="64"/>
      <c r="QPF113" s="64"/>
      <c r="QPG113" s="64"/>
      <c r="QPH113" s="64"/>
      <c r="QPI113" s="64"/>
      <c r="QPJ113" s="64"/>
      <c r="QPK113" s="64"/>
      <c r="QPL113" s="64"/>
      <c r="QPM113" s="64"/>
      <c r="QPN113" s="64"/>
      <c r="QPO113" s="64"/>
      <c r="QPP113" s="64"/>
      <c r="QPQ113" s="64"/>
      <c r="QPR113" s="64"/>
      <c r="QPS113" s="64"/>
      <c r="QPT113" s="64"/>
      <c r="QPU113" s="64"/>
      <c r="QPV113" s="64"/>
      <c r="QPW113" s="64"/>
      <c r="QPX113" s="64"/>
      <c r="QPY113" s="64"/>
      <c r="QPZ113" s="64"/>
      <c r="QQA113" s="64"/>
      <c r="QQB113" s="64"/>
      <c r="QQC113" s="64"/>
      <c r="QQD113" s="64"/>
      <c r="QQE113" s="64"/>
      <c r="QQF113" s="64"/>
      <c r="QQG113" s="64"/>
      <c r="QQH113" s="64"/>
      <c r="QQI113" s="64"/>
      <c r="QQJ113" s="64"/>
      <c r="QQK113" s="64"/>
      <c r="QQL113" s="64"/>
      <c r="QQM113" s="64"/>
      <c r="QQN113" s="64"/>
      <c r="QQO113" s="64"/>
      <c r="QQP113" s="64"/>
      <c r="QQQ113" s="64"/>
      <c r="QQR113" s="64"/>
      <c r="QQS113" s="64"/>
      <c r="QQT113" s="64"/>
      <c r="QQU113" s="64"/>
      <c r="QQV113" s="64"/>
      <c r="QQW113" s="64"/>
      <c r="QQX113" s="64"/>
      <c r="QQY113" s="64"/>
      <c r="QQZ113" s="64"/>
      <c r="QRA113" s="64"/>
      <c r="QRB113" s="64"/>
      <c r="QRC113" s="64"/>
      <c r="QRD113" s="64"/>
      <c r="QRE113" s="64"/>
      <c r="QRF113" s="64"/>
      <c r="QRG113" s="64"/>
      <c r="QRH113" s="64"/>
      <c r="QRI113" s="64"/>
      <c r="QRJ113" s="64"/>
      <c r="QRK113" s="64"/>
      <c r="QRL113" s="64"/>
      <c r="QRM113" s="64"/>
      <c r="QRN113" s="64"/>
      <c r="QRO113" s="64"/>
      <c r="QRP113" s="64"/>
      <c r="QRQ113" s="64"/>
      <c r="QRR113" s="64"/>
      <c r="QRS113" s="64"/>
      <c r="QRT113" s="64"/>
      <c r="QRU113" s="64"/>
      <c r="QRV113" s="64"/>
      <c r="QRW113" s="64"/>
      <c r="QRX113" s="64"/>
      <c r="QRY113" s="64"/>
      <c r="QRZ113" s="64"/>
      <c r="QSA113" s="64"/>
      <c r="QSB113" s="64"/>
      <c r="QSC113" s="64"/>
      <c r="QSD113" s="64"/>
      <c r="QSE113" s="64"/>
      <c r="QSF113" s="64"/>
      <c r="QSG113" s="64"/>
      <c r="QSH113" s="64"/>
      <c r="QSI113" s="64"/>
      <c r="QSJ113" s="64"/>
      <c r="QSK113" s="64"/>
      <c r="QSL113" s="64"/>
      <c r="QSM113" s="64"/>
      <c r="QSN113" s="64"/>
      <c r="QSO113" s="64"/>
      <c r="QSP113" s="64"/>
      <c r="QSQ113" s="64"/>
      <c r="QSR113" s="64"/>
      <c r="QSS113" s="64"/>
      <c r="QST113" s="64"/>
      <c r="QSU113" s="64"/>
      <c r="QSV113" s="64"/>
      <c r="QSW113" s="64"/>
      <c r="QSX113" s="64"/>
      <c r="QSY113" s="64"/>
      <c r="QSZ113" s="64"/>
      <c r="QTA113" s="64"/>
      <c r="QTB113" s="64"/>
      <c r="QTC113" s="64"/>
      <c r="QTD113" s="64"/>
      <c r="QTE113" s="64"/>
      <c r="QTF113" s="64"/>
      <c r="QTG113" s="64"/>
      <c r="QTH113" s="64"/>
      <c r="QTI113" s="64"/>
      <c r="QTJ113" s="64"/>
      <c r="QTK113" s="64"/>
      <c r="QTL113" s="64"/>
      <c r="QTM113" s="64"/>
      <c r="QTN113" s="64"/>
      <c r="QTO113" s="64"/>
      <c r="QTP113" s="64"/>
      <c r="QTQ113" s="64"/>
      <c r="QTR113" s="64"/>
      <c r="QTS113" s="64"/>
      <c r="QTT113" s="64"/>
      <c r="QTU113" s="64"/>
      <c r="QTV113" s="64"/>
      <c r="QTW113" s="64"/>
      <c r="QTX113" s="64"/>
      <c r="QTY113" s="64"/>
      <c r="QTZ113" s="64"/>
      <c r="QUA113" s="64"/>
      <c r="QUB113" s="64"/>
      <c r="QUC113" s="64"/>
      <c r="QUD113" s="64"/>
      <c r="QUE113" s="64"/>
      <c r="QUF113" s="64"/>
      <c r="QUG113" s="64"/>
      <c r="QUH113" s="64"/>
      <c r="QUI113" s="64"/>
      <c r="QUJ113" s="64"/>
      <c r="QUK113" s="64"/>
      <c r="QUL113" s="64"/>
      <c r="QUM113" s="64"/>
      <c r="QUN113" s="64"/>
      <c r="QUO113" s="64"/>
      <c r="QUP113" s="64"/>
      <c r="QUQ113" s="64"/>
      <c r="QUR113" s="64"/>
      <c r="QUS113" s="64"/>
      <c r="QUT113" s="64"/>
      <c r="QUU113" s="64"/>
      <c r="QUV113" s="64"/>
      <c r="QUW113" s="64"/>
      <c r="QUX113" s="64"/>
      <c r="QUY113" s="64"/>
      <c r="QUZ113" s="64"/>
      <c r="QVA113" s="64"/>
      <c r="QVB113" s="64"/>
      <c r="QVC113" s="64"/>
      <c r="QVD113" s="64"/>
      <c r="QVE113" s="64"/>
      <c r="QVF113" s="64"/>
      <c r="QVG113" s="64"/>
      <c r="QVH113" s="64"/>
      <c r="QVI113" s="64"/>
      <c r="QVJ113" s="64"/>
      <c r="QVK113" s="64"/>
      <c r="QVL113" s="64"/>
      <c r="QVM113" s="64"/>
      <c r="QVN113" s="64"/>
      <c r="QVO113" s="64"/>
      <c r="QVP113" s="64"/>
      <c r="QVQ113" s="64"/>
      <c r="QVR113" s="64"/>
      <c r="QVS113" s="64"/>
      <c r="QVT113" s="64"/>
      <c r="QVU113" s="64"/>
      <c r="QVV113" s="64"/>
      <c r="QVW113" s="64"/>
      <c r="QVX113" s="64"/>
      <c r="QVY113" s="64"/>
      <c r="QVZ113" s="64"/>
      <c r="QWA113" s="64"/>
      <c r="QWB113" s="64"/>
      <c r="QWC113" s="64"/>
      <c r="QWD113" s="64"/>
      <c r="QWE113" s="64"/>
      <c r="QWF113" s="64"/>
      <c r="QWG113" s="64"/>
      <c r="QWH113" s="64"/>
      <c r="QWI113" s="64"/>
      <c r="QWJ113" s="64"/>
      <c r="QWK113" s="64"/>
      <c r="QWL113" s="64"/>
      <c r="QWM113" s="64"/>
      <c r="QWN113" s="64"/>
      <c r="QWO113" s="64"/>
      <c r="QWP113" s="64"/>
      <c r="QWQ113" s="64"/>
      <c r="QWR113" s="64"/>
      <c r="QWS113" s="64"/>
      <c r="QWT113" s="64"/>
      <c r="QWU113" s="64"/>
      <c r="QWV113" s="64"/>
      <c r="QWW113" s="64"/>
      <c r="QWX113" s="64"/>
      <c r="QWY113" s="64"/>
      <c r="QWZ113" s="64"/>
      <c r="QXA113" s="64"/>
      <c r="QXB113" s="64"/>
      <c r="QXC113" s="64"/>
      <c r="QXD113" s="64"/>
      <c r="QXE113" s="64"/>
      <c r="QXF113" s="64"/>
      <c r="QXG113" s="64"/>
      <c r="QXH113" s="64"/>
      <c r="QXI113" s="64"/>
      <c r="QXJ113" s="64"/>
      <c r="QXK113" s="64"/>
      <c r="QXL113" s="64"/>
      <c r="QXM113" s="64"/>
      <c r="QXN113" s="64"/>
      <c r="QXO113" s="64"/>
      <c r="QXP113" s="64"/>
      <c r="QXQ113" s="64"/>
      <c r="QXR113" s="64"/>
      <c r="QXS113" s="64"/>
      <c r="QXT113" s="64"/>
      <c r="QXU113" s="64"/>
      <c r="QXV113" s="64"/>
      <c r="QXW113" s="64"/>
      <c r="QXX113" s="64"/>
      <c r="QXY113" s="64"/>
      <c r="QXZ113" s="64"/>
      <c r="QYA113" s="64"/>
      <c r="QYB113" s="64"/>
      <c r="QYC113" s="64"/>
      <c r="QYD113" s="64"/>
      <c r="QYE113" s="64"/>
      <c r="QYF113" s="64"/>
      <c r="QYG113" s="64"/>
      <c r="QYH113" s="64"/>
      <c r="QYI113" s="64"/>
      <c r="QYJ113" s="64"/>
      <c r="QYK113" s="64"/>
      <c r="QYL113" s="64"/>
      <c r="QYM113" s="64"/>
      <c r="QYN113" s="64"/>
      <c r="QYO113" s="64"/>
      <c r="QYP113" s="64"/>
      <c r="QYQ113" s="64"/>
      <c r="QYR113" s="64"/>
      <c r="QYS113" s="64"/>
      <c r="QYT113" s="64"/>
      <c r="QYU113" s="64"/>
      <c r="QYV113" s="64"/>
      <c r="QYW113" s="64"/>
      <c r="QYX113" s="64"/>
      <c r="QYY113" s="64"/>
      <c r="QYZ113" s="64"/>
      <c r="QZA113" s="64"/>
      <c r="QZB113" s="64"/>
      <c r="QZC113" s="64"/>
      <c r="QZD113" s="64"/>
      <c r="QZE113" s="64"/>
      <c r="QZF113" s="64"/>
      <c r="QZG113" s="64"/>
      <c r="QZH113" s="64"/>
      <c r="QZI113" s="64"/>
      <c r="QZJ113" s="64"/>
      <c r="QZK113" s="64"/>
      <c r="QZL113" s="64"/>
      <c r="QZM113" s="64"/>
      <c r="QZN113" s="64"/>
      <c r="QZO113" s="64"/>
      <c r="QZP113" s="64"/>
      <c r="QZQ113" s="64"/>
      <c r="QZR113" s="64"/>
      <c r="QZS113" s="64"/>
      <c r="QZT113" s="64"/>
      <c r="QZU113" s="64"/>
      <c r="QZV113" s="64"/>
      <c r="QZW113" s="64"/>
      <c r="QZX113" s="64"/>
      <c r="QZY113" s="64"/>
      <c r="QZZ113" s="64"/>
      <c r="RAA113" s="64"/>
      <c r="RAB113" s="64"/>
      <c r="RAC113" s="64"/>
      <c r="RAD113" s="64"/>
      <c r="RAE113" s="64"/>
      <c r="RAF113" s="64"/>
      <c r="RAG113" s="64"/>
      <c r="RAH113" s="64"/>
      <c r="RAI113" s="64"/>
      <c r="RAJ113" s="64"/>
      <c r="RAK113" s="64"/>
      <c r="RAL113" s="64"/>
      <c r="RAM113" s="64"/>
      <c r="RAN113" s="64"/>
      <c r="RAO113" s="64"/>
      <c r="RAP113" s="64"/>
      <c r="RAQ113" s="64"/>
      <c r="RAR113" s="64"/>
      <c r="RAS113" s="64"/>
      <c r="RAT113" s="64"/>
      <c r="RAU113" s="64"/>
      <c r="RAV113" s="64"/>
      <c r="RAW113" s="64"/>
      <c r="RAX113" s="64"/>
      <c r="RAY113" s="64"/>
      <c r="RAZ113" s="64"/>
      <c r="RBA113" s="64"/>
      <c r="RBB113" s="64"/>
      <c r="RBC113" s="64"/>
      <c r="RBD113" s="64"/>
      <c r="RBE113" s="64"/>
      <c r="RBF113" s="64"/>
      <c r="RBG113" s="64"/>
      <c r="RBH113" s="64"/>
      <c r="RBI113" s="64"/>
      <c r="RBJ113" s="64"/>
      <c r="RBK113" s="64"/>
      <c r="RBL113" s="64"/>
      <c r="RBM113" s="64"/>
      <c r="RBN113" s="64"/>
      <c r="RBO113" s="64"/>
      <c r="RBP113" s="64"/>
      <c r="RBQ113" s="64"/>
      <c r="RBR113" s="64"/>
      <c r="RBS113" s="64"/>
      <c r="RBT113" s="64"/>
      <c r="RBU113" s="64"/>
      <c r="RBV113" s="64"/>
      <c r="RBW113" s="64"/>
      <c r="RBX113" s="64"/>
      <c r="RBY113" s="64"/>
      <c r="RBZ113" s="64"/>
      <c r="RCA113" s="64"/>
      <c r="RCB113" s="64"/>
      <c r="RCC113" s="64"/>
      <c r="RCD113" s="64"/>
      <c r="RCE113" s="64"/>
      <c r="RCF113" s="64"/>
      <c r="RCG113" s="64"/>
      <c r="RCH113" s="64"/>
      <c r="RCI113" s="64"/>
      <c r="RCJ113" s="64"/>
      <c r="RCK113" s="64"/>
      <c r="RCL113" s="64"/>
      <c r="RCM113" s="64"/>
      <c r="RCN113" s="64"/>
      <c r="RCO113" s="64"/>
      <c r="RCP113" s="64"/>
      <c r="RCQ113" s="64"/>
      <c r="RCR113" s="64"/>
      <c r="RCS113" s="64"/>
      <c r="RCT113" s="64"/>
      <c r="RCU113" s="64"/>
      <c r="RCV113" s="64"/>
      <c r="RCW113" s="64"/>
      <c r="RCX113" s="64"/>
      <c r="RCY113" s="64"/>
      <c r="RCZ113" s="64"/>
      <c r="RDA113" s="64"/>
      <c r="RDB113" s="64"/>
      <c r="RDC113" s="64"/>
      <c r="RDD113" s="64"/>
      <c r="RDE113" s="64"/>
      <c r="RDF113" s="64"/>
      <c r="RDG113" s="64"/>
      <c r="RDH113" s="64"/>
      <c r="RDI113" s="64"/>
      <c r="RDJ113" s="64"/>
      <c r="RDK113" s="64"/>
      <c r="RDL113" s="64"/>
      <c r="RDM113" s="64"/>
      <c r="RDN113" s="64"/>
      <c r="RDO113" s="64"/>
      <c r="RDP113" s="64"/>
      <c r="RDQ113" s="64"/>
      <c r="RDR113" s="64"/>
      <c r="RDS113" s="64"/>
      <c r="RDT113" s="64"/>
      <c r="RDU113" s="64"/>
      <c r="RDV113" s="64"/>
      <c r="RDW113" s="64"/>
      <c r="RDX113" s="64"/>
      <c r="RDY113" s="64"/>
      <c r="RDZ113" s="64"/>
      <c r="REA113" s="64"/>
      <c r="REB113" s="64"/>
      <c r="REC113" s="64"/>
      <c r="RED113" s="64"/>
      <c r="REE113" s="64"/>
      <c r="REF113" s="64"/>
      <c r="REG113" s="64"/>
      <c r="REH113" s="64"/>
      <c r="REI113" s="64"/>
      <c r="REJ113" s="64"/>
      <c r="REK113" s="64"/>
      <c r="REL113" s="64"/>
      <c r="REM113" s="64"/>
      <c r="REN113" s="64"/>
      <c r="REO113" s="64"/>
      <c r="REP113" s="64"/>
      <c r="REQ113" s="64"/>
      <c r="RER113" s="64"/>
      <c r="RES113" s="64"/>
      <c r="RET113" s="64"/>
      <c r="REU113" s="64"/>
      <c r="REV113" s="64"/>
      <c r="REW113" s="64"/>
      <c r="REX113" s="64"/>
      <c r="REY113" s="64"/>
      <c r="REZ113" s="64"/>
      <c r="RFA113" s="64"/>
      <c r="RFB113" s="64"/>
      <c r="RFC113" s="64"/>
      <c r="RFD113" s="64"/>
      <c r="RFE113" s="64"/>
      <c r="RFF113" s="64"/>
      <c r="RFG113" s="64"/>
      <c r="RFH113" s="64"/>
      <c r="RFI113" s="64"/>
      <c r="RFJ113" s="64"/>
      <c r="RFK113" s="64"/>
      <c r="RFL113" s="64"/>
      <c r="RFM113" s="64"/>
      <c r="RFN113" s="64"/>
      <c r="RFO113" s="64"/>
      <c r="RFP113" s="64"/>
      <c r="RFQ113" s="64"/>
      <c r="RFR113" s="64"/>
      <c r="RFS113" s="64"/>
      <c r="RFT113" s="64"/>
      <c r="RFU113" s="64"/>
      <c r="RFV113" s="64"/>
      <c r="RFW113" s="64"/>
      <c r="RFX113" s="64"/>
      <c r="RFY113" s="64"/>
      <c r="RFZ113" s="64"/>
      <c r="RGA113" s="64"/>
      <c r="RGB113" s="64"/>
      <c r="RGC113" s="64"/>
      <c r="RGD113" s="64"/>
      <c r="RGE113" s="64"/>
      <c r="RGF113" s="64"/>
      <c r="RGG113" s="64"/>
      <c r="RGH113" s="64"/>
      <c r="RGI113" s="64"/>
      <c r="RGJ113" s="64"/>
      <c r="RGK113" s="64"/>
      <c r="RGL113" s="64"/>
      <c r="RGM113" s="64"/>
      <c r="RGN113" s="64"/>
      <c r="RGO113" s="64"/>
      <c r="RGP113" s="64"/>
      <c r="RGQ113" s="64"/>
      <c r="RGR113" s="64"/>
      <c r="RGS113" s="64"/>
      <c r="RGT113" s="64"/>
      <c r="RGU113" s="64"/>
      <c r="RGV113" s="64"/>
      <c r="RGW113" s="64"/>
      <c r="RGX113" s="64"/>
      <c r="RGY113" s="64"/>
      <c r="RGZ113" s="64"/>
      <c r="RHA113" s="64"/>
      <c r="RHB113" s="64"/>
      <c r="RHC113" s="64"/>
      <c r="RHD113" s="64"/>
      <c r="RHE113" s="64"/>
      <c r="RHF113" s="64"/>
      <c r="RHG113" s="64"/>
      <c r="RHH113" s="64"/>
      <c r="RHI113" s="64"/>
      <c r="RHJ113" s="64"/>
      <c r="RHK113" s="64"/>
      <c r="RHL113" s="64"/>
      <c r="RHM113" s="64"/>
      <c r="RHN113" s="64"/>
      <c r="RHO113" s="64"/>
      <c r="RHP113" s="64"/>
      <c r="RHQ113" s="64"/>
      <c r="RHR113" s="64"/>
      <c r="RHS113" s="64"/>
      <c r="RHT113" s="64"/>
      <c r="RHU113" s="64"/>
      <c r="RHV113" s="64"/>
      <c r="RHW113" s="64"/>
      <c r="RHX113" s="64"/>
      <c r="RHY113" s="64"/>
      <c r="RHZ113" s="64"/>
      <c r="RIA113" s="64"/>
      <c r="RIB113" s="64"/>
      <c r="RIC113" s="64"/>
      <c r="RID113" s="64"/>
      <c r="RIE113" s="64"/>
      <c r="RIF113" s="64"/>
      <c r="RIG113" s="64"/>
      <c r="RIH113" s="64"/>
      <c r="RII113" s="64"/>
      <c r="RIJ113" s="64"/>
      <c r="RIK113" s="64"/>
      <c r="RIL113" s="64"/>
      <c r="RIM113" s="64"/>
      <c r="RIN113" s="64"/>
      <c r="RIO113" s="64"/>
      <c r="RIP113" s="64"/>
      <c r="RIQ113" s="64"/>
      <c r="RIR113" s="64"/>
      <c r="RIS113" s="64"/>
      <c r="RIT113" s="64"/>
      <c r="RIU113" s="64"/>
      <c r="RIV113" s="64"/>
      <c r="RIW113" s="64"/>
      <c r="RIX113" s="64"/>
      <c r="RIY113" s="64"/>
      <c r="RIZ113" s="64"/>
      <c r="RJA113" s="64"/>
      <c r="RJB113" s="64"/>
      <c r="RJC113" s="64"/>
      <c r="RJD113" s="64"/>
      <c r="RJE113" s="64"/>
      <c r="RJF113" s="64"/>
      <c r="RJG113" s="64"/>
      <c r="RJH113" s="64"/>
      <c r="RJI113" s="64"/>
      <c r="RJJ113" s="64"/>
      <c r="RJK113" s="64"/>
      <c r="RJL113" s="64"/>
      <c r="RJM113" s="64"/>
      <c r="RJN113" s="64"/>
      <c r="RJO113" s="64"/>
      <c r="RJP113" s="64"/>
      <c r="RJQ113" s="64"/>
      <c r="RJR113" s="64"/>
      <c r="RJS113" s="64"/>
      <c r="RJT113" s="64"/>
      <c r="RJU113" s="64"/>
      <c r="RJV113" s="64"/>
      <c r="RJW113" s="64"/>
      <c r="RJX113" s="64"/>
      <c r="RJY113" s="64"/>
      <c r="RJZ113" s="64"/>
      <c r="RKA113" s="64"/>
      <c r="RKB113" s="64"/>
      <c r="RKC113" s="64"/>
      <c r="RKD113" s="64"/>
      <c r="RKE113" s="64"/>
      <c r="RKF113" s="64"/>
      <c r="RKG113" s="64"/>
      <c r="RKH113" s="64"/>
      <c r="RKI113" s="64"/>
      <c r="RKJ113" s="64"/>
      <c r="RKK113" s="64"/>
      <c r="RKL113" s="64"/>
      <c r="RKM113" s="64"/>
      <c r="RKN113" s="64"/>
      <c r="RKO113" s="64"/>
      <c r="RKP113" s="64"/>
      <c r="RKQ113" s="64"/>
      <c r="RKR113" s="64"/>
      <c r="RKS113" s="64"/>
      <c r="RKT113" s="64"/>
      <c r="RKU113" s="64"/>
      <c r="RKV113" s="64"/>
      <c r="RKW113" s="64"/>
      <c r="RKX113" s="64"/>
      <c r="RKY113" s="64"/>
      <c r="RKZ113" s="64"/>
      <c r="RLA113" s="64"/>
      <c r="RLB113" s="64"/>
      <c r="RLC113" s="64"/>
      <c r="RLD113" s="64"/>
      <c r="RLE113" s="64"/>
      <c r="RLF113" s="64"/>
      <c r="RLG113" s="64"/>
      <c r="RLH113" s="64"/>
      <c r="RLI113" s="64"/>
      <c r="RLJ113" s="64"/>
      <c r="RLK113" s="64"/>
      <c r="RLL113" s="64"/>
      <c r="RLM113" s="64"/>
      <c r="RLN113" s="64"/>
      <c r="RLO113" s="64"/>
      <c r="RLP113" s="64"/>
      <c r="RLQ113" s="64"/>
      <c r="RLR113" s="64"/>
      <c r="RLS113" s="64"/>
      <c r="RLT113" s="64"/>
      <c r="RLU113" s="64"/>
      <c r="RLV113" s="64"/>
      <c r="RLW113" s="64"/>
      <c r="RLX113" s="64"/>
      <c r="RLY113" s="64"/>
      <c r="RLZ113" s="64"/>
      <c r="RMA113" s="64"/>
      <c r="RMB113" s="64"/>
      <c r="RMC113" s="64"/>
      <c r="RMD113" s="64"/>
      <c r="RME113" s="64"/>
      <c r="RMF113" s="64"/>
      <c r="RMG113" s="64"/>
      <c r="RMH113" s="64"/>
      <c r="RMI113" s="64"/>
      <c r="RMJ113" s="64"/>
      <c r="RMK113" s="64"/>
      <c r="RML113" s="64"/>
      <c r="RMM113" s="64"/>
      <c r="RMN113" s="64"/>
      <c r="RMO113" s="64"/>
      <c r="RMP113" s="64"/>
      <c r="RMQ113" s="64"/>
      <c r="RMR113" s="64"/>
      <c r="RMS113" s="64"/>
      <c r="RMT113" s="64"/>
      <c r="RMU113" s="64"/>
      <c r="RMV113" s="64"/>
      <c r="RMW113" s="64"/>
      <c r="RMX113" s="64"/>
      <c r="RMY113" s="64"/>
      <c r="RMZ113" s="64"/>
      <c r="RNA113" s="64"/>
      <c r="RNB113" s="64"/>
      <c r="RNC113" s="64"/>
      <c r="RND113" s="64"/>
      <c r="RNE113" s="64"/>
      <c r="RNF113" s="64"/>
      <c r="RNG113" s="64"/>
      <c r="RNH113" s="64"/>
      <c r="RNI113" s="64"/>
      <c r="RNJ113" s="64"/>
      <c r="RNK113" s="64"/>
      <c r="RNL113" s="64"/>
      <c r="RNM113" s="64"/>
      <c r="RNN113" s="64"/>
      <c r="RNO113" s="64"/>
      <c r="RNP113" s="64"/>
      <c r="RNQ113" s="64"/>
      <c r="RNR113" s="64"/>
      <c r="RNS113" s="64"/>
      <c r="RNT113" s="64"/>
      <c r="RNU113" s="64"/>
      <c r="RNV113" s="64"/>
      <c r="RNW113" s="64"/>
      <c r="RNX113" s="64"/>
      <c r="RNY113" s="64"/>
      <c r="RNZ113" s="64"/>
      <c r="ROA113" s="64"/>
      <c r="ROB113" s="64"/>
      <c r="ROC113" s="64"/>
      <c r="ROD113" s="64"/>
      <c r="ROE113" s="64"/>
      <c r="ROF113" s="64"/>
      <c r="ROG113" s="64"/>
      <c r="ROH113" s="64"/>
      <c r="ROI113" s="64"/>
      <c r="ROJ113" s="64"/>
      <c r="ROK113" s="64"/>
      <c r="ROL113" s="64"/>
      <c r="ROM113" s="64"/>
      <c r="RON113" s="64"/>
      <c r="ROO113" s="64"/>
      <c r="ROP113" s="64"/>
      <c r="ROQ113" s="64"/>
      <c r="ROR113" s="64"/>
      <c r="ROS113" s="64"/>
      <c r="ROT113" s="64"/>
      <c r="ROU113" s="64"/>
      <c r="ROV113" s="64"/>
      <c r="ROW113" s="64"/>
      <c r="ROX113" s="64"/>
      <c r="ROY113" s="64"/>
      <c r="ROZ113" s="64"/>
      <c r="RPA113" s="64"/>
      <c r="RPB113" s="64"/>
      <c r="RPC113" s="64"/>
      <c r="RPD113" s="64"/>
      <c r="RPE113" s="64"/>
      <c r="RPF113" s="64"/>
      <c r="RPG113" s="64"/>
      <c r="RPH113" s="64"/>
      <c r="RPI113" s="64"/>
      <c r="RPJ113" s="64"/>
      <c r="RPK113" s="64"/>
      <c r="RPL113" s="64"/>
      <c r="RPM113" s="64"/>
      <c r="RPN113" s="64"/>
      <c r="RPO113" s="64"/>
      <c r="RPP113" s="64"/>
      <c r="RPQ113" s="64"/>
      <c r="RPR113" s="64"/>
      <c r="RPS113" s="64"/>
      <c r="RPT113" s="64"/>
      <c r="RPU113" s="64"/>
      <c r="RPV113" s="64"/>
      <c r="RPW113" s="64"/>
      <c r="RPX113" s="64"/>
      <c r="RPY113" s="64"/>
      <c r="RPZ113" s="64"/>
      <c r="RQA113" s="64"/>
      <c r="RQB113" s="64"/>
      <c r="RQC113" s="64"/>
      <c r="RQD113" s="64"/>
      <c r="RQE113" s="64"/>
      <c r="RQF113" s="64"/>
      <c r="RQG113" s="64"/>
      <c r="RQH113" s="64"/>
      <c r="RQI113" s="64"/>
      <c r="RQJ113" s="64"/>
      <c r="RQK113" s="64"/>
      <c r="RQL113" s="64"/>
      <c r="RQM113" s="64"/>
      <c r="RQN113" s="64"/>
      <c r="RQO113" s="64"/>
      <c r="RQP113" s="64"/>
      <c r="RQQ113" s="64"/>
      <c r="RQR113" s="64"/>
      <c r="RQS113" s="64"/>
      <c r="RQT113" s="64"/>
      <c r="RQU113" s="64"/>
      <c r="RQV113" s="64"/>
      <c r="RQW113" s="64"/>
      <c r="RQX113" s="64"/>
      <c r="RQY113" s="64"/>
      <c r="RQZ113" s="64"/>
      <c r="RRA113" s="64"/>
      <c r="RRB113" s="64"/>
      <c r="RRC113" s="64"/>
      <c r="RRD113" s="64"/>
      <c r="RRE113" s="64"/>
      <c r="RRF113" s="64"/>
      <c r="RRG113" s="64"/>
      <c r="RRH113" s="64"/>
      <c r="RRI113" s="64"/>
      <c r="RRJ113" s="64"/>
      <c r="RRK113" s="64"/>
      <c r="RRL113" s="64"/>
      <c r="RRM113" s="64"/>
      <c r="RRN113" s="64"/>
      <c r="RRO113" s="64"/>
      <c r="RRP113" s="64"/>
      <c r="RRQ113" s="64"/>
      <c r="RRR113" s="64"/>
      <c r="RRS113" s="64"/>
      <c r="RRT113" s="64"/>
      <c r="RRU113" s="64"/>
      <c r="RRV113" s="64"/>
      <c r="RRW113" s="64"/>
      <c r="RRX113" s="64"/>
      <c r="RRY113" s="64"/>
      <c r="RRZ113" s="64"/>
      <c r="RSA113" s="64"/>
      <c r="RSB113" s="64"/>
      <c r="RSC113" s="64"/>
      <c r="RSD113" s="64"/>
      <c r="RSE113" s="64"/>
      <c r="RSF113" s="64"/>
      <c r="RSG113" s="64"/>
      <c r="RSH113" s="64"/>
      <c r="RSI113" s="64"/>
      <c r="RSJ113" s="64"/>
      <c r="RSK113" s="64"/>
      <c r="RSL113" s="64"/>
      <c r="RSM113" s="64"/>
      <c r="RSN113" s="64"/>
      <c r="RSO113" s="64"/>
      <c r="RSP113" s="64"/>
      <c r="RSQ113" s="64"/>
      <c r="RSR113" s="64"/>
      <c r="RSS113" s="64"/>
      <c r="RST113" s="64"/>
      <c r="RSU113" s="64"/>
      <c r="RSV113" s="64"/>
      <c r="RSW113" s="64"/>
      <c r="RSX113" s="64"/>
      <c r="RSY113" s="64"/>
      <c r="RSZ113" s="64"/>
      <c r="RTA113" s="64"/>
      <c r="RTB113" s="64"/>
      <c r="RTC113" s="64"/>
      <c r="RTD113" s="64"/>
      <c r="RTE113" s="64"/>
      <c r="RTF113" s="64"/>
      <c r="RTG113" s="64"/>
      <c r="RTH113" s="64"/>
      <c r="RTI113" s="64"/>
      <c r="RTJ113" s="64"/>
      <c r="RTK113" s="64"/>
      <c r="RTL113" s="64"/>
      <c r="RTM113" s="64"/>
      <c r="RTN113" s="64"/>
      <c r="RTO113" s="64"/>
      <c r="RTP113" s="64"/>
      <c r="RTQ113" s="64"/>
      <c r="RTR113" s="64"/>
      <c r="RTS113" s="64"/>
      <c r="RTT113" s="64"/>
      <c r="RTU113" s="64"/>
      <c r="RTV113" s="64"/>
      <c r="RTW113" s="64"/>
      <c r="RTX113" s="64"/>
      <c r="RTY113" s="64"/>
      <c r="RTZ113" s="64"/>
      <c r="RUA113" s="64"/>
      <c r="RUB113" s="64"/>
      <c r="RUC113" s="64"/>
      <c r="RUD113" s="64"/>
      <c r="RUE113" s="64"/>
      <c r="RUF113" s="64"/>
      <c r="RUG113" s="64"/>
      <c r="RUH113" s="64"/>
      <c r="RUI113" s="64"/>
      <c r="RUJ113" s="64"/>
      <c r="RUK113" s="64"/>
      <c r="RUL113" s="64"/>
      <c r="RUM113" s="64"/>
      <c r="RUN113" s="64"/>
      <c r="RUO113" s="64"/>
      <c r="RUP113" s="64"/>
      <c r="RUQ113" s="64"/>
      <c r="RUR113" s="64"/>
      <c r="RUS113" s="64"/>
      <c r="RUT113" s="64"/>
      <c r="RUU113" s="64"/>
      <c r="RUV113" s="64"/>
      <c r="RUW113" s="64"/>
      <c r="RUX113" s="64"/>
      <c r="RUY113" s="64"/>
      <c r="RUZ113" s="64"/>
      <c r="RVA113" s="64"/>
      <c r="RVB113" s="64"/>
      <c r="RVC113" s="64"/>
      <c r="RVD113" s="64"/>
      <c r="RVE113" s="64"/>
      <c r="RVF113" s="64"/>
      <c r="RVG113" s="64"/>
      <c r="RVH113" s="64"/>
      <c r="RVI113" s="64"/>
      <c r="RVJ113" s="64"/>
      <c r="RVK113" s="64"/>
      <c r="RVL113" s="64"/>
      <c r="RVM113" s="64"/>
      <c r="RVN113" s="64"/>
      <c r="RVO113" s="64"/>
      <c r="RVP113" s="64"/>
      <c r="RVQ113" s="64"/>
      <c r="RVR113" s="64"/>
      <c r="RVS113" s="64"/>
      <c r="RVT113" s="64"/>
      <c r="RVU113" s="64"/>
      <c r="RVV113" s="64"/>
      <c r="RVW113" s="64"/>
      <c r="RVX113" s="64"/>
      <c r="RVY113" s="64"/>
      <c r="RVZ113" s="64"/>
      <c r="RWA113" s="64"/>
      <c r="RWB113" s="64"/>
      <c r="RWC113" s="64"/>
      <c r="RWD113" s="64"/>
      <c r="RWE113" s="64"/>
      <c r="RWF113" s="64"/>
      <c r="RWG113" s="64"/>
      <c r="RWH113" s="64"/>
      <c r="RWI113" s="64"/>
      <c r="RWJ113" s="64"/>
      <c r="RWK113" s="64"/>
      <c r="RWL113" s="64"/>
      <c r="RWM113" s="64"/>
      <c r="RWN113" s="64"/>
      <c r="RWO113" s="64"/>
      <c r="RWP113" s="64"/>
      <c r="RWQ113" s="64"/>
      <c r="RWR113" s="64"/>
      <c r="RWS113" s="64"/>
      <c r="RWT113" s="64"/>
      <c r="RWU113" s="64"/>
      <c r="RWV113" s="64"/>
      <c r="RWW113" s="64"/>
      <c r="RWX113" s="64"/>
      <c r="RWY113" s="64"/>
      <c r="RWZ113" s="64"/>
      <c r="RXA113" s="64"/>
      <c r="RXB113" s="64"/>
      <c r="RXC113" s="64"/>
      <c r="RXD113" s="64"/>
      <c r="RXE113" s="64"/>
      <c r="RXF113" s="64"/>
      <c r="RXG113" s="64"/>
      <c r="RXH113" s="64"/>
      <c r="RXI113" s="64"/>
      <c r="RXJ113" s="64"/>
      <c r="RXK113" s="64"/>
      <c r="RXL113" s="64"/>
      <c r="RXM113" s="64"/>
      <c r="RXN113" s="64"/>
      <c r="RXO113" s="64"/>
      <c r="RXP113" s="64"/>
      <c r="RXQ113" s="64"/>
      <c r="RXR113" s="64"/>
      <c r="RXS113" s="64"/>
      <c r="RXT113" s="64"/>
      <c r="RXU113" s="64"/>
      <c r="RXV113" s="64"/>
      <c r="RXW113" s="64"/>
      <c r="RXX113" s="64"/>
      <c r="RXY113" s="64"/>
      <c r="RXZ113" s="64"/>
      <c r="RYA113" s="64"/>
      <c r="RYB113" s="64"/>
      <c r="RYC113" s="64"/>
      <c r="RYD113" s="64"/>
      <c r="RYE113" s="64"/>
      <c r="RYF113" s="64"/>
      <c r="RYG113" s="64"/>
      <c r="RYH113" s="64"/>
      <c r="RYI113" s="64"/>
      <c r="RYJ113" s="64"/>
      <c r="RYK113" s="64"/>
      <c r="RYL113" s="64"/>
      <c r="RYM113" s="64"/>
      <c r="RYN113" s="64"/>
      <c r="RYO113" s="64"/>
      <c r="RYP113" s="64"/>
      <c r="RYQ113" s="64"/>
      <c r="RYR113" s="64"/>
      <c r="RYS113" s="64"/>
      <c r="RYT113" s="64"/>
      <c r="RYU113" s="64"/>
      <c r="RYV113" s="64"/>
      <c r="RYW113" s="64"/>
      <c r="RYX113" s="64"/>
      <c r="RYY113" s="64"/>
      <c r="RYZ113" s="64"/>
      <c r="RZA113" s="64"/>
      <c r="RZB113" s="64"/>
      <c r="RZC113" s="64"/>
      <c r="RZD113" s="64"/>
      <c r="RZE113" s="64"/>
      <c r="RZF113" s="64"/>
      <c r="RZG113" s="64"/>
      <c r="RZH113" s="64"/>
      <c r="RZI113" s="64"/>
      <c r="RZJ113" s="64"/>
      <c r="RZK113" s="64"/>
      <c r="RZL113" s="64"/>
      <c r="RZM113" s="64"/>
      <c r="RZN113" s="64"/>
      <c r="RZO113" s="64"/>
      <c r="RZP113" s="64"/>
      <c r="RZQ113" s="64"/>
      <c r="RZR113" s="64"/>
      <c r="RZS113" s="64"/>
      <c r="RZT113" s="64"/>
      <c r="RZU113" s="64"/>
      <c r="RZV113" s="64"/>
      <c r="RZW113" s="64"/>
      <c r="RZX113" s="64"/>
      <c r="RZY113" s="64"/>
      <c r="RZZ113" s="64"/>
      <c r="SAA113" s="64"/>
      <c r="SAB113" s="64"/>
      <c r="SAC113" s="64"/>
      <c r="SAD113" s="64"/>
      <c r="SAE113" s="64"/>
      <c r="SAF113" s="64"/>
      <c r="SAG113" s="64"/>
      <c r="SAH113" s="64"/>
      <c r="SAI113" s="64"/>
      <c r="SAJ113" s="64"/>
      <c r="SAK113" s="64"/>
      <c r="SAL113" s="64"/>
      <c r="SAM113" s="64"/>
      <c r="SAN113" s="64"/>
      <c r="SAO113" s="64"/>
      <c r="SAP113" s="64"/>
      <c r="SAQ113" s="64"/>
      <c r="SAR113" s="64"/>
      <c r="SAS113" s="64"/>
      <c r="SAT113" s="64"/>
      <c r="SAU113" s="64"/>
      <c r="SAV113" s="64"/>
      <c r="SAW113" s="64"/>
      <c r="SAX113" s="64"/>
      <c r="SAY113" s="64"/>
      <c r="SAZ113" s="64"/>
      <c r="SBA113" s="64"/>
      <c r="SBB113" s="64"/>
      <c r="SBC113" s="64"/>
      <c r="SBD113" s="64"/>
      <c r="SBE113" s="64"/>
      <c r="SBF113" s="64"/>
      <c r="SBG113" s="64"/>
      <c r="SBH113" s="64"/>
      <c r="SBI113" s="64"/>
      <c r="SBJ113" s="64"/>
      <c r="SBK113" s="64"/>
      <c r="SBL113" s="64"/>
      <c r="SBM113" s="64"/>
      <c r="SBN113" s="64"/>
      <c r="SBO113" s="64"/>
      <c r="SBP113" s="64"/>
      <c r="SBQ113" s="64"/>
      <c r="SBR113" s="64"/>
      <c r="SBS113" s="64"/>
      <c r="SBT113" s="64"/>
      <c r="SBU113" s="64"/>
      <c r="SBV113" s="64"/>
      <c r="SBW113" s="64"/>
      <c r="SBX113" s="64"/>
      <c r="SBY113" s="64"/>
      <c r="SBZ113" s="64"/>
      <c r="SCA113" s="64"/>
      <c r="SCB113" s="64"/>
      <c r="SCC113" s="64"/>
      <c r="SCD113" s="64"/>
      <c r="SCE113" s="64"/>
      <c r="SCF113" s="64"/>
      <c r="SCG113" s="64"/>
      <c r="SCH113" s="64"/>
      <c r="SCI113" s="64"/>
      <c r="SCJ113" s="64"/>
      <c r="SCK113" s="64"/>
      <c r="SCL113" s="64"/>
      <c r="SCM113" s="64"/>
      <c r="SCN113" s="64"/>
      <c r="SCO113" s="64"/>
      <c r="SCP113" s="64"/>
      <c r="SCQ113" s="64"/>
      <c r="SCR113" s="64"/>
      <c r="SCS113" s="64"/>
      <c r="SCT113" s="64"/>
      <c r="SCU113" s="64"/>
      <c r="SCV113" s="64"/>
      <c r="SCW113" s="64"/>
      <c r="SCX113" s="64"/>
      <c r="SCY113" s="64"/>
      <c r="SCZ113" s="64"/>
      <c r="SDA113" s="64"/>
      <c r="SDB113" s="64"/>
      <c r="SDC113" s="64"/>
      <c r="SDD113" s="64"/>
      <c r="SDE113" s="64"/>
      <c r="SDF113" s="64"/>
      <c r="SDG113" s="64"/>
      <c r="SDH113" s="64"/>
      <c r="SDI113" s="64"/>
      <c r="SDJ113" s="64"/>
      <c r="SDK113" s="64"/>
      <c r="SDL113" s="64"/>
      <c r="SDM113" s="64"/>
      <c r="SDN113" s="64"/>
      <c r="SDO113" s="64"/>
      <c r="SDP113" s="64"/>
      <c r="SDQ113" s="64"/>
      <c r="SDR113" s="64"/>
      <c r="SDS113" s="64"/>
      <c r="SDT113" s="64"/>
      <c r="SDU113" s="64"/>
      <c r="SDV113" s="64"/>
      <c r="SDW113" s="64"/>
      <c r="SDX113" s="64"/>
      <c r="SDY113" s="64"/>
      <c r="SDZ113" s="64"/>
      <c r="SEA113" s="64"/>
      <c r="SEB113" s="64"/>
      <c r="SEC113" s="64"/>
      <c r="SED113" s="64"/>
      <c r="SEE113" s="64"/>
      <c r="SEF113" s="64"/>
      <c r="SEG113" s="64"/>
      <c r="SEH113" s="64"/>
      <c r="SEI113" s="64"/>
      <c r="SEJ113" s="64"/>
      <c r="SEK113" s="64"/>
      <c r="SEL113" s="64"/>
      <c r="SEM113" s="64"/>
      <c r="SEN113" s="64"/>
      <c r="SEO113" s="64"/>
      <c r="SEP113" s="64"/>
      <c r="SEQ113" s="64"/>
      <c r="SER113" s="64"/>
      <c r="SES113" s="64"/>
      <c r="SET113" s="64"/>
      <c r="SEU113" s="64"/>
      <c r="SEV113" s="64"/>
      <c r="SEW113" s="64"/>
      <c r="SEX113" s="64"/>
      <c r="SEY113" s="64"/>
      <c r="SEZ113" s="64"/>
      <c r="SFA113" s="64"/>
      <c r="SFB113" s="64"/>
      <c r="SFC113" s="64"/>
      <c r="SFD113" s="64"/>
      <c r="SFE113" s="64"/>
      <c r="SFF113" s="64"/>
      <c r="SFG113" s="64"/>
      <c r="SFH113" s="64"/>
      <c r="SFI113" s="64"/>
      <c r="SFJ113" s="64"/>
      <c r="SFK113" s="64"/>
      <c r="SFL113" s="64"/>
      <c r="SFM113" s="64"/>
      <c r="SFN113" s="64"/>
      <c r="SFO113" s="64"/>
      <c r="SFP113" s="64"/>
      <c r="SFQ113" s="64"/>
      <c r="SFR113" s="64"/>
      <c r="SFS113" s="64"/>
      <c r="SFT113" s="64"/>
      <c r="SFU113" s="64"/>
      <c r="SFV113" s="64"/>
      <c r="SFW113" s="64"/>
      <c r="SFX113" s="64"/>
      <c r="SFY113" s="64"/>
      <c r="SFZ113" s="64"/>
      <c r="SGA113" s="64"/>
      <c r="SGB113" s="64"/>
      <c r="SGC113" s="64"/>
      <c r="SGD113" s="64"/>
      <c r="SGE113" s="64"/>
      <c r="SGF113" s="64"/>
      <c r="SGG113" s="64"/>
      <c r="SGH113" s="64"/>
      <c r="SGI113" s="64"/>
      <c r="SGJ113" s="64"/>
      <c r="SGK113" s="64"/>
      <c r="SGL113" s="64"/>
      <c r="SGM113" s="64"/>
      <c r="SGN113" s="64"/>
      <c r="SGO113" s="64"/>
      <c r="SGP113" s="64"/>
      <c r="SGQ113" s="64"/>
      <c r="SGR113" s="64"/>
      <c r="SGS113" s="64"/>
      <c r="SGT113" s="64"/>
      <c r="SGU113" s="64"/>
      <c r="SGV113" s="64"/>
      <c r="SGW113" s="64"/>
      <c r="SGX113" s="64"/>
      <c r="SGY113" s="64"/>
      <c r="SGZ113" s="64"/>
      <c r="SHA113" s="64"/>
      <c r="SHB113" s="64"/>
      <c r="SHC113" s="64"/>
      <c r="SHD113" s="64"/>
      <c r="SHE113" s="64"/>
      <c r="SHF113" s="64"/>
      <c r="SHG113" s="64"/>
      <c r="SHH113" s="64"/>
      <c r="SHI113" s="64"/>
      <c r="SHJ113" s="64"/>
      <c r="SHK113" s="64"/>
      <c r="SHL113" s="64"/>
      <c r="SHM113" s="64"/>
      <c r="SHN113" s="64"/>
      <c r="SHO113" s="64"/>
      <c r="SHP113" s="64"/>
      <c r="SHQ113" s="64"/>
      <c r="SHR113" s="64"/>
      <c r="SHS113" s="64"/>
      <c r="SHT113" s="64"/>
      <c r="SHU113" s="64"/>
      <c r="SHV113" s="64"/>
      <c r="SHW113" s="64"/>
      <c r="SHX113" s="64"/>
      <c r="SHY113" s="64"/>
      <c r="SHZ113" s="64"/>
      <c r="SIA113" s="64"/>
      <c r="SIB113" s="64"/>
      <c r="SIC113" s="64"/>
      <c r="SID113" s="64"/>
      <c r="SIE113" s="64"/>
      <c r="SIF113" s="64"/>
      <c r="SIG113" s="64"/>
      <c r="SIH113" s="64"/>
      <c r="SII113" s="64"/>
      <c r="SIJ113" s="64"/>
      <c r="SIK113" s="64"/>
      <c r="SIL113" s="64"/>
      <c r="SIM113" s="64"/>
      <c r="SIN113" s="64"/>
      <c r="SIO113" s="64"/>
      <c r="SIP113" s="64"/>
      <c r="SIQ113" s="64"/>
      <c r="SIR113" s="64"/>
      <c r="SIS113" s="64"/>
      <c r="SIT113" s="64"/>
      <c r="SIU113" s="64"/>
      <c r="SIV113" s="64"/>
      <c r="SIW113" s="64"/>
      <c r="SIX113" s="64"/>
      <c r="SIY113" s="64"/>
      <c r="SIZ113" s="64"/>
      <c r="SJA113" s="64"/>
      <c r="SJB113" s="64"/>
      <c r="SJC113" s="64"/>
      <c r="SJD113" s="64"/>
      <c r="SJE113" s="64"/>
      <c r="SJF113" s="64"/>
      <c r="SJG113" s="64"/>
      <c r="SJH113" s="64"/>
      <c r="SJI113" s="64"/>
      <c r="SJJ113" s="64"/>
      <c r="SJK113" s="64"/>
      <c r="SJL113" s="64"/>
      <c r="SJM113" s="64"/>
      <c r="SJN113" s="64"/>
      <c r="SJO113" s="64"/>
      <c r="SJP113" s="64"/>
      <c r="SJQ113" s="64"/>
      <c r="SJR113" s="64"/>
      <c r="SJS113" s="64"/>
      <c r="SJT113" s="64"/>
      <c r="SJU113" s="64"/>
      <c r="SJV113" s="64"/>
      <c r="SJW113" s="64"/>
      <c r="SJX113" s="64"/>
      <c r="SJY113" s="64"/>
      <c r="SJZ113" s="64"/>
      <c r="SKA113" s="64"/>
      <c r="SKB113" s="64"/>
      <c r="SKC113" s="64"/>
      <c r="SKD113" s="64"/>
      <c r="SKE113" s="64"/>
      <c r="SKF113" s="64"/>
      <c r="SKG113" s="64"/>
      <c r="SKH113" s="64"/>
      <c r="SKI113" s="64"/>
      <c r="SKJ113" s="64"/>
      <c r="SKK113" s="64"/>
      <c r="SKL113" s="64"/>
      <c r="SKM113" s="64"/>
      <c r="SKN113" s="64"/>
      <c r="SKO113" s="64"/>
      <c r="SKP113" s="64"/>
      <c r="SKQ113" s="64"/>
      <c r="SKR113" s="64"/>
      <c r="SKS113" s="64"/>
      <c r="SKT113" s="64"/>
      <c r="SKU113" s="64"/>
      <c r="SKV113" s="64"/>
      <c r="SKW113" s="64"/>
      <c r="SKX113" s="64"/>
      <c r="SKY113" s="64"/>
      <c r="SKZ113" s="64"/>
      <c r="SLA113" s="64"/>
      <c r="SLB113" s="64"/>
      <c r="SLC113" s="64"/>
      <c r="SLD113" s="64"/>
      <c r="SLE113" s="64"/>
      <c r="SLF113" s="64"/>
      <c r="SLG113" s="64"/>
      <c r="SLH113" s="64"/>
      <c r="SLI113" s="64"/>
      <c r="SLJ113" s="64"/>
      <c r="SLK113" s="64"/>
      <c r="SLL113" s="64"/>
      <c r="SLM113" s="64"/>
      <c r="SLN113" s="64"/>
      <c r="SLO113" s="64"/>
      <c r="SLP113" s="64"/>
      <c r="SLQ113" s="64"/>
      <c r="SLR113" s="64"/>
      <c r="SLS113" s="64"/>
      <c r="SLT113" s="64"/>
      <c r="SLU113" s="64"/>
      <c r="SLV113" s="64"/>
      <c r="SLW113" s="64"/>
      <c r="SLX113" s="64"/>
      <c r="SLY113" s="64"/>
      <c r="SLZ113" s="64"/>
      <c r="SMA113" s="64"/>
      <c r="SMB113" s="64"/>
      <c r="SMC113" s="64"/>
      <c r="SMD113" s="64"/>
      <c r="SME113" s="64"/>
      <c r="SMF113" s="64"/>
      <c r="SMG113" s="64"/>
      <c r="SMH113" s="64"/>
      <c r="SMI113" s="64"/>
      <c r="SMJ113" s="64"/>
      <c r="SMK113" s="64"/>
      <c r="SML113" s="64"/>
      <c r="SMM113" s="64"/>
      <c r="SMN113" s="64"/>
      <c r="SMO113" s="64"/>
      <c r="SMP113" s="64"/>
      <c r="SMQ113" s="64"/>
      <c r="SMR113" s="64"/>
      <c r="SMS113" s="64"/>
      <c r="SMT113" s="64"/>
      <c r="SMU113" s="64"/>
      <c r="SMV113" s="64"/>
      <c r="SMW113" s="64"/>
      <c r="SMX113" s="64"/>
      <c r="SMY113" s="64"/>
      <c r="SMZ113" s="64"/>
      <c r="SNA113" s="64"/>
      <c r="SNB113" s="64"/>
      <c r="SNC113" s="64"/>
      <c r="SND113" s="64"/>
      <c r="SNE113" s="64"/>
      <c r="SNF113" s="64"/>
      <c r="SNG113" s="64"/>
      <c r="SNH113" s="64"/>
      <c r="SNI113" s="64"/>
      <c r="SNJ113" s="64"/>
      <c r="SNK113" s="64"/>
      <c r="SNL113" s="64"/>
      <c r="SNM113" s="64"/>
      <c r="SNN113" s="64"/>
      <c r="SNO113" s="64"/>
      <c r="SNP113" s="64"/>
      <c r="SNQ113" s="64"/>
      <c r="SNR113" s="64"/>
      <c r="SNS113" s="64"/>
      <c r="SNT113" s="64"/>
      <c r="SNU113" s="64"/>
      <c r="SNV113" s="64"/>
      <c r="SNW113" s="64"/>
      <c r="SNX113" s="64"/>
      <c r="SNY113" s="64"/>
      <c r="SNZ113" s="64"/>
      <c r="SOA113" s="64"/>
      <c r="SOB113" s="64"/>
      <c r="SOC113" s="64"/>
      <c r="SOD113" s="64"/>
      <c r="SOE113" s="64"/>
      <c r="SOF113" s="64"/>
      <c r="SOG113" s="64"/>
      <c r="SOH113" s="64"/>
      <c r="SOI113" s="64"/>
      <c r="SOJ113" s="64"/>
      <c r="SOK113" s="64"/>
      <c r="SOL113" s="64"/>
      <c r="SOM113" s="64"/>
      <c r="SON113" s="64"/>
      <c r="SOO113" s="64"/>
      <c r="SOP113" s="64"/>
      <c r="SOQ113" s="64"/>
      <c r="SOR113" s="64"/>
      <c r="SOS113" s="64"/>
      <c r="SOT113" s="64"/>
      <c r="SOU113" s="64"/>
      <c r="SOV113" s="64"/>
      <c r="SOW113" s="64"/>
      <c r="SOX113" s="64"/>
      <c r="SOY113" s="64"/>
      <c r="SOZ113" s="64"/>
      <c r="SPA113" s="64"/>
      <c r="SPB113" s="64"/>
      <c r="SPC113" s="64"/>
      <c r="SPD113" s="64"/>
      <c r="SPE113" s="64"/>
      <c r="SPF113" s="64"/>
      <c r="SPG113" s="64"/>
      <c r="SPH113" s="64"/>
      <c r="SPI113" s="64"/>
      <c r="SPJ113" s="64"/>
      <c r="SPK113" s="64"/>
      <c r="SPL113" s="64"/>
      <c r="SPM113" s="64"/>
      <c r="SPN113" s="64"/>
      <c r="SPO113" s="64"/>
      <c r="SPP113" s="64"/>
      <c r="SPQ113" s="64"/>
      <c r="SPR113" s="64"/>
      <c r="SPS113" s="64"/>
      <c r="SPT113" s="64"/>
      <c r="SPU113" s="64"/>
      <c r="SPV113" s="64"/>
      <c r="SPW113" s="64"/>
      <c r="SPX113" s="64"/>
      <c r="SPY113" s="64"/>
      <c r="SPZ113" s="64"/>
      <c r="SQA113" s="64"/>
      <c r="SQB113" s="64"/>
      <c r="SQC113" s="64"/>
      <c r="SQD113" s="64"/>
      <c r="SQE113" s="64"/>
      <c r="SQF113" s="64"/>
      <c r="SQG113" s="64"/>
      <c r="SQH113" s="64"/>
      <c r="SQI113" s="64"/>
      <c r="SQJ113" s="64"/>
      <c r="SQK113" s="64"/>
      <c r="SQL113" s="64"/>
      <c r="SQM113" s="64"/>
      <c r="SQN113" s="64"/>
      <c r="SQO113" s="64"/>
      <c r="SQP113" s="64"/>
      <c r="SQQ113" s="64"/>
      <c r="SQR113" s="64"/>
      <c r="SQS113" s="64"/>
      <c r="SQT113" s="64"/>
      <c r="SQU113" s="64"/>
      <c r="SQV113" s="64"/>
      <c r="SQW113" s="64"/>
      <c r="SQX113" s="64"/>
      <c r="SQY113" s="64"/>
      <c r="SQZ113" s="64"/>
      <c r="SRA113" s="64"/>
      <c r="SRB113" s="64"/>
      <c r="SRC113" s="64"/>
      <c r="SRD113" s="64"/>
      <c r="SRE113" s="64"/>
      <c r="SRF113" s="64"/>
      <c r="SRG113" s="64"/>
      <c r="SRH113" s="64"/>
      <c r="SRI113" s="64"/>
      <c r="SRJ113" s="64"/>
      <c r="SRK113" s="64"/>
      <c r="SRL113" s="64"/>
      <c r="SRM113" s="64"/>
      <c r="SRN113" s="64"/>
      <c r="SRO113" s="64"/>
      <c r="SRP113" s="64"/>
      <c r="SRQ113" s="64"/>
      <c r="SRR113" s="64"/>
      <c r="SRS113" s="64"/>
      <c r="SRT113" s="64"/>
      <c r="SRU113" s="64"/>
      <c r="SRV113" s="64"/>
      <c r="SRW113" s="64"/>
      <c r="SRX113" s="64"/>
      <c r="SRY113" s="64"/>
      <c r="SRZ113" s="64"/>
      <c r="SSA113" s="64"/>
      <c r="SSB113" s="64"/>
      <c r="SSC113" s="64"/>
      <c r="SSD113" s="64"/>
      <c r="SSE113" s="64"/>
      <c r="SSF113" s="64"/>
      <c r="SSG113" s="64"/>
      <c r="SSH113" s="64"/>
      <c r="SSI113" s="64"/>
      <c r="SSJ113" s="64"/>
      <c r="SSK113" s="64"/>
      <c r="SSL113" s="64"/>
      <c r="SSM113" s="64"/>
      <c r="SSN113" s="64"/>
      <c r="SSO113" s="64"/>
      <c r="SSP113" s="64"/>
      <c r="SSQ113" s="64"/>
      <c r="SSR113" s="64"/>
      <c r="SSS113" s="64"/>
      <c r="SST113" s="64"/>
      <c r="SSU113" s="64"/>
      <c r="SSV113" s="64"/>
      <c r="SSW113" s="64"/>
      <c r="SSX113" s="64"/>
      <c r="SSY113" s="64"/>
      <c r="SSZ113" s="64"/>
      <c r="STA113" s="64"/>
      <c r="STB113" s="64"/>
      <c r="STC113" s="64"/>
      <c r="STD113" s="64"/>
      <c r="STE113" s="64"/>
      <c r="STF113" s="64"/>
      <c r="STG113" s="64"/>
      <c r="STH113" s="64"/>
      <c r="STI113" s="64"/>
      <c r="STJ113" s="64"/>
      <c r="STK113" s="64"/>
      <c r="STL113" s="64"/>
      <c r="STM113" s="64"/>
      <c r="STN113" s="64"/>
      <c r="STO113" s="64"/>
      <c r="STP113" s="64"/>
      <c r="STQ113" s="64"/>
      <c r="STR113" s="64"/>
      <c r="STS113" s="64"/>
      <c r="STT113" s="64"/>
      <c r="STU113" s="64"/>
      <c r="STV113" s="64"/>
      <c r="STW113" s="64"/>
      <c r="STX113" s="64"/>
      <c r="STY113" s="64"/>
      <c r="STZ113" s="64"/>
      <c r="SUA113" s="64"/>
      <c r="SUB113" s="64"/>
      <c r="SUC113" s="64"/>
      <c r="SUD113" s="64"/>
      <c r="SUE113" s="64"/>
      <c r="SUF113" s="64"/>
      <c r="SUG113" s="64"/>
      <c r="SUH113" s="64"/>
      <c r="SUI113" s="64"/>
      <c r="SUJ113" s="64"/>
      <c r="SUK113" s="64"/>
      <c r="SUL113" s="64"/>
      <c r="SUM113" s="64"/>
      <c r="SUN113" s="64"/>
      <c r="SUO113" s="64"/>
      <c r="SUP113" s="64"/>
      <c r="SUQ113" s="64"/>
      <c r="SUR113" s="64"/>
      <c r="SUS113" s="64"/>
      <c r="SUT113" s="64"/>
      <c r="SUU113" s="64"/>
      <c r="SUV113" s="64"/>
      <c r="SUW113" s="64"/>
      <c r="SUX113" s="64"/>
      <c r="SUY113" s="64"/>
      <c r="SUZ113" s="64"/>
      <c r="SVA113" s="64"/>
      <c r="SVB113" s="64"/>
      <c r="SVC113" s="64"/>
      <c r="SVD113" s="64"/>
      <c r="SVE113" s="64"/>
      <c r="SVF113" s="64"/>
      <c r="SVG113" s="64"/>
      <c r="SVH113" s="64"/>
      <c r="SVI113" s="64"/>
      <c r="SVJ113" s="64"/>
      <c r="SVK113" s="64"/>
      <c r="SVL113" s="64"/>
      <c r="SVM113" s="64"/>
      <c r="SVN113" s="64"/>
      <c r="SVO113" s="64"/>
      <c r="SVP113" s="64"/>
      <c r="SVQ113" s="64"/>
      <c r="SVR113" s="64"/>
      <c r="SVS113" s="64"/>
      <c r="SVT113" s="64"/>
      <c r="SVU113" s="64"/>
      <c r="SVV113" s="64"/>
      <c r="SVW113" s="64"/>
      <c r="SVX113" s="64"/>
      <c r="SVY113" s="64"/>
      <c r="SVZ113" s="64"/>
      <c r="SWA113" s="64"/>
      <c r="SWB113" s="64"/>
      <c r="SWC113" s="64"/>
      <c r="SWD113" s="64"/>
      <c r="SWE113" s="64"/>
      <c r="SWF113" s="64"/>
      <c r="SWG113" s="64"/>
      <c r="SWH113" s="64"/>
      <c r="SWI113" s="64"/>
      <c r="SWJ113" s="64"/>
      <c r="SWK113" s="64"/>
      <c r="SWL113" s="64"/>
      <c r="SWM113" s="64"/>
      <c r="SWN113" s="64"/>
      <c r="SWO113" s="64"/>
      <c r="SWP113" s="64"/>
      <c r="SWQ113" s="64"/>
      <c r="SWR113" s="64"/>
      <c r="SWS113" s="64"/>
      <c r="SWT113" s="64"/>
      <c r="SWU113" s="64"/>
      <c r="SWV113" s="64"/>
      <c r="SWW113" s="64"/>
      <c r="SWX113" s="64"/>
      <c r="SWY113" s="64"/>
      <c r="SWZ113" s="64"/>
      <c r="SXA113" s="64"/>
      <c r="SXB113" s="64"/>
      <c r="SXC113" s="64"/>
      <c r="SXD113" s="64"/>
      <c r="SXE113" s="64"/>
      <c r="SXF113" s="64"/>
      <c r="SXG113" s="64"/>
      <c r="SXH113" s="64"/>
      <c r="SXI113" s="64"/>
      <c r="SXJ113" s="64"/>
      <c r="SXK113" s="64"/>
      <c r="SXL113" s="64"/>
      <c r="SXM113" s="64"/>
      <c r="SXN113" s="64"/>
      <c r="SXO113" s="64"/>
      <c r="SXP113" s="64"/>
      <c r="SXQ113" s="64"/>
      <c r="SXR113" s="64"/>
      <c r="SXS113" s="64"/>
      <c r="SXT113" s="64"/>
      <c r="SXU113" s="64"/>
      <c r="SXV113" s="64"/>
      <c r="SXW113" s="64"/>
      <c r="SXX113" s="64"/>
      <c r="SXY113" s="64"/>
      <c r="SXZ113" s="64"/>
      <c r="SYA113" s="64"/>
      <c r="SYB113" s="64"/>
      <c r="SYC113" s="64"/>
      <c r="SYD113" s="64"/>
      <c r="SYE113" s="64"/>
      <c r="SYF113" s="64"/>
      <c r="SYG113" s="64"/>
      <c r="SYH113" s="64"/>
      <c r="SYI113" s="64"/>
      <c r="SYJ113" s="64"/>
      <c r="SYK113" s="64"/>
      <c r="SYL113" s="64"/>
      <c r="SYM113" s="64"/>
      <c r="SYN113" s="64"/>
      <c r="SYO113" s="64"/>
      <c r="SYP113" s="64"/>
      <c r="SYQ113" s="64"/>
      <c r="SYR113" s="64"/>
      <c r="SYS113" s="64"/>
      <c r="SYT113" s="64"/>
      <c r="SYU113" s="64"/>
      <c r="SYV113" s="64"/>
      <c r="SYW113" s="64"/>
      <c r="SYX113" s="64"/>
      <c r="SYY113" s="64"/>
      <c r="SYZ113" s="64"/>
      <c r="SZA113" s="64"/>
      <c r="SZB113" s="64"/>
      <c r="SZC113" s="64"/>
      <c r="SZD113" s="64"/>
      <c r="SZE113" s="64"/>
      <c r="SZF113" s="64"/>
      <c r="SZG113" s="64"/>
      <c r="SZH113" s="64"/>
      <c r="SZI113" s="64"/>
      <c r="SZJ113" s="64"/>
      <c r="SZK113" s="64"/>
      <c r="SZL113" s="64"/>
      <c r="SZM113" s="64"/>
      <c r="SZN113" s="64"/>
      <c r="SZO113" s="64"/>
      <c r="SZP113" s="64"/>
      <c r="SZQ113" s="64"/>
      <c r="SZR113" s="64"/>
      <c r="SZS113" s="64"/>
      <c r="SZT113" s="64"/>
      <c r="SZU113" s="64"/>
      <c r="SZV113" s="64"/>
      <c r="SZW113" s="64"/>
      <c r="SZX113" s="64"/>
      <c r="SZY113" s="64"/>
      <c r="SZZ113" s="64"/>
      <c r="TAA113" s="64"/>
      <c r="TAB113" s="64"/>
      <c r="TAC113" s="64"/>
      <c r="TAD113" s="64"/>
      <c r="TAE113" s="64"/>
      <c r="TAF113" s="64"/>
      <c r="TAG113" s="64"/>
      <c r="TAH113" s="64"/>
      <c r="TAI113" s="64"/>
      <c r="TAJ113" s="64"/>
      <c r="TAK113" s="64"/>
      <c r="TAL113" s="64"/>
      <c r="TAM113" s="64"/>
      <c r="TAN113" s="64"/>
      <c r="TAO113" s="64"/>
      <c r="TAP113" s="64"/>
      <c r="TAQ113" s="64"/>
      <c r="TAR113" s="64"/>
      <c r="TAS113" s="64"/>
      <c r="TAT113" s="64"/>
      <c r="TAU113" s="64"/>
      <c r="TAV113" s="64"/>
      <c r="TAW113" s="64"/>
      <c r="TAX113" s="64"/>
      <c r="TAY113" s="64"/>
      <c r="TAZ113" s="64"/>
      <c r="TBA113" s="64"/>
      <c r="TBB113" s="64"/>
      <c r="TBC113" s="64"/>
      <c r="TBD113" s="64"/>
      <c r="TBE113" s="64"/>
      <c r="TBF113" s="64"/>
      <c r="TBG113" s="64"/>
      <c r="TBH113" s="64"/>
      <c r="TBI113" s="64"/>
      <c r="TBJ113" s="64"/>
      <c r="TBK113" s="64"/>
      <c r="TBL113" s="64"/>
      <c r="TBM113" s="64"/>
      <c r="TBN113" s="64"/>
      <c r="TBO113" s="64"/>
      <c r="TBP113" s="64"/>
      <c r="TBQ113" s="64"/>
      <c r="TBR113" s="64"/>
      <c r="TBS113" s="64"/>
      <c r="TBT113" s="64"/>
      <c r="TBU113" s="64"/>
      <c r="TBV113" s="64"/>
      <c r="TBW113" s="64"/>
      <c r="TBX113" s="64"/>
      <c r="TBY113" s="64"/>
      <c r="TBZ113" s="64"/>
      <c r="TCA113" s="64"/>
      <c r="TCB113" s="64"/>
      <c r="TCC113" s="64"/>
      <c r="TCD113" s="64"/>
      <c r="TCE113" s="64"/>
      <c r="TCF113" s="64"/>
      <c r="TCG113" s="64"/>
      <c r="TCH113" s="64"/>
      <c r="TCI113" s="64"/>
      <c r="TCJ113" s="64"/>
      <c r="TCK113" s="64"/>
      <c r="TCL113" s="64"/>
      <c r="TCM113" s="64"/>
      <c r="TCN113" s="64"/>
      <c r="TCO113" s="64"/>
      <c r="TCP113" s="64"/>
      <c r="TCQ113" s="64"/>
      <c r="TCR113" s="64"/>
      <c r="TCS113" s="64"/>
      <c r="TCT113" s="64"/>
      <c r="TCU113" s="64"/>
      <c r="TCV113" s="64"/>
      <c r="TCW113" s="64"/>
      <c r="TCX113" s="64"/>
      <c r="TCY113" s="64"/>
      <c r="TCZ113" s="64"/>
      <c r="TDA113" s="64"/>
      <c r="TDB113" s="64"/>
      <c r="TDC113" s="64"/>
      <c r="TDD113" s="64"/>
      <c r="TDE113" s="64"/>
      <c r="TDF113" s="64"/>
      <c r="TDG113" s="64"/>
      <c r="TDH113" s="64"/>
      <c r="TDI113" s="64"/>
      <c r="TDJ113" s="64"/>
      <c r="TDK113" s="64"/>
      <c r="TDL113" s="64"/>
      <c r="TDM113" s="64"/>
      <c r="TDN113" s="64"/>
      <c r="TDO113" s="64"/>
      <c r="TDP113" s="64"/>
      <c r="TDQ113" s="64"/>
      <c r="TDR113" s="64"/>
      <c r="TDS113" s="64"/>
      <c r="TDT113" s="64"/>
      <c r="TDU113" s="64"/>
      <c r="TDV113" s="64"/>
      <c r="TDW113" s="64"/>
      <c r="TDX113" s="64"/>
      <c r="TDY113" s="64"/>
      <c r="TDZ113" s="64"/>
      <c r="TEA113" s="64"/>
      <c r="TEB113" s="64"/>
      <c r="TEC113" s="64"/>
      <c r="TED113" s="64"/>
      <c r="TEE113" s="64"/>
      <c r="TEF113" s="64"/>
      <c r="TEG113" s="64"/>
      <c r="TEH113" s="64"/>
      <c r="TEI113" s="64"/>
      <c r="TEJ113" s="64"/>
      <c r="TEK113" s="64"/>
      <c r="TEL113" s="64"/>
      <c r="TEM113" s="64"/>
      <c r="TEN113" s="64"/>
      <c r="TEO113" s="64"/>
      <c r="TEP113" s="64"/>
      <c r="TEQ113" s="64"/>
      <c r="TER113" s="64"/>
      <c r="TES113" s="64"/>
      <c r="TET113" s="64"/>
      <c r="TEU113" s="64"/>
      <c r="TEV113" s="64"/>
      <c r="TEW113" s="64"/>
      <c r="TEX113" s="64"/>
      <c r="TEY113" s="64"/>
      <c r="TEZ113" s="64"/>
      <c r="TFA113" s="64"/>
      <c r="TFB113" s="64"/>
      <c r="TFC113" s="64"/>
      <c r="TFD113" s="64"/>
      <c r="TFE113" s="64"/>
      <c r="TFF113" s="64"/>
      <c r="TFG113" s="64"/>
      <c r="TFH113" s="64"/>
      <c r="TFI113" s="64"/>
      <c r="TFJ113" s="64"/>
      <c r="TFK113" s="64"/>
      <c r="TFL113" s="64"/>
      <c r="TFM113" s="64"/>
      <c r="TFN113" s="64"/>
      <c r="TFO113" s="64"/>
      <c r="TFP113" s="64"/>
      <c r="TFQ113" s="64"/>
      <c r="TFR113" s="64"/>
      <c r="TFS113" s="64"/>
      <c r="TFT113" s="64"/>
      <c r="TFU113" s="64"/>
      <c r="TFV113" s="64"/>
      <c r="TFW113" s="64"/>
      <c r="TFX113" s="64"/>
      <c r="TFY113" s="64"/>
      <c r="TFZ113" s="64"/>
      <c r="TGA113" s="64"/>
      <c r="TGB113" s="64"/>
      <c r="TGC113" s="64"/>
      <c r="TGD113" s="64"/>
      <c r="TGE113" s="64"/>
      <c r="TGF113" s="64"/>
      <c r="TGG113" s="64"/>
      <c r="TGH113" s="64"/>
      <c r="TGI113" s="64"/>
      <c r="TGJ113" s="64"/>
      <c r="TGK113" s="64"/>
      <c r="TGL113" s="64"/>
      <c r="TGM113" s="64"/>
      <c r="TGN113" s="64"/>
      <c r="TGO113" s="64"/>
      <c r="TGP113" s="64"/>
      <c r="TGQ113" s="64"/>
      <c r="TGR113" s="64"/>
      <c r="TGS113" s="64"/>
      <c r="TGT113" s="64"/>
      <c r="TGU113" s="64"/>
      <c r="TGV113" s="64"/>
      <c r="TGW113" s="64"/>
      <c r="TGX113" s="64"/>
      <c r="TGY113" s="64"/>
      <c r="TGZ113" s="64"/>
      <c r="THA113" s="64"/>
      <c r="THB113" s="64"/>
      <c r="THC113" s="64"/>
      <c r="THD113" s="64"/>
      <c r="THE113" s="64"/>
      <c r="THF113" s="64"/>
      <c r="THG113" s="64"/>
      <c r="THH113" s="64"/>
      <c r="THI113" s="64"/>
      <c r="THJ113" s="64"/>
      <c r="THK113" s="64"/>
      <c r="THL113" s="64"/>
      <c r="THM113" s="64"/>
      <c r="THN113" s="64"/>
      <c r="THO113" s="64"/>
      <c r="THP113" s="64"/>
      <c r="THQ113" s="64"/>
      <c r="THR113" s="64"/>
      <c r="THS113" s="64"/>
      <c r="THT113" s="64"/>
      <c r="THU113" s="64"/>
      <c r="THV113" s="64"/>
      <c r="THW113" s="64"/>
      <c r="THX113" s="64"/>
      <c r="THY113" s="64"/>
      <c r="THZ113" s="64"/>
      <c r="TIA113" s="64"/>
      <c r="TIB113" s="64"/>
      <c r="TIC113" s="64"/>
      <c r="TID113" s="64"/>
      <c r="TIE113" s="64"/>
      <c r="TIF113" s="64"/>
      <c r="TIG113" s="64"/>
      <c r="TIH113" s="64"/>
      <c r="TII113" s="64"/>
      <c r="TIJ113" s="64"/>
      <c r="TIK113" s="64"/>
      <c r="TIL113" s="64"/>
      <c r="TIM113" s="64"/>
      <c r="TIN113" s="64"/>
      <c r="TIO113" s="64"/>
      <c r="TIP113" s="64"/>
      <c r="TIQ113" s="64"/>
      <c r="TIR113" s="64"/>
      <c r="TIS113" s="64"/>
      <c r="TIT113" s="64"/>
      <c r="TIU113" s="64"/>
      <c r="TIV113" s="64"/>
      <c r="TIW113" s="64"/>
      <c r="TIX113" s="64"/>
      <c r="TIY113" s="64"/>
      <c r="TIZ113" s="64"/>
      <c r="TJA113" s="64"/>
      <c r="TJB113" s="64"/>
      <c r="TJC113" s="64"/>
      <c r="TJD113" s="64"/>
      <c r="TJE113" s="64"/>
      <c r="TJF113" s="64"/>
      <c r="TJG113" s="64"/>
      <c r="TJH113" s="64"/>
      <c r="TJI113" s="64"/>
      <c r="TJJ113" s="64"/>
      <c r="TJK113" s="64"/>
      <c r="TJL113" s="64"/>
      <c r="TJM113" s="64"/>
      <c r="TJN113" s="64"/>
      <c r="TJO113" s="64"/>
      <c r="TJP113" s="64"/>
      <c r="TJQ113" s="64"/>
      <c r="TJR113" s="64"/>
      <c r="TJS113" s="64"/>
      <c r="TJT113" s="64"/>
      <c r="TJU113" s="64"/>
      <c r="TJV113" s="64"/>
      <c r="TJW113" s="64"/>
      <c r="TJX113" s="64"/>
      <c r="TJY113" s="64"/>
      <c r="TJZ113" s="64"/>
      <c r="TKA113" s="64"/>
      <c r="TKB113" s="64"/>
      <c r="TKC113" s="64"/>
      <c r="TKD113" s="64"/>
      <c r="TKE113" s="64"/>
      <c r="TKF113" s="64"/>
      <c r="TKG113" s="64"/>
      <c r="TKH113" s="64"/>
      <c r="TKI113" s="64"/>
      <c r="TKJ113" s="64"/>
      <c r="TKK113" s="64"/>
      <c r="TKL113" s="64"/>
      <c r="TKM113" s="64"/>
      <c r="TKN113" s="64"/>
      <c r="TKO113" s="64"/>
      <c r="TKP113" s="64"/>
      <c r="TKQ113" s="64"/>
      <c r="TKR113" s="64"/>
      <c r="TKS113" s="64"/>
      <c r="TKT113" s="64"/>
      <c r="TKU113" s="64"/>
      <c r="TKV113" s="64"/>
      <c r="TKW113" s="64"/>
      <c r="TKX113" s="64"/>
      <c r="TKY113" s="64"/>
      <c r="TKZ113" s="64"/>
      <c r="TLA113" s="64"/>
      <c r="TLB113" s="64"/>
      <c r="TLC113" s="64"/>
      <c r="TLD113" s="64"/>
      <c r="TLE113" s="64"/>
      <c r="TLF113" s="64"/>
      <c r="TLG113" s="64"/>
      <c r="TLH113" s="64"/>
      <c r="TLI113" s="64"/>
      <c r="TLJ113" s="64"/>
      <c r="TLK113" s="64"/>
      <c r="TLL113" s="64"/>
      <c r="TLM113" s="64"/>
      <c r="TLN113" s="64"/>
      <c r="TLO113" s="64"/>
      <c r="TLP113" s="64"/>
      <c r="TLQ113" s="64"/>
      <c r="TLR113" s="64"/>
      <c r="TLS113" s="64"/>
      <c r="TLT113" s="64"/>
      <c r="TLU113" s="64"/>
      <c r="TLV113" s="64"/>
      <c r="TLW113" s="64"/>
      <c r="TLX113" s="64"/>
      <c r="TLY113" s="64"/>
      <c r="TLZ113" s="64"/>
      <c r="TMA113" s="64"/>
      <c r="TMB113" s="64"/>
      <c r="TMC113" s="64"/>
      <c r="TMD113" s="64"/>
      <c r="TME113" s="64"/>
      <c r="TMF113" s="64"/>
      <c r="TMG113" s="64"/>
      <c r="TMH113" s="64"/>
      <c r="TMI113" s="64"/>
      <c r="TMJ113" s="64"/>
      <c r="TMK113" s="64"/>
      <c r="TML113" s="64"/>
      <c r="TMM113" s="64"/>
      <c r="TMN113" s="64"/>
      <c r="TMO113" s="64"/>
      <c r="TMP113" s="64"/>
      <c r="TMQ113" s="64"/>
      <c r="TMR113" s="64"/>
      <c r="TMS113" s="64"/>
      <c r="TMT113" s="64"/>
      <c r="TMU113" s="64"/>
      <c r="TMV113" s="64"/>
      <c r="TMW113" s="64"/>
      <c r="TMX113" s="64"/>
      <c r="TMY113" s="64"/>
      <c r="TMZ113" s="64"/>
      <c r="TNA113" s="64"/>
      <c r="TNB113" s="64"/>
      <c r="TNC113" s="64"/>
      <c r="TND113" s="64"/>
      <c r="TNE113" s="64"/>
      <c r="TNF113" s="64"/>
      <c r="TNG113" s="64"/>
      <c r="TNH113" s="64"/>
      <c r="TNI113" s="64"/>
      <c r="TNJ113" s="64"/>
      <c r="TNK113" s="64"/>
      <c r="TNL113" s="64"/>
      <c r="TNM113" s="64"/>
      <c r="TNN113" s="64"/>
      <c r="TNO113" s="64"/>
      <c r="TNP113" s="64"/>
      <c r="TNQ113" s="64"/>
      <c r="TNR113" s="64"/>
      <c r="TNS113" s="64"/>
      <c r="TNT113" s="64"/>
      <c r="TNU113" s="64"/>
      <c r="TNV113" s="64"/>
      <c r="TNW113" s="64"/>
      <c r="TNX113" s="64"/>
      <c r="TNY113" s="64"/>
      <c r="TNZ113" s="64"/>
      <c r="TOA113" s="64"/>
      <c r="TOB113" s="64"/>
      <c r="TOC113" s="64"/>
      <c r="TOD113" s="64"/>
      <c r="TOE113" s="64"/>
      <c r="TOF113" s="64"/>
      <c r="TOG113" s="64"/>
      <c r="TOH113" s="64"/>
      <c r="TOI113" s="64"/>
      <c r="TOJ113" s="64"/>
      <c r="TOK113" s="64"/>
      <c r="TOL113" s="64"/>
      <c r="TOM113" s="64"/>
      <c r="TON113" s="64"/>
      <c r="TOO113" s="64"/>
      <c r="TOP113" s="64"/>
      <c r="TOQ113" s="64"/>
      <c r="TOR113" s="64"/>
      <c r="TOS113" s="64"/>
      <c r="TOT113" s="64"/>
      <c r="TOU113" s="64"/>
      <c r="TOV113" s="64"/>
      <c r="TOW113" s="64"/>
      <c r="TOX113" s="64"/>
      <c r="TOY113" s="64"/>
      <c r="TOZ113" s="64"/>
      <c r="TPA113" s="64"/>
      <c r="TPB113" s="64"/>
      <c r="TPC113" s="64"/>
      <c r="TPD113" s="64"/>
      <c r="TPE113" s="64"/>
      <c r="TPF113" s="64"/>
      <c r="TPG113" s="64"/>
      <c r="TPH113" s="64"/>
      <c r="TPI113" s="64"/>
      <c r="TPJ113" s="64"/>
      <c r="TPK113" s="64"/>
      <c r="TPL113" s="64"/>
      <c r="TPM113" s="64"/>
      <c r="TPN113" s="64"/>
      <c r="TPO113" s="64"/>
      <c r="TPP113" s="64"/>
      <c r="TPQ113" s="64"/>
      <c r="TPR113" s="64"/>
      <c r="TPS113" s="64"/>
      <c r="TPT113" s="64"/>
      <c r="TPU113" s="64"/>
      <c r="TPV113" s="64"/>
      <c r="TPW113" s="64"/>
      <c r="TPX113" s="64"/>
      <c r="TPY113" s="64"/>
      <c r="TPZ113" s="64"/>
      <c r="TQA113" s="64"/>
      <c r="TQB113" s="64"/>
      <c r="TQC113" s="64"/>
      <c r="TQD113" s="64"/>
      <c r="TQE113" s="64"/>
      <c r="TQF113" s="64"/>
      <c r="TQG113" s="64"/>
      <c r="TQH113" s="64"/>
      <c r="TQI113" s="64"/>
      <c r="TQJ113" s="64"/>
      <c r="TQK113" s="64"/>
      <c r="TQL113" s="64"/>
      <c r="TQM113" s="64"/>
      <c r="TQN113" s="64"/>
      <c r="TQO113" s="64"/>
      <c r="TQP113" s="64"/>
      <c r="TQQ113" s="64"/>
      <c r="TQR113" s="64"/>
      <c r="TQS113" s="64"/>
      <c r="TQT113" s="64"/>
      <c r="TQU113" s="64"/>
      <c r="TQV113" s="64"/>
      <c r="TQW113" s="64"/>
      <c r="TQX113" s="64"/>
      <c r="TQY113" s="64"/>
      <c r="TQZ113" s="64"/>
      <c r="TRA113" s="64"/>
      <c r="TRB113" s="64"/>
      <c r="TRC113" s="64"/>
      <c r="TRD113" s="64"/>
      <c r="TRE113" s="64"/>
      <c r="TRF113" s="64"/>
      <c r="TRG113" s="64"/>
      <c r="TRH113" s="64"/>
      <c r="TRI113" s="64"/>
      <c r="TRJ113" s="64"/>
      <c r="TRK113" s="64"/>
      <c r="TRL113" s="64"/>
      <c r="TRM113" s="64"/>
      <c r="TRN113" s="64"/>
      <c r="TRO113" s="64"/>
      <c r="TRP113" s="64"/>
      <c r="TRQ113" s="64"/>
      <c r="TRR113" s="64"/>
      <c r="TRS113" s="64"/>
      <c r="TRT113" s="64"/>
      <c r="TRU113" s="64"/>
      <c r="TRV113" s="64"/>
      <c r="TRW113" s="64"/>
      <c r="TRX113" s="64"/>
      <c r="TRY113" s="64"/>
      <c r="TRZ113" s="64"/>
      <c r="TSA113" s="64"/>
      <c r="TSB113" s="64"/>
      <c r="TSC113" s="64"/>
      <c r="TSD113" s="64"/>
      <c r="TSE113" s="64"/>
      <c r="TSF113" s="64"/>
      <c r="TSG113" s="64"/>
      <c r="TSH113" s="64"/>
      <c r="TSI113" s="64"/>
      <c r="TSJ113" s="64"/>
      <c r="TSK113" s="64"/>
      <c r="TSL113" s="64"/>
      <c r="TSM113" s="64"/>
      <c r="TSN113" s="64"/>
      <c r="TSO113" s="64"/>
      <c r="TSP113" s="64"/>
      <c r="TSQ113" s="64"/>
      <c r="TSR113" s="64"/>
      <c r="TSS113" s="64"/>
      <c r="TST113" s="64"/>
      <c r="TSU113" s="64"/>
      <c r="TSV113" s="64"/>
      <c r="TSW113" s="64"/>
      <c r="TSX113" s="64"/>
      <c r="TSY113" s="64"/>
      <c r="TSZ113" s="64"/>
      <c r="TTA113" s="64"/>
      <c r="TTB113" s="64"/>
      <c r="TTC113" s="64"/>
      <c r="TTD113" s="64"/>
      <c r="TTE113" s="64"/>
      <c r="TTF113" s="64"/>
      <c r="TTG113" s="64"/>
      <c r="TTH113" s="64"/>
      <c r="TTI113" s="64"/>
      <c r="TTJ113" s="64"/>
      <c r="TTK113" s="64"/>
      <c r="TTL113" s="64"/>
      <c r="TTM113" s="64"/>
      <c r="TTN113" s="64"/>
      <c r="TTO113" s="64"/>
      <c r="TTP113" s="64"/>
      <c r="TTQ113" s="64"/>
      <c r="TTR113" s="64"/>
      <c r="TTS113" s="64"/>
      <c r="TTT113" s="64"/>
      <c r="TTU113" s="64"/>
      <c r="TTV113" s="64"/>
      <c r="TTW113" s="64"/>
      <c r="TTX113" s="64"/>
      <c r="TTY113" s="64"/>
      <c r="TTZ113" s="64"/>
      <c r="TUA113" s="64"/>
      <c r="TUB113" s="64"/>
      <c r="TUC113" s="64"/>
      <c r="TUD113" s="64"/>
      <c r="TUE113" s="64"/>
      <c r="TUF113" s="64"/>
      <c r="TUG113" s="64"/>
      <c r="TUH113" s="64"/>
      <c r="TUI113" s="64"/>
      <c r="TUJ113" s="64"/>
      <c r="TUK113" s="64"/>
      <c r="TUL113" s="64"/>
      <c r="TUM113" s="64"/>
      <c r="TUN113" s="64"/>
      <c r="TUO113" s="64"/>
      <c r="TUP113" s="64"/>
      <c r="TUQ113" s="64"/>
      <c r="TUR113" s="64"/>
      <c r="TUS113" s="64"/>
      <c r="TUT113" s="64"/>
      <c r="TUU113" s="64"/>
      <c r="TUV113" s="64"/>
      <c r="TUW113" s="64"/>
      <c r="TUX113" s="64"/>
      <c r="TUY113" s="64"/>
      <c r="TUZ113" s="64"/>
      <c r="TVA113" s="64"/>
      <c r="TVB113" s="64"/>
      <c r="TVC113" s="64"/>
      <c r="TVD113" s="64"/>
      <c r="TVE113" s="64"/>
      <c r="TVF113" s="64"/>
      <c r="TVG113" s="64"/>
      <c r="TVH113" s="64"/>
      <c r="TVI113" s="64"/>
      <c r="TVJ113" s="64"/>
      <c r="TVK113" s="64"/>
      <c r="TVL113" s="64"/>
      <c r="TVM113" s="64"/>
      <c r="TVN113" s="64"/>
      <c r="TVO113" s="64"/>
      <c r="TVP113" s="64"/>
      <c r="TVQ113" s="64"/>
      <c r="TVR113" s="64"/>
      <c r="TVS113" s="64"/>
      <c r="TVT113" s="64"/>
      <c r="TVU113" s="64"/>
      <c r="TVV113" s="64"/>
      <c r="TVW113" s="64"/>
      <c r="TVX113" s="64"/>
      <c r="TVY113" s="64"/>
      <c r="TVZ113" s="64"/>
      <c r="TWA113" s="64"/>
      <c r="TWB113" s="64"/>
      <c r="TWC113" s="64"/>
      <c r="TWD113" s="64"/>
      <c r="TWE113" s="64"/>
      <c r="TWF113" s="64"/>
      <c r="TWG113" s="64"/>
      <c r="TWH113" s="64"/>
      <c r="TWI113" s="64"/>
      <c r="TWJ113" s="64"/>
      <c r="TWK113" s="64"/>
      <c r="TWL113" s="64"/>
      <c r="TWM113" s="64"/>
      <c r="TWN113" s="64"/>
      <c r="TWO113" s="64"/>
      <c r="TWP113" s="64"/>
      <c r="TWQ113" s="64"/>
      <c r="TWR113" s="64"/>
      <c r="TWS113" s="64"/>
      <c r="TWT113" s="64"/>
      <c r="TWU113" s="64"/>
      <c r="TWV113" s="64"/>
      <c r="TWW113" s="64"/>
      <c r="TWX113" s="64"/>
      <c r="TWY113" s="64"/>
      <c r="TWZ113" s="64"/>
      <c r="TXA113" s="64"/>
      <c r="TXB113" s="64"/>
      <c r="TXC113" s="64"/>
      <c r="TXD113" s="64"/>
      <c r="TXE113" s="64"/>
      <c r="TXF113" s="64"/>
      <c r="TXG113" s="64"/>
      <c r="TXH113" s="64"/>
      <c r="TXI113" s="64"/>
      <c r="TXJ113" s="64"/>
      <c r="TXK113" s="64"/>
      <c r="TXL113" s="64"/>
      <c r="TXM113" s="64"/>
      <c r="TXN113" s="64"/>
      <c r="TXO113" s="64"/>
      <c r="TXP113" s="64"/>
      <c r="TXQ113" s="64"/>
      <c r="TXR113" s="64"/>
      <c r="TXS113" s="64"/>
      <c r="TXT113" s="64"/>
      <c r="TXU113" s="64"/>
      <c r="TXV113" s="64"/>
      <c r="TXW113" s="64"/>
      <c r="TXX113" s="64"/>
      <c r="TXY113" s="64"/>
      <c r="TXZ113" s="64"/>
      <c r="TYA113" s="64"/>
      <c r="TYB113" s="64"/>
      <c r="TYC113" s="64"/>
      <c r="TYD113" s="64"/>
      <c r="TYE113" s="64"/>
      <c r="TYF113" s="64"/>
      <c r="TYG113" s="64"/>
      <c r="TYH113" s="64"/>
      <c r="TYI113" s="64"/>
      <c r="TYJ113" s="64"/>
      <c r="TYK113" s="64"/>
      <c r="TYL113" s="64"/>
      <c r="TYM113" s="64"/>
      <c r="TYN113" s="64"/>
      <c r="TYO113" s="64"/>
      <c r="TYP113" s="64"/>
      <c r="TYQ113" s="64"/>
      <c r="TYR113" s="64"/>
      <c r="TYS113" s="64"/>
      <c r="TYT113" s="64"/>
      <c r="TYU113" s="64"/>
      <c r="TYV113" s="64"/>
      <c r="TYW113" s="64"/>
      <c r="TYX113" s="64"/>
      <c r="TYY113" s="64"/>
      <c r="TYZ113" s="64"/>
      <c r="TZA113" s="64"/>
      <c r="TZB113" s="64"/>
      <c r="TZC113" s="64"/>
      <c r="TZD113" s="64"/>
      <c r="TZE113" s="64"/>
      <c r="TZF113" s="64"/>
      <c r="TZG113" s="64"/>
      <c r="TZH113" s="64"/>
      <c r="TZI113" s="64"/>
      <c r="TZJ113" s="64"/>
      <c r="TZK113" s="64"/>
      <c r="TZL113" s="64"/>
      <c r="TZM113" s="64"/>
      <c r="TZN113" s="64"/>
      <c r="TZO113" s="64"/>
      <c r="TZP113" s="64"/>
      <c r="TZQ113" s="64"/>
      <c r="TZR113" s="64"/>
      <c r="TZS113" s="64"/>
      <c r="TZT113" s="64"/>
      <c r="TZU113" s="64"/>
      <c r="TZV113" s="64"/>
      <c r="TZW113" s="64"/>
      <c r="TZX113" s="64"/>
      <c r="TZY113" s="64"/>
      <c r="TZZ113" s="64"/>
      <c r="UAA113" s="64"/>
      <c r="UAB113" s="64"/>
      <c r="UAC113" s="64"/>
      <c r="UAD113" s="64"/>
      <c r="UAE113" s="64"/>
      <c r="UAF113" s="64"/>
      <c r="UAG113" s="64"/>
      <c r="UAH113" s="64"/>
      <c r="UAI113" s="64"/>
      <c r="UAJ113" s="64"/>
      <c r="UAK113" s="64"/>
      <c r="UAL113" s="64"/>
      <c r="UAM113" s="64"/>
      <c r="UAN113" s="64"/>
      <c r="UAO113" s="64"/>
      <c r="UAP113" s="64"/>
      <c r="UAQ113" s="64"/>
      <c r="UAR113" s="64"/>
      <c r="UAS113" s="64"/>
      <c r="UAT113" s="64"/>
      <c r="UAU113" s="64"/>
      <c r="UAV113" s="64"/>
      <c r="UAW113" s="64"/>
      <c r="UAX113" s="64"/>
      <c r="UAY113" s="64"/>
      <c r="UAZ113" s="64"/>
      <c r="UBA113" s="64"/>
      <c r="UBB113" s="64"/>
      <c r="UBC113" s="64"/>
      <c r="UBD113" s="64"/>
      <c r="UBE113" s="64"/>
      <c r="UBF113" s="64"/>
      <c r="UBG113" s="64"/>
      <c r="UBH113" s="64"/>
      <c r="UBI113" s="64"/>
      <c r="UBJ113" s="64"/>
      <c r="UBK113" s="64"/>
      <c r="UBL113" s="64"/>
      <c r="UBM113" s="64"/>
      <c r="UBN113" s="64"/>
      <c r="UBO113" s="64"/>
      <c r="UBP113" s="64"/>
      <c r="UBQ113" s="64"/>
      <c r="UBR113" s="64"/>
      <c r="UBS113" s="64"/>
      <c r="UBT113" s="64"/>
      <c r="UBU113" s="64"/>
      <c r="UBV113" s="64"/>
      <c r="UBW113" s="64"/>
      <c r="UBX113" s="64"/>
      <c r="UBY113" s="64"/>
      <c r="UBZ113" s="64"/>
      <c r="UCA113" s="64"/>
      <c r="UCB113" s="64"/>
      <c r="UCC113" s="64"/>
      <c r="UCD113" s="64"/>
      <c r="UCE113" s="64"/>
      <c r="UCF113" s="64"/>
      <c r="UCG113" s="64"/>
      <c r="UCH113" s="64"/>
      <c r="UCI113" s="64"/>
      <c r="UCJ113" s="64"/>
      <c r="UCK113" s="64"/>
      <c r="UCL113" s="64"/>
      <c r="UCM113" s="64"/>
      <c r="UCN113" s="64"/>
      <c r="UCO113" s="64"/>
      <c r="UCP113" s="64"/>
      <c r="UCQ113" s="64"/>
      <c r="UCR113" s="64"/>
      <c r="UCS113" s="64"/>
      <c r="UCT113" s="64"/>
      <c r="UCU113" s="64"/>
      <c r="UCV113" s="64"/>
      <c r="UCW113" s="64"/>
      <c r="UCX113" s="64"/>
      <c r="UCY113" s="64"/>
      <c r="UCZ113" s="64"/>
      <c r="UDA113" s="64"/>
      <c r="UDB113" s="64"/>
      <c r="UDC113" s="64"/>
      <c r="UDD113" s="64"/>
      <c r="UDE113" s="64"/>
      <c r="UDF113" s="64"/>
      <c r="UDG113" s="64"/>
      <c r="UDH113" s="64"/>
      <c r="UDI113" s="64"/>
      <c r="UDJ113" s="64"/>
      <c r="UDK113" s="64"/>
      <c r="UDL113" s="64"/>
      <c r="UDM113" s="64"/>
      <c r="UDN113" s="64"/>
      <c r="UDO113" s="64"/>
      <c r="UDP113" s="64"/>
      <c r="UDQ113" s="64"/>
      <c r="UDR113" s="64"/>
      <c r="UDS113" s="64"/>
      <c r="UDT113" s="64"/>
      <c r="UDU113" s="64"/>
      <c r="UDV113" s="64"/>
      <c r="UDW113" s="64"/>
      <c r="UDX113" s="64"/>
      <c r="UDY113" s="64"/>
      <c r="UDZ113" s="64"/>
      <c r="UEA113" s="64"/>
      <c r="UEB113" s="64"/>
      <c r="UEC113" s="64"/>
      <c r="UED113" s="64"/>
      <c r="UEE113" s="64"/>
      <c r="UEF113" s="64"/>
      <c r="UEG113" s="64"/>
      <c r="UEH113" s="64"/>
      <c r="UEI113" s="64"/>
      <c r="UEJ113" s="64"/>
      <c r="UEK113" s="64"/>
      <c r="UEL113" s="64"/>
      <c r="UEM113" s="64"/>
      <c r="UEN113" s="64"/>
      <c r="UEO113" s="64"/>
      <c r="UEP113" s="64"/>
      <c r="UEQ113" s="64"/>
      <c r="UER113" s="64"/>
      <c r="UES113" s="64"/>
      <c r="UET113" s="64"/>
      <c r="UEU113" s="64"/>
      <c r="UEV113" s="64"/>
      <c r="UEW113" s="64"/>
      <c r="UEX113" s="64"/>
      <c r="UEY113" s="64"/>
      <c r="UEZ113" s="64"/>
      <c r="UFA113" s="64"/>
      <c r="UFB113" s="64"/>
      <c r="UFC113" s="64"/>
      <c r="UFD113" s="64"/>
      <c r="UFE113" s="64"/>
      <c r="UFF113" s="64"/>
      <c r="UFG113" s="64"/>
      <c r="UFH113" s="64"/>
      <c r="UFI113" s="64"/>
      <c r="UFJ113" s="64"/>
      <c r="UFK113" s="64"/>
      <c r="UFL113" s="64"/>
      <c r="UFM113" s="64"/>
      <c r="UFN113" s="64"/>
      <c r="UFO113" s="64"/>
      <c r="UFP113" s="64"/>
      <c r="UFQ113" s="64"/>
      <c r="UFR113" s="64"/>
      <c r="UFS113" s="64"/>
      <c r="UFT113" s="64"/>
      <c r="UFU113" s="64"/>
      <c r="UFV113" s="64"/>
      <c r="UFW113" s="64"/>
      <c r="UFX113" s="64"/>
      <c r="UFY113" s="64"/>
      <c r="UFZ113" s="64"/>
      <c r="UGA113" s="64"/>
      <c r="UGB113" s="64"/>
      <c r="UGC113" s="64"/>
      <c r="UGD113" s="64"/>
      <c r="UGE113" s="64"/>
      <c r="UGF113" s="64"/>
      <c r="UGG113" s="64"/>
      <c r="UGH113" s="64"/>
      <c r="UGI113" s="64"/>
      <c r="UGJ113" s="64"/>
      <c r="UGK113" s="64"/>
      <c r="UGL113" s="64"/>
      <c r="UGM113" s="64"/>
      <c r="UGN113" s="64"/>
      <c r="UGO113" s="64"/>
      <c r="UGP113" s="64"/>
      <c r="UGQ113" s="64"/>
      <c r="UGR113" s="64"/>
      <c r="UGS113" s="64"/>
      <c r="UGT113" s="64"/>
      <c r="UGU113" s="64"/>
      <c r="UGV113" s="64"/>
      <c r="UGW113" s="64"/>
      <c r="UGX113" s="64"/>
      <c r="UGY113" s="64"/>
      <c r="UGZ113" s="64"/>
      <c r="UHA113" s="64"/>
      <c r="UHB113" s="64"/>
      <c r="UHC113" s="64"/>
      <c r="UHD113" s="64"/>
      <c r="UHE113" s="64"/>
      <c r="UHF113" s="64"/>
      <c r="UHG113" s="64"/>
      <c r="UHH113" s="64"/>
      <c r="UHI113" s="64"/>
      <c r="UHJ113" s="64"/>
      <c r="UHK113" s="64"/>
      <c r="UHL113" s="64"/>
      <c r="UHM113" s="64"/>
      <c r="UHN113" s="64"/>
      <c r="UHO113" s="64"/>
      <c r="UHP113" s="64"/>
      <c r="UHQ113" s="64"/>
      <c r="UHR113" s="64"/>
      <c r="UHS113" s="64"/>
      <c r="UHT113" s="64"/>
      <c r="UHU113" s="64"/>
      <c r="UHV113" s="64"/>
      <c r="UHW113" s="64"/>
      <c r="UHX113" s="64"/>
      <c r="UHY113" s="64"/>
      <c r="UHZ113" s="64"/>
      <c r="UIA113" s="64"/>
      <c r="UIB113" s="64"/>
      <c r="UIC113" s="64"/>
      <c r="UID113" s="64"/>
      <c r="UIE113" s="64"/>
      <c r="UIF113" s="64"/>
      <c r="UIG113" s="64"/>
      <c r="UIH113" s="64"/>
      <c r="UII113" s="64"/>
      <c r="UIJ113" s="64"/>
      <c r="UIK113" s="64"/>
      <c r="UIL113" s="64"/>
      <c r="UIM113" s="64"/>
      <c r="UIN113" s="64"/>
      <c r="UIO113" s="64"/>
      <c r="UIP113" s="64"/>
      <c r="UIQ113" s="64"/>
      <c r="UIR113" s="64"/>
      <c r="UIS113" s="64"/>
      <c r="UIT113" s="64"/>
      <c r="UIU113" s="64"/>
      <c r="UIV113" s="64"/>
      <c r="UIW113" s="64"/>
      <c r="UIX113" s="64"/>
      <c r="UIY113" s="64"/>
      <c r="UIZ113" s="64"/>
      <c r="UJA113" s="64"/>
      <c r="UJB113" s="64"/>
      <c r="UJC113" s="64"/>
      <c r="UJD113" s="64"/>
      <c r="UJE113" s="64"/>
      <c r="UJF113" s="64"/>
      <c r="UJG113" s="64"/>
      <c r="UJH113" s="64"/>
      <c r="UJI113" s="64"/>
      <c r="UJJ113" s="64"/>
      <c r="UJK113" s="64"/>
      <c r="UJL113" s="64"/>
      <c r="UJM113" s="64"/>
      <c r="UJN113" s="64"/>
      <c r="UJO113" s="64"/>
      <c r="UJP113" s="64"/>
      <c r="UJQ113" s="64"/>
      <c r="UJR113" s="64"/>
      <c r="UJS113" s="64"/>
      <c r="UJT113" s="64"/>
      <c r="UJU113" s="64"/>
      <c r="UJV113" s="64"/>
      <c r="UJW113" s="64"/>
      <c r="UJX113" s="64"/>
      <c r="UJY113" s="64"/>
      <c r="UJZ113" s="64"/>
      <c r="UKA113" s="64"/>
      <c r="UKB113" s="64"/>
      <c r="UKC113" s="64"/>
      <c r="UKD113" s="64"/>
      <c r="UKE113" s="64"/>
      <c r="UKF113" s="64"/>
      <c r="UKG113" s="64"/>
      <c r="UKH113" s="64"/>
      <c r="UKI113" s="64"/>
      <c r="UKJ113" s="64"/>
      <c r="UKK113" s="64"/>
      <c r="UKL113" s="64"/>
      <c r="UKM113" s="64"/>
      <c r="UKN113" s="64"/>
      <c r="UKO113" s="64"/>
      <c r="UKP113" s="64"/>
      <c r="UKQ113" s="64"/>
      <c r="UKR113" s="64"/>
      <c r="UKS113" s="64"/>
      <c r="UKT113" s="64"/>
      <c r="UKU113" s="64"/>
      <c r="UKV113" s="64"/>
      <c r="UKW113" s="64"/>
      <c r="UKX113" s="64"/>
      <c r="UKY113" s="64"/>
      <c r="UKZ113" s="64"/>
      <c r="ULA113" s="64"/>
      <c r="ULB113" s="64"/>
      <c r="ULC113" s="64"/>
      <c r="ULD113" s="64"/>
      <c r="ULE113" s="64"/>
      <c r="ULF113" s="64"/>
      <c r="ULG113" s="64"/>
      <c r="ULH113" s="64"/>
      <c r="ULI113" s="64"/>
      <c r="ULJ113" s="64"/>
      <c r="ULK113" s="64"/>
      <c r="ULL113" s="64"/>
      <c r="ULM113" s="64"/>
      <c r="ULN113" s="64"/>
      <c r="ULO113" s="64"/>
      <c r="ULP113" s="64"/>
      <c r="ULQ113" s="64"/>
      <c r="ULR113" s="64"/>
      <c r="ULS113" s="64"/>
      <c r="ULT113" s="64"/>
      <c r="ULU113" s="64"/>
      <c r="ULV113" s="64"/>
      <c r="ULW113" s="64"/>
      <c r="ULX113" s="64"/>
      <c r="ULY113" s="64"/>
      <c r="ULZ113" s="64"/>
      <c r="UMA113" s="64"/>
      <c r="UMB113" s="64"/>
      <c r="UMC113" s="64"/>
      <c r="UMD113" s="64"/>
      <c r="UME113" s="64"/>
      <c r="UMF113" s="64"/>
      <c r="UMG113" s="64"/>
      <c r="UMH113" s="64"/>
      <c r="UMI113" s="64"/>
      <c r="UMJ113" s="64"/>
      <c r="UMK113" s="64"/>
      <c r="UML113" s="64"/>
      <c r="UMM113" s="64"/>
      <c r="UMN113" s="64"/>
      <c r="UMO113" s="64"/>
      <c r="UMP113" s="64"/>
      <c r="UMQ113" s="64"/>
      <c r="UMR113" s="64"/>
      <c r="UMS113" s="64"/>
      <c r="UMT113" s="64"/>
      <c r="UMU113" s="64"/>
      <c r="UMV113" s="64"/>
      <c r="UMW113" s="64"/>
      <c r="UMX113" s="64"/>
      <c r="UMY113" s="64"/>
      <c r="UMZ113" s="64"/>
      <c r="UNA113" s="64"/>
      <c r="UNB113" s="64"/>
      <c r="UNC113" s="64"/>
      <c r="UND113" s="64"/>
      <c r="UNE113" s="64"/>
      <c r="UNF113" s="64"/>
      <c r="UNG113" s="64"/>
      <c r="UNH113" s="64"/>
      <c r="UNI113" s="64"/>
      <c r="UNJ113" s="64"/>
      <c r="UNK113" s="64"/>
      <c r="UNL113" s="64"/>
      <c r="UNM113" s="64"/>
      <c r="UNN113" s="64"/>
      <c r="UNO113" s="64"/>
      <c r="UNP113" s="64"/>
      <c r="UNQ113" s="64"/>
      <c r="UNR113" s="64"/>
      <c r="UNS113" s="64"/>
      <c r="UNT113" s="64"/>
      <c r="UNU113" s="64"/>
      <c r="UNV113" s="64"/>
      <c r="UNW113" s="64"/>
      <c r="UNX113" s="64"/>
      <c r="UNY113" s="64"/>
      <c r="UNZ113" s="64"/>
      <c r="UOA113" s="64"/>
      <c r="UOB113" s="64"/>
      <c r="UOC113" s="64"/>
      <c r="UOD113" s="64"/>
      <c r="UOE113" s="64"/>
      <c r="UOF113" s="64"/>
      <c r="UOG113" s="64"/>
      <c r="UOH113" s="64"/>
      <c r="UOI113" s="64"/>
      <c r="UOJ113" s="64"/>
      <c r="UOK113" s="64"/>
      <c r="UOL113" s="64"/>
      <c r="UOM113" s="64"/>
      <c r="UON113" s="64"/>
      <c r="UOO113" s="64"/>
      <c r="UOP113" s="64"/>
      <c r="UOQ113" s="64"/>
      <c r="UOR113" s="64"/>
      <c r="UOS113" s="64"/>
      <c r="UOT113" s="64"/>
      <c r="UOU113" s="64"/>
      <c r="UOV113" s="64"/>
      <c r="UOW113" s="64"/>
      <c r="UOX113" s="64"/>
      <c r="UOY113" s="64"/>
      <c r="UOZ113" s="64"/>
      <c r="UPA113" s="64"/>
      <c r="UPB113" s="64"/>
      <c r="UPC113" s="64"/>
      <c r="UPD113" s="64"/>
      <c r="UPE113" s="64"/>
      <c r="UPF113" s="64"/>
      <c r="UPG113" s="64"/>
      <c r="UPH113" s="64"/>
      <c r="UPI113" s="64"/>
      <c r="UPJ113" s="64"/>
      <c r="UPK113" s="64"/>
      <c r="UPL113" s="64"/>
      <c r="UPM113" s="64"/>
      <c r="UPN113" s="64"/>
      <c r="UPO113" s="64"/>
      <c r="UPP113" s="64"/>
      <c r="UPQ113" s="64"/>
      <c r="UPR113" s="64"/>
      <c r="UPS113" s="64"/>
      <c r="UPT113" s="64"/>
      <c r="UPU113" s="64"/>
      <c r="UPV113" s="64"/>
      <c r="UPW113" s="64"/>
      <c r="UPX113" s="64"/>
      <c r="UPY113" s="64"/>
      <c r="UPZ113" s="64"/>
      <c r="UQA113" s="64"/>
      <c r="UQB113" s="64"/>
      <c r="UQC113" s="64"/>
      <c r="UQD113" s="64"/>
      <c r="UQE113" s="64"/>
      <c r="UQF113" s="64"/>
      <c r="UQG113" s="64"/>
      <c r="UQH113" s="64"/>
      <c r="UQI113" s="64"/>
      <c r="UQJ113" s="64"/>
      <c r="UQK113" s="64"/>
      <c r="UQL113" s="64"/>
      <c r="UQM113" s="64"/>
      <c r="UQN113" s="64"/>
      <c r="UQO113" s="64"/>
      <c r="UQP113" s="64"/>
      <c r="UQQ113" s="64"/>
      <c r="UQR113" s="64"/>
      <c r="UQS113" s="64"/>
      <c r="UQT113" s="64"/>
      <c r="UQU113" s="64"/>
      <c r="UQV113" s="64"/>
      <c r="UQW113" s="64"/>
      <c r="UQX113" s="64"/>
      <c r="UQY113" s="64"/>
      <c r="UQZ113" s="64"/>
      <c r="URA113" s="64"/>
      <c r="URB113" s="64"/>
      <c r="URC113" s="64"/>
      <c r="URD113" s="64"/>
      <c r="URE113" s="64"/>
      <c r="URF113" s="64"/>
      <c r="URG113" s="64"/>
      <c r="URH113" s="64"/>
      <c r="URI113" s="64"/>
      <c r="URJ113" s="64"/>
      <c r="URK113" s="64"/>
      <c r="URL113" s="64"/>
      <c r="URM113" s="64"/>
      <c r="URN113" s="64"/>
      <c r="URO113" s="64"/>
      <c r="URP113" s="64"/>
      <c r="URQ113" s="64"/>
      <c r="URR113" s="64"/>
      <c r="URS113" s="64"/>
      <c r="URT113" s="64"/>
      <c r="URU113" s="64"/>
      <c r="URV113" s="64"/>
      <c r="URW113" s="64"/>
      <c r="URX113" s="64"/>
      <c r="URY113" s="64"/>
      <c r="URZ113" s="64"/>
      <c r="USA113" s="64"/>
      <c r="USB113" s="64"/>
      <c r="USC113" s="64"/>
      <c r="USD113" s="64"/>
      <c r="USE113" s="64"/>
      <c r="USF113" s="64"/>
      <c r="USG113" s="64"/>
      <c r="USH113" s="64"/>
      <c r="USI113" s="64"/>
      <c r="USJ113" s="64"/>
      <c r="USK113" s="64"/>
      <c r="USL113" s="64"/>
      <c r="USM113" s="64"/>
      <c r="USN113" s="64"/>
      <c r="USO113" s="64"/>
      <c r="USP113" s="64"/>
      <c r="USQ113" s="64"/>
      <c r="USR113" s="64"/>
      <c r="USS113" s="64"/>
      <c r="UST113" s="64"/>
      <c r="USU113" s="64"/>
      <c r="USV113" s="64"/>
      <c r="USW113" s="64"/>
      <c r="USX113" s="64"/>
      <c r="USY113" s="64"/>
      <c r="USZ113" s="64"/>
      <c r="UTA113" s="64"/>
      <c r="UTB113" s="64"/>
      <c r="UTC113" s="64"/>
      <c r="UTD113" s="64"/>
      <c r="UTE113" s="64"/>
      <c r="UTF113" s="64"/>
      <c r="UTG113" s="64"/>
      <c r="UTH113" s="64"/>
      <c r="UTI113" s="64"/>
      <c r="UTJ113" s="64"/>
      <c r="UTK113" s="64"/>
      <c r="UTL113" s="64"/>
      <c r="UTM113" s="64"/>
      <c r="UTN113" s="64"/>
      <c r="UTO113" s="64"/>
      <c r="UTP113" s="64"/>
      <c r="UTQ113" s="64"/>
      <c r="UTR113" s="64"/>
      <c r="UTS113" s="64"/>
      <c r="UTT113" s="64"/>
      <c r="UTU113" s="64"/>
      <c r="UTV113" s="64"/>
      <c r="UTW113" s="64"/>
      <c r="UTX113" s="64"/>
      <c r="UTY113" s="64"/>
      <c r="UTZ113" s="64"/>
      <c r="UUA113" s="64"/>
      <c r="UUB113" s="64"/>
      <c r="UUC113" s="64"/>
      <c r="UUD113" s="64"/>
      <c r="UUE113" s="64"/>
      <c r="UUF113" s="64"/>
      <c r="UUG113" s="64"/>
      <c r="UUH113" s="64"/>
      <c r="UUI113" s="64"/>
      <c r="UUJ113" s="64"/>
      <c r="UUK113" s="64"/>
      <c r="UUL113" s="64"/>
      <c r="UUM113" s="64"/>
      <c r="UUN113" s="64"/>
      <c r="UUO113" s="64"/>
      <c r="UUP113" s="64"/>
      <c r="UUQ113" s="64"/>
      <c r="UUR113" s="64"/>
      <c r="UUS113" s="64"/>
      <c r="UUT113" s="64"/>
      <c r="UUU113" s="64"/>
      <c r="UUV113" s="64"/>
      <c r="UUW113" s="64"/>
      <c r="UUX113" s="64"/>
      <c r="UUY113" s="64"/>
      <c r="UUZ113" s="64"/>
      <c r="UVA113" s="64"/>
      <c r="UVB113" s="64"/>
      <c r="UVC113" s="64"/>
      <c r="UVD113" s="64"/>
      <c r="UVE113" s="64"/>
      <c r="UVF113" s="64"/>
      <c r="UVG113" s="64"/>
      <c r="UVH113" s="64"/>
      <c r="UVI113" s="64"/>
      <c r="UVJ113" s="64"/>
      <c r="UVK113" s="64"/>
      <c r="UVL113" s="64"/>
      <c r="UVM113" s="64"/>
      <c r="UVN113" s="64"/>
      <c r="UVO113" s="64"/>
      <c r="UVP113" s="64"/>
      <c r="UVQ113" s="64"/>
      <c r="UVR113" s="64"/>
      <c r="UVS113" s="64"/>
      <c r="UVT113" s="64"/>
      <c r="UVU113" s="64"/>
      <c r="UVV113" s="64"/>
      <c r="UVW113" s="64"/>
      <c r="UVX113" s="64"/>
      <c r="UVY113" s="64"/>
      <c r="UVZ113" s="64"/>
      <c r="UWA113" s="64"/>
      <c r="UWB113" s="64"/>
      <c r="UWC113" s="64"/>
      <c r="UWD113" s="64"/>
      <c r="UWE113" s="64"/>
      <c r="UWF113" s="64"/>
      <c r="UWG113" s="64"/>
      <c r="UWH113" s="64"/>
      <c r="UWI113" s="64"/>
      <c r="UWJ113" s="64"/>
      <c r="UWK113" s="64"/>
      <c r="UWL113" s="64"/>
      <c r="UWM113" s="64"/>
      <c r="UWN113" s="64"/>
      <c r="UWO113" s="64"/>
      <c r="UWP113" s="64"/>
      <c r="UWQ113" s="64"/>
      <c r="UWR113" s="64"/>
      <c r="UWS113" s="64"/>
      <c r="UWT113" s="64"/>
      <c r="UWU113" s="64"/>
      <c r="UWV113" s="64"/>
      <c r="UWW113" s="64"/>
      <c r="UWX113" s="64"/>
      <c r="UWY113" s="64"/>
      <c r="UWZ113" s="64"/>
      <c r="UXA113" s="64"/>
      <c r="UXB113" s="64"/>
      <c r="UXC113" s="64"/>
      <c r="UXD113" s="64"/>
      <c r="UXE113" s="64"/>
      <c r="UXF113" s="64"/>
      <c r="UXG113" s="64"/>
      <c r="UXH113" s="64"/>
      <c r="UXI113" s="64"/>
      <c r="UXJ113" s="64"/>
      <c r="UXK113" s="64"/>
      <c r="UXL113" s="64"/>
      <c r="UXM113" s="64"/>
      <c r="UXN113" s="64"/>
      <c r="UXO113" s="64"/>
      <c r="UXP113" s="64"/>
      <c r="UXQ113" s="64"/>
      <c r="UXR113" s="64"/>
      <c r="UXS113" s="64"/>
      <c r="UXT113" s="64"/>
      <c r="UXU113" s="64"/>
      <c r="UXV113" s="64"/>
      <c r="UXW113" s="64"/>
      <c r="UXX113" s="64"/>
      <c r="UXY113" s="64"/>
      <c r="UXZ113" s="64"/>
      <c r="UYA113" s="64"/>
      <c r="UYB113" s="64"/>
      <c r="UYC113" s="64"/>
      <c r="UYD113" s="64"/>
      <c r="UYE113" s="64"/>
      <c r="UYF113" s="64"/>
      <c r="UYG113" s="64"/>
      <c r="UYH113" s="64"/>
      <c r="UYI113" s="64"/>
      <c r="UYJ113" s="64"/>
      <c r="UYK113" s="64"/>
      <c r="UYL113" s="64"/>
      <c r="UYM113" s="64"/>
      <c r="UYN113" s="64"/>
      <c r="UYO113" s="64"/>
      <c r="UYP113" s="64"/>
      <c r="UYQ113" s="64"/>
      <c r="UYR113" s="64"/>
      <c r="UYS113" s="64"/>
      <c r="UYT113" s="64"/>
      <c r="UYU113" s="64"/>
      <c r="UYV113" s="64"/>
      <c r="UYW113" s="64"/>
      <c r="UYX113" s="64"/>
      <c r="UYY113" s="64"/>
      <c r="UYZ113" s="64"/>
      <c r="UZA113" s="64"/>
      <c r="UZB113" s="64"/>
      <c r="UZC113" s="64"/>
      <c r="UZD113" s="64"/>
      <c r="UZE113" s="64"/>
      <c r="UZF113" s="64"/>
      <c r="UZG113" s="64"/>
      <c r="UZH113" s="64"/>
      <c r="UZI113" s="64"/>
      <c r="UZJ113" s="64"/>
      <c r="UZK113" s="64"/>
      <c r="UZL113" s="64"/>
      <c r="UZM113" s="64"/>
      <c r="UZN113" s="64"/>
      <c r="UZO113" s="64"/>
      <c r="UZP113" s="64"/>
      <c r="UZQ113" s="64"/>
      <c r="UZR113" s="64"/>
      <c r="UZS113" s="64"/>
      <c r="UZT113" s="64"/>
      <c r="UZU113" s="64"/>
      <c r="UZV113" s="64"/>
      <c r="UZW113" s="64"/>
      <c r="UZX113" s="64"/>
      <c r="UZY113" s="64"/>
      <c r="UZZ113" s="64"/>
      <c r="VAA113" s="64"/>
      <c r="VAB113" s="64"/>
      <c r="VAC113" s="64"/>
      <c r="VAD113" s="64"/>
      <c r="VAE113" s="64"/>
      <c r="VAF113" s="64"/>
      <c r="VAG113" s="64"/>
      <c r="VAH113" s="64"/>
      <c r="VAI113" s="64"/>
      <c r="VAJ113" s="64"/>
      <c r="VAK113" s="64"/>
      <c r="VAL113" s="64"/>
      <c r="VAM113" s="64"/>
      <c r="VAN113" s="64"/>
      <c r="VAO113" s="64"/>
      <c r="VAP113" s="64"/>
      <c r="VAQ113" s="64"/>
      <c r="VAR113" s="64"/>
      <c r="VAS113" s="64"/>
      <c r="VAT113" s="64"/>
      <c r="VAU113" s="64"/>
      <c r="VAV113" s="64"/>
      <c r="VAW113" s="64"/>
      <c r="VAX113" s="64"/>
      <c r="VAY113" s="64"/>
      <c r="VAZ113" s="64"/>
      <c r="VBA113" s="64"/>
      <c r="VBB113" s="64"/>
      <c r="VBC113" s="64"/>
      <c r="VBD113" s="64"/>
      <c r="VBE113" s="64"/>
      <c r="VBF113" s="64"/>
      <c r="VBG113" s="64"/>
      <c r="VBH113" s="64"/>
      <c r="VBI113" s="64"/>
      <c r="VBJ113" s="64"/>
      <c r="VBK113" s="64"/>
      <c r="VBL113" s="64"/>
      <c r="VBM113" s="64"/>
      <c r="VBN113" s="64"/>
      <c r="VBO113" s="64"/>
      <c r="VBP113" s="64"/>
      <c r="VBQ113" s="64"/>
      <c r="VBR113" s="64"/>
      <c r="VBS113" s="64"/>
      <c r="VBT113" s="64"/>
      <c r="VBU113" s="64"/>
      <c r="VBV113" s="64"/>
      <c r="VBW113" s="64"/>
      <c r="VBX113" s="64"/>
      <c r="VBY113" s="64"/>
      <c r="VBZ113" s="64"/>
      <c r="VCA113" s="64"/>
      <c r="VCB113" s="64"/>
      <c r="VCC113" s="64"/>
      <c r="VCD113" s="64"/>
      <c r="VCE113" s="64"/>
      <c r="VCF113" s="64"/>
      <c r="VCG113" s="64"/>
      <c r="VCH113" s="64"/>
      <c r="VCI113" s="64"/>
      <c r="VCJ113" s="64"/>
      <c r="VCK113" s="64"/>
      <c r="VCL113" s="64"/>
      <c r="VCM113" s="64"/>
      <c r="VCN113" s="64"/>
      <c r="VCO113" s="64"/>
      <c r="VCP113" s="64"/>
      <c r="VCQ113" s="64"/>
      <c r="VCR113" s="64"/>
      <c r="VCS113" s="64"/>
      <c r="VCT113" s="64"/>
      <c r="VCU113" s="64"/>
      <c r="VCV113" s="64"/>
      <c r="VCW113" s="64"/>
      <c r="VCX113" s="64"/>
      <c r="VCY113" s="64"/>
      <c r="VCZ113" s="64"/>
      <c r="VDA113" s="64"/>
      <c r="VDB113" s="64"/>
      <c r="VDC113" s="64"/>
      <c r="VDD113" s="64"/>
      <c r="VDE113" s="64"/>
      <c r="VDF113" s="64"/>
      <c r="VDG113" s="64"/>
      <c r="VDH113" s="64"/>
      <c r="VDI113" s="64"/>
      <c r="VDJ113" s="64"/>
      <c r="VDK113" s="64"/>
      <c r="VDL113" s="64"/>
      <c r="VDM113" s="64"/>
      <c r="VDN113" s="64"/>
      <c r="VDO113" s="64"/>
      <c r="VDP113" s="64"/>
      <c r="VDQ113" s="64"/>
      <c r="VDR113" s="64"/>
      <c r="VDS113" s="64"/>
      <c r="VDT113" s="64"/>
      <c r="VDU113" s="64"/>
      <c r="VDV113" s="64"/>
      <c r="VDW113" s="64"/>
      <c r="VDX113" s="64"/>
      <c r="VDY113" s="64"/>
      <c r="VDZ113" s="64"/>
      <c r="VEA113" s="64"/>
      <c r="VEB113" s="64"/>
      <c r="VEC113" s="64"/>
      <c r="VED113" s="64"/>
      <c r="VEE113" s="64"/>
      <c r="VEF113" s="64"/>
      <c r="VEG113" s="64"/>
      <c r="VEH113" s="64"/>
      <c r="VEI113" s="64"/>
      <c r="VEJ113" s="64"/>
      <c r="VEK113" s="64"/>
      <c r="VEL113" s="64"/>
      <c r="VEM113" s="64"/>
      <c r="VEN113" s="64"/>
      <c r="VEO113" s="64"/>
      <c r="VEP113" s="64"/>
      <c r="VEQ113" s="64"/>
      <c r="VER113" s="64"/>
      <c r="VES113" s="64"/>
      <c r="VET113" s="64"/>
      <c r="VEU113" s="64"/>
      <c r="VEV113" s="64"/>
      <c r="VEW113" s="64"/>
      <c r="VEX113" s="64"/>
      <c r="VEY113" s="64"/>
      <c r="VEZ113" s="64"/>
      <c r="VFA113" s="64"/>
      <c r="VFB113" s="64"/>
      <c r="VFC113" s="64"/>
      <c r="VFD113" s="64"/>
      <c r="VFE113" s="64"/>
      <c r="VFF113" s="64"/>
      <c r="VFG113" s="64"/>
      <c r="VFH113" s="64"/>
      <c r="VFI113" s="64"/>
      <c r="VFJ113" s="64"/>
      <c r="VFK113" s="64"/>
      <c r="VFL113" s="64"/>
      <c r="VFM113" s="64"/>
      <c r="VFN113" s="64"/>
      <c r="VFO113" s="64"/>
      <c r="VFP113" s="64"/>
      <c r="VFQ113" s="64"/>
      <c r="VFR113" s="64"/>
      <c r="VFS113" s="64"/>
      <c r="VFT113" s="64"/>
      <c r="VFU113" s="64"/>
      <c r="VFV113" s="64"/>
      <c r="VFW113" s="64"/>
      <c r="VFX113" s="64"/>
      <c r="VFY113" s="64"/>
      <c r="VFZ113" s="64"/>
      <c r="VGA113" s="64"/>
      <c r="VGB113" s="64"/>
      <c r="VGC113" s="64"/>
      <c r="VGD113" s="64"/>
      <c r="VGE113" s="64"/>
      <c r="VGF113" s="64"/>
      <c r="VGG113" s="64"/>
      <c r="VGH113" s="64"/>
      <c r="VGI113" s="64"/>
      <c r="VGJ113" s="64"/>
      <c r="VGK113" s="64"/>
      <c r="VGL113" s="64"/>
      <c r="VGM113" s="64"/>
      <c r="VGN113" s="64"/>
      <c r="VGO113" s="64"/>
      <c r="VGP113" s="64"/>
      <c r="VGQ113" s="64"/>
      <c r="VGR113" s="64"/>
      <c r="VGS113" s="64"/>
      <c r="VGT113" s="64"/>
      <c r="VGU113" s="64"/>
      <c r="VGV113" s="64"/>
      <c r="VGW113" s="64"/>
      <c r="VGX113" s="64"/>
      <c r="VGY113" s="64"/>
      <c r="VGZ113" s="64"/>
      <c r="VHA113" s="64"/>
      <c r="VHB113" s="64"/>
      <c r="VHC113" s="64"/>
      <c r="VHD113" s="64"/>
      <c r="VHE113" s="64"/>
      <c r="VHF113" s="64"/>
      <c r="VHG113" s="64"/>
      <c r="VHH113" s="64"/>
      <c r="VHI113" s="64"/>
      <c r="VHJ113" s="64"/>
      <c r="VHK113" s="64"/>
      <c r="VHL113" s="64"/>
      <c r="VHM113" s="64"/>
      <c r="VHN113" s="64"/>
      <c r="VHO113" s="64"/>
      <c r="VHP113" s="64"/>
      <c r="VHQ113" s="64"/>
      <c r="VHR113" s="64"/>
      <c r="VHS113" s="64"/>
      <c r="VHT113" s="64"/>
      <c r="VHU113" s="64"/>
      <c r="VHV113" s="64"/>
      <c r="VHW113" s="64"/>
      <c r="VHX113" s="64"/>
      <c r="VHY113" s="64"/>
      <c r="VHZ113" s="64"/>
      <c r="VIA113" s="64"/>
      <c r="VIB113" s="64"/>
      <c r="VIC113" s="64"/>
      <c r="VID113" s="64"/>
      <c r="VIE113" s="64"/>
      <c r="VIF113" s="64"/>
      <c r="VIG113" s="64"/>
      <c r="VIH113" s="64"/>
      <c r="VII113" s="64"/>
      <c r="VIJ113" s="64"/>
      <c r="VIK113" s="64"/>
      <c r="VIL113" s="64"/>
      <c r="VIM113" s="64"/>
      <c r="VIN113" s="64"/>
      <c r="VIO113" s="64"/>
      <c r="VIP113" s="64"/>
      <c r="VIQ113" s="64"/>
      <c r="VIR113" s="64"/>
      <c r="VIS113" s="64"/>
      <c r="VIT113" s="64"/>
      <c r="VIU113" s="64"/>
      <c r="VIV113" s="64"/>
      <c r="VIW113" s="64"/>
      <c r="VIX113" s="64"/>
      <c r="VIY113" s="64"/>
      <c r="VIZ113" s="64"/>
      <c r="VJA113" s="64"/>
      <c r="VJB113" s="64"/>
      <c r="VJC113" s="64"/>
      <c r="VJD113" s="64"/>
      <c r="VJE113" s="64"/>
      <c r="VJF113" s="64"/>
      <c r="VJG113" s="64"/>
      <c r="VJH113" s="64"/>
      <c r="VJI113" s="64"/>
      <c r="VJJ113" s="64"/>
      <c r="VJK113" s="64"/>
      <c r="VJL113" s="64"/>
      <c r="VJM113" s="64"/>
      <c r="VJN113" s="64"/>
      <c r="VJO113" s="64"/>
      <c r="VJP113" s="64"/>
      <c r="VJQ113" s="64"/>
      <c r="VJR113" s="64"/>
      <c r="VJS113" s="64"/>
      <c r="VJT113" s="64"/>
      <c r="VJU113" s="64"/>
      <c r="VJV113" s="64"/>
      <c r="VJW113" s="64"/>
      <c r="VJX113" s="64"/>
      <c r="VJY113" s="64"/>
      <c r="VJZ113" s="64"/>
      <c r="VKA113" s="64"/>
      <c r="VKB113" s="64"/>
      <c r="VKC113" s="64"/>
      <c r="VKD113" s="64"/>
      <c r="VKE113" s="64"/>
      <c r="VKF113" s="64"/>
      <c r="VKG113" s="64"/>
      <c r="VKH113" s="64"/>
      <c r="VKI113" s="64"/>
      <c r="VKJ113" s="64"/>
      <c r="VKK113" s="64"/>
      <c r="VKL113" s="64"/>
      <c r="VKM113" s="64"/>
      <c r="VKN113" s="64"/>
      <c r="VKO113" s="64"/>
      <c r="VKP113" s="64"/>
      <c r="VKQ113" s="64"/>
      <c r="VKR113" s="64"/>
      <c r="VKS113" s="64"/>
      <c r="VKT113" s="64"/>
      <c r="VKU113" s="64"/>
      <c r="VKV113" s="64"/>
      <c r="VKW113" s="64"/>
      <c r="VKX113" s="64"/>
      <c r="VKY113" s="64"/>
      <c r="VKZ113" s="64"/>
      <c r="VLA113" s="64"/>
      <c r="VLB113" s="64"/>
      <c r="VLC113" s="64"/>
      <c r="VLD113" s="64"/>
      <c r="VLE113" s="64"/>
      <c r="VLF113" s="64"/>
      <c r="VLG113" s="64"/>
      <c r="VLH113" s="64"/>
      <c r="VLI113" s="64"/>
      <c r="VLJ113" s="64"/>
      <c r="VLK113" s="64"/>
      <c r="VLL113" s="64"/>
      <c r="VLM113" s="64"/>
      <c r="VLN113" s="64"/>
      <c r="VLO113" s="64"/>
      <c r="VLP113" s="64"/>
      <c r="VLQ113" s="64"/>
      <c r="VLR113" s="64"/>
      <c r="VLS113" s="64"/>
      <c r="VLT113" s="64"/>
      <c r="VLU113" s="64"/>
      <c r="VLV113" s="64"/>
      <c r="VLW113" s="64"/>
      <c r="VLX113" s="64"/>
      <c r="VLY113" s="64"/>
      <c r="VLZ113" s="64"/>
      <c r="VMA113" s="64"/>
      <c r="VMB113" s="64"/>
      <c r="VMC113" s="64"/>
      <c r="VMD113" s="64"/>
      <c r="VME113" s="64"/>
      <c r="VMF113" s="64"/>
      <c r="VMG113" s="64"/>
      <c r="VMH113" s="64"/>
      <c r="VMI113" s="64"/>
      <c r="VMJ113" s="64"/>
      <c r="VMK113" s="64"/>
      <c r="VML113" s="64"/>
      <c r="VMM113" s="64"/>
      <c r="VMN113" s="64"/>
      <c r="VMO113" s="64"/>
      <c r="VMP113" s="64"/>
      <c r="VMQ113" s="64"/>
      <c r="VMR113" s="64"/>
      <c r="VMS113" s="64"/>
      <c r="VMT113" s="64"/>
      <c r="VMU113" s="64"/>
      <c r="VMV113" s="64"/>
      <c r="VMW113" s="64"/>
      <c r="VMX113" s="64"/>
      <c r="VMY113" s="64"/>
      <c r="VMZ113" s="64"/>
      <c r="VNA113" s="64"/>
      <c r="VNB113" s="64"/>
      <c r="VNC113" s="64"/>
      <c r="VND113" s="64"/>
      <c r="VNE113" s="64"/>
      <c r="VNF113" s="64"/>
      <c r="VNG113" s="64"/>
      <c r="VNH113" s="64"/>
      <c r="VNI113" s="64"/>
      <c r="VNJ113" s="64"/>
      <c r="VNK113" s="64"/>
      <c r="VNL113" s="64"/>
      <c r="VNM113" s="64"/>
      <c r="VNN113" s="64"/>
      <c r="VNO113" s="64"/>
      <c r="VNP113" s="64"/>
      <c r="VNQ113" s="64"/>
      <c r="VNR113" s="64"/>
      <c r="VNS113" s="64"/>
      <c r="VNT113" s="64"/>
      <c r="VNU113" s="64"/>
      <c r="VNV113" s="64"/>
      <c r="VNW113" s="64"/>
      <c r="VNX113" s="64"/>
      <c r="VNY113" s="64"/>
      <c r="VNZ113" s="64"/>
      <c r="VOA113" s="64"/>
      <c r="VOB113" s="64"/>
      <c r="VOC113" s="64"/>
      <c r="VOD113" s="64"/>
      <c r="VOE113" s="64"/>
      <c r="VOF113" s="64"/>
      <c r="VOG113" s="64"/>
      <c r="VOH113" s="64"/>
      <c r="VOI113" s="64"/>
      <c r="VOJ113" s="64"/>
      <c r="VOK113" s="64"/>
      <c r="VOL113" s="64"/>
      <c r="VOM113" s="64"/>
      <c r="VON113" s="64"/>
      <c r="VOO113" s="64"/>
      <c r="VOP113" s="64"/>
      <c r="VOQ113" s="64"/>
      <c r="VOR113" s="64"/>
      <c r="VOS113" s="64"/>
      <c r="VOT113" s="64"/>
      <c r="VOU113" s="64"/>
      <c r="VOV113" s="64"/>
      <c r="VOW113" s="64"/>
      <c r="VOX113" s="64"/>
      <c r="VOY113" s="64"/>
      <c r="VOZ113" s="64"/>
      <c r="VPA113" s="64"/>
      <c r="VPB113" s="64"/>
      <c r="VPC113" s="64"/>
      <c r="VPD113" s="64"/>
      <c r="VPE113" s="64"/>
      <c r="VPF113" s="64"/>
      <c r="VPG113" s="64"/>
      <c r="VPH113" s="64"/>
      <c r="VPI113" s="64"/>
      <c r="VPJ113" s="64"/>
      <c r="VPK113" s="64"/>
      <c r="VPL113" s="64"/>
      <c r="VPM113" s="64"/>
      <c r="VPN113" s="64"/>
      <c r="VPO113" s="64"/>
      <c r="VPP113" s="64"/>
      <c r="VPQ113" s="64"/>
      <c r="VPR113" s="64"/>
      <c r="VPS113" s="64"/>
      <c r="VPT113" s="64"/>
      <c r="VPU113" s="64"/>
      <c r="VPV113" s="64"/>
      <c r="VPW113" s="64"/>
      <c r="VPX113" s="64"/>
      <c r="VPY113" s="64"/>
      <c r="VPZ113" s="64"/>
      <c r="VQA113" s="64"/>
      <c r="VQB113" s="64"/>
      <c r="VQC113" s="64"/>
      <c r="VQD113" s="64"/>
      <c r="VQE113" s="64"/>
      <c r="VQF113" s="64"/>
      <c r="VQG113" s="64"/>
      <c r="VQH113" s="64"/>
      <c r="VQI113" s="64"/>
      <c r="VQJ113" s="64"/>
      <c r="VQK113" s="64"/>
      <c r="VQL113" s="64"/>
      <c r="VQM113" s="64"/>
      <c r="VQN113" s="64"/>
      <c r="VQO113" s="64"/>
      <c r="VQP113" s="64"/>
      <c r="VQQ113" s="64"/>
      <c r="VQR113" s="64"/>
      <c r="VQS113" s="64"/>
      <c r="VQT113" s="64"/>
      <c r="VQU113" s="64"/>
      <c r="VQV113" s="64"/>
      <c r="VQW113" s="64"/>
      <c r="VQX113" s="64"/>
      <c r="VQY113" s="64"/>
      <c r="VQZ113" s="64"/>
      <c r="VRA113" s="64"/>
      <c r="VRB113" s="64"/>
      <c r="VRC113" s="64"/>
      <c r="VRD113" s="64"/>
      <c r="VRE113" s="64"/>
      <c r="VRF113" s="64"/>
      <c r="VRG113" s="64"/>
      <c r="VRH113" s="64"/>
      <c r="VRI113" s="64"/>
      <c r="VRJ113" s="64"/>
      <c r="VRK113" s="64"/>
      <c r="VRL113" s="64"/>
      <c r="VRM113" s="64"/>
      <c r="VRN113" s="64"/>
      <c r="VRO113" s="64"/>
      <c r="VRP113" s="64"/>
      <c r="VRQ113" s="64"/>
      <c r="VRR113" s="64"/>
      <c r="VRS113" s="64"/>
      <c r="VRT113" s="64"/>
      <c r="VRU113" s="64"/>
      <c r="VRV113" s="64"/>
      <c r="VRW113" s="64"/>
      <c r="VRX113" s="64"/>
      <c r="VRY113" s="64"/>
      <c r="VRZ113" s="64"/>
      <c r="VSA113" s="64"/>
      <c r="VSB113" s="64"/>
      <c r="VSC113" s="64"/>
      <c r="VSD113" s="64"/>
      <c r="VSE113" s="64"/>
      <c r="VSF113" s="64"/>
      <c r="VSG113" s="64"/>
      <c r="VSH113" s="64"/>
      <c r="VSI113" s="64"/>
      <c r="VSJ113" s="64"/>
      <c r="VSK113" s="64"/>
      <c r="VSL113" s="64"/>
      <c r="VSM113" s="64"/>
      <c r="VSN113" s="64"/>
      <c r="VSO113" s="64"/>
      <c r="VSP113" s="64"/>
      <c r="VSQ113" s="64"/>
      <c r="VSR113" s="64"/>
      <c r="VSS113" s="64"/>
      <c r="VST113" s="64"/>
      <c r="VSU113" s="64"/>
      <c r="VSV113" s="64"/>
      <c r="VSW113" s="64"/>
      <c r="VSX113" s="64"/>
      <c r="VSY113" s="64"/>
      <c r="VSZ113" s="64"/>
      <c r="VTA113" s="64"/>
      <c r="VTB113" s="64"/>
      <c r="VTC113" s="64"/>
      <c r="VTD113" s="64"/>
      <c r="VTE113" s="64"/>
      <c r="VTF113" s="64"/>
      <c r="VTG113" s="64"/>
      <c r="VTH113" s="64"/>
      <c r="VTI113" s="64"/>
      <c r="VTJ113" s="64"/>
      <c r="VTK113" s="64"/>
      <c r="VTL113" s="64"/>
      <c r="VTM113" s="64"/>
      <c r="VTN113" s="64"/>
      <c r="VTO113" s="64"/>
      <c r="VTP113" s="64"/>
      <c r="VTQ113" s="64"/>
      <c r="VTR113" s="64"/>
      <c r="VTS113" s="64"/>
      <c r="VTT113" s="64"/>
      <c r="VTU113" s="64"/>
      <c r="VTV113" s="64"/>
      <c r="VTW113" s="64"/>
      <c r="VTX113" s="64"/>
      <c r="VTY113" s="64"/>
      <c r="VTZ113" s="64"/>
      <c r="VUA113" s="64"/>
      <c r="VUB113" s="64"/>
      <c r="VUC113" s="64"/>
      <c r="VUD113" s="64"/>
      <c r="VUE113" s="64"/>
      <c r="VUF113" s="64"/>
      <c r="VUG113" s="64"/>
      <c r="VUH113" s="64"/>
      <c r="VUI113" s="64"/>
      <c r="VUJ113" s="64"/>
      <c r="VUK113" s="64"/>
      <c r="VUL113" s="64"/>
      <c r="VUM113" s="64"/>
      <c r="VUN113" s="64"/>
      <c r="VUO113" s="64"/>
      <c r="VUP113" s="64"/>
      <c r="VUQ113" s="64"/>
      <c r="VUR113" s="64"/>
      <c r="VUS113" s="64"/>
      <c r="VUT113" s="64"/>
      <c r="VUU113" s="64"/>
      <c r="VUV113" s="64"/>
      <c r="VUW113" s="64"/>
      <c r="VUX113" s="64"/>
      <c r="VUY113" s="64"/>
      <c r="VUZ113" s="64"/>
      <c r="VVA113" s="64"/>
      <c r="VVB113" s="64"/>
      <c r="VVC113" s="64"/>
      <c r="VVD113" s="64"/>
      <c r="VVE113" s="64"/>
      <c r="VVF113" s="64"/>
      <c r="VVG113" s="64"/>
      <c r="VVH113" s="64"/>
      <c r="VVI113" s="64"/>
      <c r="VVJ113" s="64"/>
      <c r="VVK113" s="64"/>
      <c r="VVL113" s="64"/>
      <c r="VVM113" s="64"/>
      <c r="VVN113" s="64"/>
      <c r="VVO113" s="64"/>
      <c r="VVP113" s="64"/>
      <c r="VVQ113" s="64"/>
      <c r="VVR113" s="64"/>
      <c r="VVS113" s="64"/>
      <c r="VVT113" s="64"/>
      <c r="VVU113" s="64"/>
      <c r="VVV113" s="64"/>
      <c r="VVW113" s="64"/>
      <c r="VVX113" s="64"/>
      <c r="VVY113" s="64"/>
      <c r="VVZ113" s="64"/>
      <c r="VWA113" s="64"/>
      <c r="VWB113" s="64"/>
      <c r="VWC113" s="64"/>
      <c r="VWD113" s="64"/>
      <c r="VWE113" s="64"/>
      <c r="VWF113" s="64"/>
      <c r="VWG113" s="64"/>
      <c r="VWH113" s="64"/>
      <c r="VWI113" s="64"/>
      <c r="VWJ113" s="64"/>
      <c r="VWK113" s="64"/>
      <c r="VWL113" s="64"/>
      <c r="VWM113" s="64"/>
      <c r="VWN113" s="64"/>
      <c r="VWO113" s="64"/>
      <c r="VWP113" s="64"/>
      <c r="VWQ113" s="64"/>
      <c r="VWR113" s="64"/>
      <c r="VWS113" s="64"/>
      <c r="VWT113" s="64"/>
      <c r="VWU113" s="64"/>
      <c r="VWV113" s="64"/>
      <c r="VWW113" s="64"/>
      <c r="VWX113" s="64"/>
      <c r="VWY113" s="64"/>
      <c r="VWZ113" s="64"/>
      <c r="VXA113" s="64"/>
      <c r="VXB113" s="64"/>
      <c r="VXC113" s="64"/>
      <c r="VXD113" s="64"/>
      <c r="VXE113" s="64"/>
      <c r="VXF113" s="64"/>
      <c r="VXG113" s="64"/>
      <c r="VXH113" s="64"/>
      <c r="VXI113" s="64"/>
      <c r="VXJ113" s="64"/>
      <c r="VXK113" s="64"/>
      <c r="VXL113" s="64"/>
      <c r="VXM113" s="64"/>
      <c r="VXN113" s="64"/>
      <c r="VXO113" s="64"/>
      <c r="VXP113" s="64"/>
      <c r="VXQ113" s="64"/>
      <c r="VXR113" s="64"/>
      <c r="VXS113" s="64"/>
      <c r="VXT113" s="64"/>
      <c r="VXU113" s="64"/>
      <c r="VXV113" s="64"/>
      <c r="VXW113" s="64"/>
      <c r="VXX113" s="64"/>
      <c r="VXY113" s="64"/>
      <c r="VXZ113" s="64"/>
      <c r="VYA113" s="64"/>
      <c r="VYB113" s="64"/>
      <c r="VYC113" s="64"/>
      <c r="VYD113" s="64"/>
      <c r="VYE113" s="64"/>
      <c r="VYF113" s="64"/>
      <c r="VYG113" s="64"/>
      <c r="VYH113" s="64"/>
      <c r="VYI113" s="64"/>
      <c r="VYJ113" s="64"/>
      <c r="VYK113" s="64"/>
      <c r="VYL113" s="64"/>
      <c r="VYM113" s="64"/>
      <c r="VYN113" s="64"/>
      <c r="VYO113" s="64"/>
      <c r="VYP113" s="64"/>
      <c r="VYQ113" s="64"/>
      <c r="VYR113" s="64"/>
      <c r="VYS113" s="64"/>
      <c r="VYT113" s="64"/>
      <c r="VYU113" s="64"/>
      <c r="VYV113" s="64"/>
      <c r="VYW113" s="64"/>
      <c r="VYX113" s="64"/>
      <c r="VYY113" s="64"/>
      <c r="VYZ113" s="64"/>
      <c r="VZA113" s="64"/>
      <c r="VZB113" s="64"/>
      <c r="VZC113" s="64"/>
      <c r="VZD113" s="64"/>
      <c r="VZE113" s="64"/>
      <c r="VZF113" s="64"/>
      <c r="VZG113" s="64"/>
      <c r="VZH113" s="64"/>
      <c r="VZI113" s="64"/>
      <c r="VZJ113" s="64"/>
      <c r="VZK113" s="64"/>
      <c r="VZL113" s="64"/>
      <c r="VZM113" s="64"/>
      <c r="VZN113" s="64"/>
      <c r="VZO113" s="64"/>
      <c r="VZP113" s="64"/>
      <c r="VZQ113" s="64"/>
      <c r="VZR113" s="64"/>
      <c r="VZS113" s="64"/>
      <c r="VZT113" s="64"/>
      <c r="VZU113" s="64"/>
      <c r="VZV113" s="64"/>
      <c r="VZW113" s="64"/>
      <c r="VZX113" s="64"/>
      <c r="VZY113" s="64"/>
      <c r="VZZ113" s="64"/>
      <c r="WAA113" s="64"/>
      <c r="WAB113" s="64"/>
      <c r="WAC113" s="64"/>
      <c r="WAD113" s="64"/>
      <c r="WAE113" s="64"/>
      <c r="WAF113" s="64"/>
      <c r="WAG113" s="64"/>
      <c r="WAH113" s="64"/>
      <c r="WAI113" s="64"/>
      <c r="WAJ113" s="64"/>
      <c r="WAK113" s="64"/>
      <c r="WAL113" s="64"/>
      <c r="WAM113" s="64"/>
      <c r="WAN113" s="64"/>
      <c r="WAO113" s="64"/>
      <c r="WAP113" s="64"/>
      <c r="WAQ113" s="64"/>
      <c r="WAR113" s="64"/>
      <c r="WAS113" s="64"/>
      <c r="WAT113" s="64"/>
      <c r="WAU113" s="64"/>
      <c r="WAV113" s="64"/>
      <c r="WAW113" s="64"/>
      <c r="WAX113" s="64"/>
      <c r="WAY113" s="64"/>
      <c r="WAZ113" s="64"/>
      <c r="WBA113" s="64"/>
      <c r="WBB113" s="64"/>
      <c r="WBC113" s="64"/>
      <c r="WBD113" s="64"/>
      <c r="WBE113" s="64"/>
      <c r="WBF113" s="64"/>
      <c r="WBG113" s="64"/>
      <c r="WBH113" s="64"/>
      <c r="WBI113" s="64"/>
      <c r="WBJ113" s="64"/>
      <c r="WBK113" s="64"/>
      <c r="WBL113" s="64"/>
      <c r="WBM113" s="64"/>
      <c r="WBN113" s="64"/>
      <c r="WBO113" s="64"/>
      <c r="WBP113" s="64"/>
      <c r="WBQ113" s="64"/>
      <c r="WBR113" s="64"/>
      <c r="WBS113" s="64"/>
      <c r="WBT113" s="64"/>
      <c r="WBU113" s="64"/>
      <c r="WBV113" s="64"/>
      <c r="WBW113" s="64"/>
      <c r="WBX113" s="64"/>
      <c r="WBY113" s="64"/>
      <c r="WBZ113" s="64"/>
      <c r="WCA113" s="64"/>
      <c r="WCB113" s="64"/>
      <c r="WCC113" s="64"/>
      <c r="WCD113" s="64"/>
      <c r="WCE113" s="64"/>
      <c r="WCF113" s="64"/>
      <c r="WCG113" s="64"/>
      <c r="WCH113" s="64"/>
      <c r="WCI113" s="64"/>
      <c r="WCJ113" s="64"/>
      <c r="WCK113" s="64"/>
      <c r="WCL113" s="64"/>
      <c r="WCM113" s="64"/>
      <c r="WCN113" s="64"/>
      <c r="WCO113" s="64"/>
      <c r="WCP113" s="64"/>
      <c r="WCQ113" s="64"/>
      <c r="WCR113" s="64"/>
      <c r="WCS113" s="64"/>
      <c r="WCT113" s="64"/>
      <c r="WCU113" s="64"/>
      <c r="WCV113" s="64"/>
      <c r="WCW113" s="64"/>
      <c r="WCX113" s="64"/>
      <c r="WCY113" s="64"/>
      <c r="WCZ113" s="64"/>
      <c r="WDA113" s="64"/>
      <c r="WDB113" s="64"/>
      <c r="WDC113" s="64"/>
      <c r="WDD113" s="64"/>
      <c r="WDE113" s="64"/>
      <c r="WDF113" s="64"/>
      <c r="WDG113" s="64"/>
      <c r="WDH113" s="64"/>
      <c r="WDI113" s="64"/>
      <c r="WDJ113" s="64"/>
      <c r="WDK113" s="64"/>
      <c r="WDL113" s="64"/>
      <c r="WDM113" s="64"/>
      <c r="WDN113" s="64"/>
      <c r="WDO113" s="64"/>
      <c r="WDP113" s="64"/>
      <c r="WDQ113" s="64"/>
      <c r="WDR113" s="64"/>
      <c r="WDS113" s="64"/>
      <c r="WDT113" s="64"/>
      <c r="WDU113" s="64"/>
      <c r="WDV113" s="64"/>
      <c r="WDW113" s="64"/>
      <c r="WDX113" s="64"/>
      <c r="WDY113" s="64"/>
      <c r="WDZ113" s="64"/>
      <c r="WEA113" s="64"/>
      <c r="WEB113" s="64"/>
      <c r="WEC113" s="64"/>
      <c r="WED113" s="64"/>
      <c r="WEE113" s="64"/>
      <c r="WEF113" s="64"/>
      <c r="WEG113" s="64"/>
      <c r="WEH113" s="64"/>
      <c r="WEI113" s="64"/>
      <c r="WEJ113" s="64"/>
      <c r="WEK113" s="64"/>
      <c r="WEL113" s="64"/>
      <c r="WEM113" s="64"/>
      <c r="WEN113" s="64"/>
      <c r="WEO113" s="64"/>
      <c r="WEP113" s="64"/>
      <c r="WEQ113" s="64"/>
      <c r="WER113" s="64"/>
      <c r="WES113" s="64"/>
      <c r="WET113" s="64"/>
      <c r="WEU113" s="64"/>
      <c r="WEV113" s="64"/>
      <c r="WEW113" s="64"/>
      <c r="WEX113" s="64"/>
      <c r="WEY113" s="64"/>
      <c r="WEZ113" s="64"/>
      <c r="WFA113" s="64"/>
      <c r="WFB113" s="64"/>
      <c r="WFC113" s="64"/>
      <c r="WFD113" s="64"/>
      <c r="WFE113" s="64"/>
      <c r="WFF113" s="64"/>
      <c r="WFG113" s="64"/>
      <c r="WFH113" s="64"/>
      <c r="WFI113" s="64"/>
      <c r="WFJ113" s="64"/>
      <c r="WFK113" s="64"/>
      <c r="WFL113" s="64"/>
      <c r="WFM113" s="64"/>
      <c r="WFN113" s="64"/>
      <c r="WFO113" s="64"/>
      <c r="WFP113" s="64"/>
      <c r="WFQ113" s="64"/>
      <c r="WFR113" s="64"/>
      <c r="WFS113" s="64"/>
      <c r="WFT113" s="64"/>
      <c r="WFU113" s="64"/>
      <c r="WFV113" s="64"/>
      <c r="WFW113" s="64"/>
      <c r="WFX113" s="64"/>
      <c r="WFY113" s="64"/>
      <c r="WFZ113" s="64"/>
      <c r="WGA113" s="64"/>
      <c r="WGB113" s="64"/>
      <c r="WGC113" s="64"/>
      <c r="WGD113" s="64"/>
      <c r="WGE113" s="64"/>
      <c r="WGF113" s="64"/>
      <c r="WGG113" s="64"/>
      <c r="WGH113" s="64"/>
      <c r="WGI113" s="64"/>
      <c r="WGJ113" s="64"/>
      <c r="WGK113" s="64"/>
      <c r="WGL113" s="64"/>
      <c r="WGM113" s="64"/>
      <c r="WGN113" s="64"/>
      <c r="WGO113" s="64"/>
      <c r="WGP113" s="64"/>
      <c r="WGQ113" s="64"/>
      <c r="WGR113" s="64"/>
      <c r="WGS113" s="64"/>
      <c r="WGT113" s="64"/>
      <c r="WGU113" s="64"/>
      <c r="WGV113" s="64"/>
      <c r="WGW113" s="64"/>
      <c r="WGX113" s="64"/>
      <c r="WGY113" s="64"/>
      <c r="WGZ113" s="64"/>
      <c r="WHA113" s="64"/>
      <c r="WHB113" s="64"/>
      <c r="WHC113" s="64"/>
      <c r="WHD113" s="64"/>
      <c r="WHE113" s="64"/>
      <c r="WHF113" s="64"/>
      <c r="WHG113" s="64"/>
      <c r="WHH113" s="64"/>
      <c r="WHI113" s="64"/>
      <c r="WHJ113" s="64"/>
      <c r="WHK113" s="64"/>
      <c r="WHL113" s="64"/>
      <c r="WHM113" s="64"/>
      <c r="WHN113" s="64"/>
      <c r="WHO113" s="64"/>
      <c r="WHP113" s="64"/>
      <c r="WHQ113" s="64"/>
      <c r="WHR113" s="64"/>
      <c r="WHS113" s="64"/>
      <c r="WHT113" s="64"/>
      <c r="WHU113" s="64"/>
      <c r="WHV113" s="64"/>
      <c r="WHW113" s="64"/>
      <c r="WHX113" s="64"/>
      <c r="WHY113" s="64"/>
      <c r="WHZ113" s="64"/>
      <c r="WIA113" s="64"/>
      <c r="WIB113" s="64"/>
      <c r="WIC113" s="64"/>
      <c r="WID113" s="64"/>
      <c r="WIE113" s="64"/>
      <c r="WIF113" s="64"/>
      <c r="WIG113" s="64"/>
      <c r="WIH113" s="64"/>
      <c r="WII113" s="64"/>
      <c r="WIJ113" s="64"/>
      <c r="WIK113" s="64"/>
      <c r="WIL113" s="64"/>
      <c r="WIM113" s="64"/>
      <c r="WIN113" s="64"/>
      <c r="WIO113" s="64"/>
      <c r="WIP113" s="64"/>
      <c r="WIQ113" s="64"/>
      <c r="WIR113" s="64"/>
      <c r="WIS113" s="64"/>
      <c r="WIT113" s="64"/>
      <c r="WIU113" s="64"/>
      <c r="WIV113" s="64"/>
      <c r="WIW113" s="64"/>
      <c r="WIX113" s="64"/>
      <c r="WIY113" s="64"/>
      <c r="WIZ113" s="64"/>
      <c r="WJA113" s="64"/>
      <c r="WJB113" s="64"/>
      <c r="WJC113" s="64"/>
      <c r="WJD113" s="64"/>
      <c r="WJE113" s="64"/>
      <c r="WJF113" s="64"/>
      <c r="WJG113" s="64"/>
      <c r="WJH113" s="64"/>
      <c r="WJI113" s="64"/>
      <c r="WJJ113" s="64"/>
      <c r="WJK113" s="64"/>
      <c r="WJL113" s="64"/>
      <c r="WJM113" s="64"/>
      <c r="WJN113" s="64"/>
      <c r="WJO113" s="64"/>
      <c r="WJP113" s="64"/>
      <c r="WJQ113" s="64"/>
      <c r="WJR113" s="64"/>
      <c r="WJS113" s="64"/>
      <c r="WJT113" s="64"/>
      <c r="WJU113" s="64"/>
      <c r="WJV113" s="64"/>
      <c r="WJW113" s="64"/>
      <c r="WJX113" s="64"/>
      <c r="WJY113" s="64"/>
      <c r="WJZ113" s="64"/>
      <c r="WKA113" s="64"/>
      <c r="WKB113" s="64"/>
      <c r="WKC113" s="64"/>
      <c r="WKD113" s="64"/>
      <c r="WKE113" s="64"/>
      <c r="WKF113" s="64"/>
      <c r="WKG113" s="64"/>
      <c r="WKH113" s="64"/>
      <c r="WKI113" s="64"/>
      <c r="WKJ113" s="64"/>
      <c r="WKK113" s="64"/>
      <c r="WKL113" s="64"/>
      <c r="WKM113" s="64"/>
      <c r="WKN113" s="64"/>
      <c r="WKO113" s="64"/>
      <c r="WKP113" s="64"/>
      <c r="WKQ113" s="64"/>
      <c r="WKR113" s="64"/>
      <c r="WKS113" s="64"/>
      <c r="WKT113" s="64"/>
      <c r="WKU113" s="64"/>
      <c r="WKV113" s="64"/>
      <c r="WKW113" s="64"/>
      <c r="WKX113" s="64"/>
      <c r="WKY113" s="64"/>
      <c r="WKZ113" s="64"/>
      <c r="WLA113" s="64"/>
      <c r="WLB113" s="64"/>
      <c r="WLC113" s="64"/>
      <c r="WLD113" s="64"/>
      <c r="WLE113" s="64"/>
      <c r="WLF113" s="64"/>
      <c r="WLG113" s="64"/>
      <c r="WLH113" s="64"/>
      <c r="WLI113" s="64"/>
      <c r="WLJ113" s="64"/>
      <c r="WLK113" s="64"/>
      <c r="WLL113" s="64"/>
      <c r="WLM113" s="64"/>
      <c r="WLN113" s="64"/>
      <c r="WLO113" s="64"/>
      <c r="WLP113" s="64"/>
      <c r="WLQ113" s="64"/>
      <c r="WLR113" s="64"/>
      <c r="WLS113" s="64"/>
      <c r="WLT113" s="64"/>
      <c r="WLU113" s="64"/>
      <c r="WLV113" s="64"/>
      <c r="WLW113" s="64"/>
      <c r="WLX113" s="64"/>
      <c r="WLY113" s="64"/>
      <c r="WLZ113" s="64"/>
      <c r="WMA113" s="64"/>
      <c r="WMB113" s="64"/>
      <c r="WMC113" s="64"/>
      <c r="WMD113" s="64"/>
      <c r="WME113" s="64"/>
      <c r="WMF113" s="64"/>
      <c r="WMG113" s="64"/>
      <c r="WMH113" s="64"/>
      <c r="WMI113" s="64"/>
      <c r="WMJ113" s="64"/>
      <c r="WMK113" s="64"/>
      <c r="WML113" s="64"/>
      <c r="WMM113" s="64"/>
      <c r="WMN113" s="64"/>
      <c r="WMO113" s="64"/>
      <c r="WMP113" s="64"/>
      <c r="WMQ113" s="64"/>
      <c r="WMR113" s="64"/>
      <c r="WMS113" s="64"/>
      <c r="WMT113" s="64"/>
      <c r="WMU113" s="64"/>
      <c r="WMV113" s="64"/>
      <c r="WMW113" s="64"/>
      <c r="WMX113" s="64"/>
      <c r="WMY113" s="64"/>
      <c r="WMZ113" s="64"/>
      <c r="WNA113" s="64"/>
      <c r="WNB113" s="64"/>
      <c r="WNC113" s="64"/>
      <c r="WND113" s="64"/>
      <c r="WNE113" s="64"/>
      <c r="WNF113" s="64"/>
      <c r="WNG113" s="64"/>
      <c r="WNH113" s="64"/>
      <c r="WNI113" s="64"/>
      <c r="WNJ113" s="64"/>
      <c r="WNK113" s="64"/>
      <c r="WNL113" s="64"/>
      <c r="WNM113" s="64"/>
      <c r="WNN113" s="64"/>
      <c r="WNO113" s="64"/>
      <c r="WNP113" s="64"/>
      <c r="WNQ113" s="64"/>
      <c r="WNR113" s="64"/>
      <c r="WNS113" s="64"/>
      <c r="WNT113" s="64"/>
      <c r="WNU113" s="64"/>
      <c r="WNV113" s="64"/>
      <c r="WNW113" s="64"/>
      <c r="WNX113" s="64"/>
      <c r="WNY113" s="64"/>
      <c r="WNZ113" s="64"/>
      <c r="WOA113" s="64"/>
      <c r="WOB113" s="64"/>
      <c r="WOC113" s="64"/>
      <c r="WOD113" s="64"/>
      <c r="WOE113" s="64"/>
      <c r="WOF113" s="64"/>
      <c r="WOG113" s="64"/>
      <c r="WOH113" s="64"/>
      <c r="WOI113" s="64"/>
      <c r="WOJ113" s="64"/>
      <c r="WOK113" s="64"/>
      <c r="WOL113" s="64"/>
      <c r="WOM113" s="64"/>
      <c r="WON113" s="64"/>
      <c r="WOO113" s="64"/>
      <c r="WOP113" s="64"/>
      <c r="WOQ113" s="64"/>
      <c r="WOR113" s="64"/>
      <c r="WOS113" s="64"/>
      <c r="WOT113" s="64"/>
      <c r="WOU113" s="64"/>
      <c r="WOV113" s="64"/>
      <c r="WOW113" s="64"/>
      <c r="WOX113" s="64"/>
      <c r="WOY113" s="64"/>
      <c r="WOZ113" s="64"/>
      <c r="WPA113" s="64"/>
      <c r="WPB113" s="64"/>
      <c r="WPC113" s="64"/>
      <c r="WPD113" s="64"/>
      <c r="WPE113" s="64"/>
      <c r="WPF113" s="64"/>
      <c r="WPG113" s="64"/>
      <c r="WPH113" s="64"/>
      <c r="WPI113" s="64"/>
      <c r="WPJ113" s="64"/>
      <c r="WPK113" s="64"/>
      <c r="WPL113" s="64"/>
      <c r="WPM113" s="64"/>
      <c r="WPN113" s="64"/>
      <c r="WPO113" s="64"/>
      <c r="WPP113" s="64"/>
      <c r="WPQ113" s="64"/>
      <c r="WPR113" s="64"/>
      <c r="WPS113" s="64"/>
      <c r="WPT113" s="64"/>
      <c r="WPU113" s="64"/>
      <c r="WPV113" s="64"/>
      <c r="WPW113" s="64"/>
      <c r="WPX113" s="64"/>
      <c r="WPY113" s="64"/>
      <c r="WPZ113" s="64"/>
      <c r="WQA113" s="64"/>
      <c r="WQB113" s="64"/>
      <c r="WQC113" s="64"/>
      <c r="WQD113" s="64"/>
      <c r="WQE113" s="64"/>
      <c r="WQF113" s="64"/>
      <c r="WQG113" s="64"/>
      <c r="WQH113" s="64"/>
      <c r="WQI113" s="64"/>
      <c r="WQJ113" s="64"/>
      <c r="WQK113" s="64"/>
      <c r="WQL113" s="64"/>
      <c r="WQM113" s="64"/>
      <c r="WQN113" s="64"/>
      <c r="WQO113" s="64"/>
      <c r="WQP113" s="64"/>
      <c r="WQQ113" s="64"/>
      <c r="WQR113" s="64"/>
      <c r="WQS113" s="64"/>
      <c r="WQT113" s="64"/>
      <c r="WQU113" s="64"/>
      <c r="WQV113" s="64"/>
      <c r="WQW113" s="64"/>
      <c r="WQX113" s="64"/>
      <c r="WQY113" s="64"/>
      <c r="WQZ113" s="64"/>
      <c r="WRA113" s="64"/>
      <c r="WRB113" s="64"/>
      <c r="WRC113" s="64"/>
      <c r="WRD113" s="64"/>
      <c r="WRE113" s="64"/>
      <c r="WRF113" s="64"/>
      <c r="WRG113" s="64"/>
      <c r="WRH113" s="64"/>
      <c r="WRI113" s="64"/>
      <c r="WRJ113" s="64"/>
      <c r="WRK113" s="64"/>
      <c r="WRL113" s="64"/>
      <c r="WRM113" s="64"/>
      <c r="WRN113" s="64"/>
      <c r="WRO113" s="64"/>
      <c r="WRP113" s="64"/>
      <c r="WRQ113" s="64"/>
      <c r="WRR113" s="64"/>
      <c r="WRS113" s="64"/>
      <c r="WRT113" s="64"/>
      <c r="WRU113" s="64"/>
      <c r="WRV113" s="64"/>
      <c r="WRW113" s="64"/>
      <c r="WRX113" s="64"/>
      <c r="WRY113" s="64"/>
      <c r="WRZ113" s="64"/>
      <c r="WSA113" s="64"/>
      <c r="WSB113" s="64"/>
      <c r="WSC113" s="64"/>
      <c r="WSD113" s="64"/>
      <c r="WSE113" s="64"/>
      <c r="WSF113" s="64"/>
      <c r="WSG113" s="64"/>
      <c r="WSH113" s="64"/>
      <c r="WSI113" s="64"/>
      <c r="WSJ113" s="64"/>
      <c r="WSK113" s="64"/>
      <c r="WSL113" s="64"/>
      <c r="WSM113" s="64"/>
      <c r="WSN113" s="64"/>
      <c r="WSO113" s="64"/>
      <c r="WSP113" s="64"/>
      <c r="WSQ113" s="64"/>
      <c r="WSR113" s="64"/>
      <c r="WSS113" s="64"/>
      <c r="WST113" s="64"/>
      <c r="WSU113" s="64"/>
      <c r="WSV113" s="64"/>
      <c r="WSW113" s="64"/>
      <c r="WSX113" s="64"/>
      <c r="WSY113" s="64"/>
      <c r="WSZ113" s="64"/>
      <c r="WTA113" s="64"/>
      <c r="WTB113" s="64"/>
      <c r="WTC113" s="64"/>
      <c r="WTD113" s="64"/>
      <c r="WTE113" s="64"/>
      <c r="WTF113" s="64"/>
      <c r="WTG113" s="64"/>
      <c r="WTH113" s="64"/>
      <c r="WTI113" s="64"/>
      <c r="WTJ113" s="64"/>
      <c r="WTK113" s="64"/>
      <c r="WTL113" s="64"/>
      <c r="WTM113" s="64"/>
      <c r="WTN113" s="64"/>
      <c r="WTO113" s="64"/>
      <c r="WTP113" s="64"/>
      <c r="WTQ113" s="64"/>
      <c r="WTR113" s="64"/>
      <c r="WTS113" s="64"/>
      <c r="WTT113" s="64"/>
      <c r="WTU113" s="64"/>
      <c r="WTV113" s="64"/>
      <c r="WTW113" s="64"/>
      <c r="WTX113" s="64"/>
      <c r="WTY113" s="64"/>
      <c r="WTZ113" s="64"/>
      <c r="WUA113" s="64"/>
      <c r="WUB113" s="64"/>
      <c r="WUC113" s="64"/>
      <c r="WUD113" s="64"/>
      <c r="WUE113" s="64"/>
      <c r="WUF113" s="64"/>
      <c r="WUG113" s="64"/>
      <c r="WUH113" s="64"/>
      <c r="WUI113" s="64"/>
      <c r="WUJ113" s="64"/>
      <c r="WUK113" s="64"/>
      <c r="WUL113" s="64"/>
      <c r="WUM113" s="64"/>
      <c r="WUN113" s="64"/>
      <c r="WUO113" s="64"/>
      <c r="WUP113" s="64"/>
      <c r="WUQ113" s="64"/>
      <c r="WUR113" s="64"/>
      <c r="WUS113" s="64"/>
      <c r="WUT113" s="64"/>
      <c r="WUU113" s="64"/>
      <c r="WUV113" s="64"/>
      <c r="WUW113" s="64"/>
      <c r="WUX113" s="64"/>
      <c r="WUY113" s="64"/>
      <c r="WUZ113" s="64"/>
      <c r="WVA113" s="64"/>
      <c r="WVB113" s="64"/>
      <c r="WVC113" s="64"/>
      <c r="WVD113" s="64"/>
      <c r="WVE113" s="64"/>
      <c r="WVF113" s="64"/>
      <c r="WVG113" s="64"/>
      <c r="WVH113" s="64"/>
      <c r="WVI113" s="64"/>
      <c r="WVJ113" s="64"/>
      <c r="WVK113" s="64"/>
      <c r="WVL113" s="64"/>
      <c r="WVM113" s="64"/>
      <c r="WVN113" s="64"/>
      <c r="WVO113" s="64"/>
      <c r="WVP113" s="64"/>
      <c r="WVQ113" s="64"/>
      <c r="WVR113" s="64"/>
      <c r="WVS113" s="64"/>
      <c r="WVT113" s="64"/>
      <c r="WVU113" s="64"/>
      <c r="WVV113" s="64"/>
      <c r="WVW113" s="64"/>
      <c r="WVX113" s="64"/>
      <c r="WVY113" s="64"/>
      <c r="WVZ113" s="64"/>
      <c r="WWA113" s="64"/>
      <c r="WWB113" s="64"/>
      <c r="WWC113" s="64"/>
      <c r="WWD113" s="64"/>
      <c r="WWE113" s="64"/>
      <c r="WWF113" s="64"/>
      <c r="WWG113" s="64"/>
      <c r="WWH113" s="64"/>
      <c r="WWI113" s="64"/>
      <c r="WWJ113" s="64"/>
      <c r="WWK113" s="64"/>
      <c r="WWL113" s="64"/>
      <c r="WWM113" s="64"/>
      <c r="WWN113" s="64"/>
      <c r="WWO113" s="64"/>
      <c r="WWP113" s="64"/>
      <c r="WWQ113" s="64"/>
      <c r="WWR113" s="64"/>
      <c r="WWS113" s="64"/>
      <c r="WWT113" s="64"/>
      <c r="WWU113" s="64"/>
      <c r="WWV113" s="64"/>
      <c r="WWW113" s="64"/>
      <c r="WWX113" s="64"/>
      <c r="WWY113" s="64"/>
      <c r="WWZ113" s="64"/>
      <c r="WXA113" s="64"/>
      <c r="WXB113" s="64"/>
      <c r="WXC113" s="64"/>
      <c r="WXD113" s="64"/>
      <c r="WXE113" s="64"/>
      <c r="WXF113" s="64"/>
      <c r="WXG113" s="64"/>
      <c r="WXH113" s="64"/>
      <c r="WXI113" s="64"/>
      <c r="WXJ113" s="64"/>
      <c r="WXK113" s="64"/>
      <c r="WXL113" s="64"/>
      <c r="WXM113" s="64"/>
      <c r="WXN113" s="64"/>
      <c r="WXO113" s="64"/>
      <c r="WXP113" s="64"/>
      <c r="WXQ113" s="64"/>
      <c r="WXR113" s="64"/>
      <c r="WXS113" s="64"/>
      <c r="WXT113" s="64"/>
      <c r="WXU113" s="64"/>
      <c r="WXV113" s="64"/>
      <c r="WXW113" s="64"/>
      <c r="WXX113" s="64"/>
      <c r="WXY113" s="64"/>
      <c r="WXZ113" s="64"/>
      <c r="WYA113" s="64"/>
      <c r="WYB113" s="64"/>
      <c r="WYC113" s="64"/>
      <c r="WYD113" s="64"/>
      <c r="WYE113" s="64"/>
      <c r="WYF113" s="64"/>
      <c r="WYG113" s="64"/>
      <c r="WYH113" s="64"/>
      <c r="WYI113" s="64"/>
      <c r="WYJ113" s="64"/>
      <c r="WYK113" s="64"/>
      <c r="WYL113" s="64"/>
      <c r="WYM113" s="64"/>
      <c r="WYN113" s="64"/>
      <c r="WYO113" s="64"/>
      <c r="WYP113" s="64"/>
      <c r="WYQ113" s="64"/>
      <c r="WYR113" s="64"/>
      <c r="WYS113" s="64"/>
      <c r="WYT113" s="64"/>
      <c r="WYU113" s="64"/>
      <c r="WYV113" s="64"/>
      <c r="WYW113" s="64"/>
      <c r="WYX113" s="64"/>
      <c r="WYY113" s="64"/>
      <c r="WYZ113" s="64"/>
      <c r="WZA113" s="64"/>
      <c r="WZB113" s="64"/>
      <c r="WZC113" s="64"/>
      <c r="WZD113" s="64"/>
      <c r="WZE113" s="64"/>
      <c r="WZF113" s="64"/>
      <c r="WZG113" s="64"/>
      <c r="WZH113" s="64"/>
      <c r="WZI113" s="64"/>
      <c r="WZJ113" s="64"/>
      <c r="WZK113" s="64"/>
      <c r="WZL113" s="64"/>
      <c r="WZM113" s="64"/>
      <c r="WZN113" s="64"/>
      <c r="WZO113" s="64"/>
      <c r="WZP113" s="64"/>
      <c r="WZQ113" s="64"/>
      <c r="WZR113" s="64"/>
      <c r="WZS113" s="64"/>
      <c r="WZT113" s="64"/>
      <c r="WZU113" s="64"/>
      <c r="WZV113" s="64"/>
      <c r="WZW113" s="64"/>
      <c r="WZX113" s="64"/>
      <c r="WZY113" s="64"/>
      <c r="WZZ113" s="64"/>
      <c r="XAA113" s="64"/>
      <c r="XAB113" s="64"/>
      <c r="XAC113" s="64"/>
      <c r="XAD113" s="64"/>
      <c r="XAE113" s="64"/>
      <c r="XAF113" s="64"/>
      <c r="XAG113" s="64"/>
      <c r="XAH113" s="64"/>
      <c r="XAI113" s="64"/>
      <c r="XAJ113" s="64"/>
      <c r="XAK113" s="64"/>
      <c r="XAL113" s="64"/>
      <c r="XAM113" s="64"/>
      <c r="XAN113" s="64"/>
      <c r="XAO113" s="64"/>
      <c r="XAP113" s="64"/>
      <c r="XAQ113" s="64"/>
      <c r="XAR113" s="64"/>
      <c r="XAS113" s="64"/>
      <c r="XAT113" s="64"/>
      <c r="XAU113" s="64"/>
      <c r="XAV113" s="64"/>
      <c r="XAW113" s="64"/>
      <c r="XAX113" s="64"/>
      <c r="XAY113" s="64"/>
      <c r="XAZ113" s="64"/>
      <c r="XBA113" s="64"/>
      <c r="XBB113" s="64"/>
      <c r="XBC113" s="64"/>
      <c r="XBD113" s="64"/>
      <c r="XBE113" s="64"/>
      <c r="XBF113" s="64"/>
      <c r="XBG113" s="64"/>
      <c r="XBH113" s="64"/>
      <c r="XBI113" s="64"/>
      <c r="XBJ113" s="64"/>
      <c r="XBK113" s="64"/>
      <c r="XBL113" s="64"/>
      <c r="XBM113" s="64"/>
      <c r="XBN113" s="64"/>
      <c r="XBO113" s="64"/>
      <c r="XBP113" s="64"/>
      <c r="XBQ113" s="64"/>
      <c r="XBR113" s="64"/>
      <c r="XBS113" s="64"/>
      <c r="XBT113" s="64"/>
      <c r="XBU113" s="64"/>
      <c r="XBV113" s="64"/>
      <c r="XBW113" s="64"/>
      <c r="XBX113" s="64"/>
      <c r="XBY113" s="64"/>
      <c r="XBZ113" s="64"/>
      <c r="XCA113" s="64"/>
      <c r="XCB113" s="64"/>
      <c r="XCC113" s="64"/>
      <c r="XCD113" s="64"/>
      <c r="XCE113" s="64"/>
      <c r="XCF113" s="64"/>
      <c r="XCG113" s="64"/>
      <c r="XCH113" s="64"/>
      <c r="XCI113" s="64"/>
      <c r="XCJ113" s="64"/>
      <c r="XCK113" s="64"/>
      <c r="XCL113" s="64"/>
      <c r="XCM113" s="64"/>
      <c r="XCN113" s="64"/>
      <c r="XCO113" s="64"/>
      <c r="XCP113" s="64"/>
      <c r="XCQ113" s="64"/>
      <c r="XCR113" s="64"/>
      <c r="XCS113" s="64"/>
      <c r="XCT113" s="64"/>
      <c r="XCU113" s="64"/>
      <c r="XCV113" s="64"/>
      <c r="XCW113" s="64"/>
      <c r="XCX113" s="64"/>
      <c r="XCY113" s="64"/>
      <c r="XCZ113" s="64"/>
      <c r="XDA113" s="64"/>
      <c r="XDB113" s="64"/>
      <c r="XDC113" s="64"/>
      <c r="XDD113" s="64"/>
      <c r="XDE113" s="64"/>
      <c r="XDF113" s="64"/>
      <c r="XDG113" s="64"/>
      <c r="XDH113" s="64"/>
      <c r="XDI113" s="64"/>
      <c r="XDJ113" s="64"/>
      <c r="XDK113" s="64"/>
      <c r="XDL113" s="64"/>
      <c r="XDM113" s="64"/>
      <c r="XDN113" s="64"/>
      <c r="XDO113" s="64"/>
      <c r="XDP113" s="64"/>
      <c r="XDQ113" s="64"/>
      <c r="XDR113" s="64"/>
      <c r="XDS113" s="64"/>
      <c r="XDT113" s="64"/>
      <c r="XDU113" s="64"/>
      <c r="XDV113" s="64"/>
      <c r="XDW113" s="64"/>
      <c r="XDX113" s="64"/>
      <c r="XDY113" s="64"/>
      <c r="XDZ113" s="64"/>
      <c r="XEA113" s="64"/>
      <c r="XEB113" s="64"/>
      <c r="XEC113" s="64"/>
      <c r="XED113" s="64"/>
      <c r="XEE113" s="64"/>
      <c r="XEF113" s="64"/>
      <c r="XEG113" s="64"/>
      <c r="XEH113" s="64"/>
      <c r="XEI113" s="64"/>
      <c r="XEJ113" s="64"/>
      <c r="XEK113" s="64"/>
      <c r="XEL113" s="64"/>
      <c r="XEM113" s="64"/>
      <c r="XEN113" s="64"/>
      <c r="XEO113" s="64"/>
      <c r="XEP113" s="64"/>
      <c r="XEQ113" s="64"/>
      <c r="XER113" s="64"/>
      <c r="XES113" s="64"/>
      <c r="XET113" s="64"/>
      <c r="XEU113" s="64"/>
      <c r="XEV113" s="64"/>
      <c r="XEW113" s="64"/>
      <c r="XEX113" s="64"/>
      <c r="XEY113" s="64"/>
      <c r="XEZ113" s="64"/>
      <c r="XFA113" s="64"/>
      <c r="XFB113" s="64"/>
      <c r="XFC113" s="64"/>
      <c r="XFD113" s="64"/>
    </row>
    <row r="114" ht="25.95" customHeight="1" spans="1:16">
      <c r="A114" s="1" t="s">
        <v>151</v>
      </c>
      <c r="B114" s="221" t="s">
        <v>267</v>
      </c>
      <c r="C114" s="1">
        <v>20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ht="25.95" customHeight="1" spans="1:16">
      <c r="A115" s="1" t="s">
        <v>151</v>
      </c>
      <c r="B115" s="221" t="s">
        <v>268</v>
      </c>
      <c r="C115" s="1">
        <v>16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>
        <v>8</v>
      </c>
      <c r="O115" s="1"/>
      <c r="P115" s="1"/>
    </row>
    <row r="116" ht="25.95" customHeight="1" spans="1:16">
      <c r="A116" s="1" t="s">
        <v>151</v>
      </c>
      <c r="B116" s="221" t="s">
        <v>269</v>
      </c>
      <c r="C116" s="1">
        <v>6</v>
      </c>
      <c r="D116" s="1"/>
      <c r="E116" s="1"/>
      <c r="F116" s="1"/>
      <c r="G116" s="1"/>
      <c r="H116" s="1">
        <v>20</v>
      </c>
      <c r="I116" s="1"/>
      <c r="J116" s="1"/>
      <c r="K116" s="1"/>
      <c r="L116" s="1"/>
      <c r="M116" s="1"/>
      <c r="N116" s="1"/>
      <c r="O116" s="1"/>
      <c r="P116" s="1"/>
    </row>
    <row r="117" ht="25.95" customHeight="1" spans="1:16">
      <c r="A117" s="1" t="s">
        <v>151</v>
      </c>
      <c r="B117" s="221" t="s">
        <v>270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>
        <v>20</v>
      </c>
      <c r="N117" s="1">
        <v>8</v>
      </c>
      <c r="O117" s="1"/>
      <c r="P117" s="1"/>
    </row>
    <row r="118" ht="25.95" customHeight="1" spans="1:16">
      <c r="A118" s="1" t="s">
        <v>151</v>
      </c>
      <c r="B118" s="221" t="s">
        <v>271</v>
      </c>
      <c r="C118" s="1"/>
      <c r="D118" s="1"/>
      <c r="E118" s="1"/>
      <c r="F118" s="1"/>
      <c r="G118" s="1"/>
      <c r="H118" s="1"/>
      <c r="I118" s="1"/>
      <c r="J118" s="1">
        <v>6</v>
      </c>
      <c r="K118" s="1">
        <v>16</v>
      </c>
      <c r="L118" s="1"/>
      <c r="M118" s="1"/>
      <c r="N118" s="1"/>
      <c r="O118" s="1"/>
      <c r="P118" s="1"/>
    </row>
    <row r="119" ht="25.95" customHeight="1" spans="1:16">
      <c r="A119" s="1" t="s">
        <v>151</v>
      </c>
      <c r="B119" s="221" t="s">
        <v>272</v>
      </c>
      <c r="C119" s="1"/>
      <c r="D119" s="1"/>
      <c r="E119" s="1"/>
      <c r="F119" s="1"/>
      <c r="G119" s="1"/>
      <c r="H119" s="1"/>
      <c r="I119" s="1"/>
      <c r="J119" s="1">
        <v>20</v>
      </c>
      <c r="K119" s="1"/>
      <c r="L119" s="1"/>
      <c r="M119" s="1"/>
      <c r="N119" s="1"/>
      <c r="O119" s="1"/>
      <c r="P119" s="1"/>
    </row>
    <row r="120" ht="25.95" customHeight="1" spans="1:16">
      <c r="A120" s="1" t="s">
        <v>151</v>
      </c>
      <c r="B120" s="221" t="s">
        <v>273</v>
      </c>
      <c r="C120" s="1"/>
      <c r="D120" s="1"/>
      <c r="E120" s="1"/>
      <c r="F120" s="1"/>
      <c r="G120" s="1"/>
      <c r="H120" s="1"/>
      <c r="I120" s="1"/>
      <c r="J120" s="1"/>
      <c r="K120" s="1">
        <v>16</v>
      </c>
      <c r="L120" s="1">
        <v>12</v>
      </c>
      <c r="M120" s="1"/>
      <c r="N120" s="1"/>
      <c r="O120" s="1"/>
      <c r="P120" s="1"/>
    </row>
    <row r="121" ht="25.95" customHeight="1" spans="1:16">
      <c r="A121" s="1" t="s">
        <v>151</v>
      </c>
      <c r="B121" s="221" t="s">
        <v>274</v>
      </c>
      <c r="C121" s="1"/>
      <c r="D121" s="1"/>
      <c r="E121" s="1"/>
      <c r="F121" s="1"/>
      <c r="G121" s="1"/>
      <c r="H121" s="1">
        <v>26</v>
      </c>
      <c r="I121" s="1"/>
      <c r="J121" s="1"/>
      <c r="K121" s="1"/>
      <c r="L121" s="1"/>
      <c r="M121" s="1"/>
      <c r="N121" s="1"/>
      <c r="O121" s="1"/>
      <c r="P121" s="1"/>
    </row>
    <row r="122" ht="25.95" customHeight="1" spans="1:16">
      <c r="A122" s="1" t="s">
        <v>151</v>
      </c>
      <c r="B122" s="221" t="s">
        <v>275</v>
      </c>
      <c r="C122" s="1"/>
      <c r="D122" s="1"/>
      <c r="E122" s="1"/>
      <c r="F122" s="1"/>
      <c r="G122" s="1"/>
      <c r="H122" s="1"/>
      <c r="I122" s="1"/>
      <c r="J122" s="1"/>
      <c r="K122" s="1">
        <v>20</v>
      </c>
      <c r="L122" s="1"/>
      <c r="M122" s="1"/>
      <c r="N122" s="1"/>
      <c r="O122" s="1"/>
      <c r="P122" s="1"/>
    </row>
    <row r="123" ht="25.95" customHeight="1" spans="1:16">
      <c r="A123" s="1" t="s">
        <v>151</v>
      </c>
      <c r="B123" s="221" t="s">
        <v>276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>
        <v>26</v>
      </c>
      <c r="N123" s="1"/>
      <c r="O123" s="1"/>
      <c r="P123" s="1"/>
    </row>
    <row r="124" ht="25.95" customHeight="1" spans="1:16">
      <c r="A124" s="1" t="s">
        <v>151</v>
      </c>
      <c r="B124" s="221" t="s">
        <v>277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>
        <v>26</v>
      </c>
      <c r="O124" s="1"/>
      <c r="P124" s="1"/>
    </row>
    <row r="125" ht="25.95" customHeight="1" spans="1:16">
      <c r="A125" s="1" t="s">
        <v>157</v>
      </c>
      <c r="B125" s="221" t="s">
        <v>278</v>
      </c>
      <c r="C125" s="1">
        <v>12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ht="25.95" customHeight="1" spans="1:16">
      <c r="A126" s="1" t="s">
        <v>157</v>
      </c>
      <c r="B126" s="221" t="s">
        <v>279</v>
      </c>
      <c r="C126" s="1"/>
      <c r="D126" s="1"/>
      <c r="E126" s="1"/>
      <c r="F126" s="1"/>
      <c r="G126" s="1"/>
      <c r="H126" s="1"/>
      <c r="I126" s="1"/>
      <c r="J126" s="1">
        <v>4</v>
      </c>
      <c r="K126" s="1">
        <v>10</v>
      </c>
      <c r="L126" s="1"/>
      <c r="M126" s="1"/>
      <c r="N126" s="1"/>
      <c r="O126" s="1"/>
      <c r="P126" s="1"/>
    </row>
    <row r="127" ht="25.95" customHeight="1" spans="1:16">
      <c r="A127" s="1" t="s">
        <v>157</v>
      </c>
      <c r="B127" s="221" t="s">
        <v>280</v>
      </c>
      <c r="C127" s="1"/>
      <c r="D127" s="1"/>
      <c r="E127" s="1"/>
      <c r="F127" s="1"/>
      <c r="G127" s="1"/>
      <c r="H127" s="1"/>
      <c r="I127" s="1"/>
      <c r="J127" s="1">
        <v>12</v>
      </c>
      <c r="K127" s="1"/>
      <c r="L127" s="1"/>
      <c r="M127" s="1"/>
      <c r="N127" s="1"/>
      <c r="O127" s="1"/>
      <c r="P127" s="1"/>
    </row>
    <row r="128" ht="25.95" customHeight="1" spans="1:16">
      <c r="A128" s="1" t="s">
        <v>157</v>
      </c>
      <c r="B128" s="221" t="s">
        <v>281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>
        <v>16</v>
      </c>
      <c r="N128" s="1"/>
      <c r="O128" s="1"/>
      <c r="P128" s="1"/>
    </row>
    <row r="129" ht="25.95" customHeight="1" spans="1:16">
      <c r="A129" s="1" t="s">
        <v>157</v>
      </c>
      <c r="B129" s="221" t="s">
        <v>282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>
        <v>16</v>
      </c>
      <c r="O129" s="1"/>
      <c r="P129" s="1"/>
    </row>
    <row r="130" ht="25.95" customHeight="1" spans="1:16">
      <c r="A130" s="1" t="s">
        <v>157</v>
      </c>
      <c r="B130" s="221" t="s">
        <v>283</v>
      </c>
      <c r="C130" s="1"/>
      <c r="D130" s="1"/>
      <c r="E130" s="1"/>
      <c r="F130" s="1"/>
      <c r="G130" s="1"/>
      <c r="H130" s="1">
        <v>16</v>
      </c>
      <c r="I130" s="1"/>
      <c r="J130" s="1"/>
      <c r="K130" s="1"/>
      <c r="L130" s="1"/>
      <c r="M130" s="1"/>
      <c r="N130" s="1"/>
      <c r="O130" s="1"/>
      <c r="P130" s="1"/>
    </row>
    <row r="131" ht="25.95" customHeight="1" spans="1:16">
      <c r="A131" s="1" t="s">
        <v>157</v>
      </c>
      <c r="B131" s="221" t="s">
        <v>284</v>
      </c>
      <c r="C131" s="1"/>
      <c r="D131" s="1"/>
      <c r="E131" s="1"/>
      <c r="F131" s="1"/>
      <c r="G131" s="1"/>
      <c r="H131" s="1"/>
      <c r="I131" s="1"/>
      <c r="J131" s="1"/>
      <c r="K131" s="1">
        <v>12</v>
      </c>
      <c r="L131" s="1"/>
      <c r="M131" s="1"/>
      <c r="N131" s="1"/>
      <c r="O131" s="1"/>
      <c r="P131" s="1"/>
    </row>
    <row r="132" ht="25.95" customHeight="1" spans="1:16">
      <c r="A132" s="1" t="s">
        <v>157</v>
      </c>
      <c r="B132" s="221" t="s">
        <v>285</v>
      </c>
      <c r="C132" s="1"/>
      <c r="D132" s="1"/>
      <c r="E132" s="1"/>
      <c r="F132" s="1"/>
      <c r="G132" s="1"/>
      <c r="H132" s="1"/>
      <c r="I132" s="1"/>
      <c r="J132" s="1"/>
      <c r="K132" s="1"/>
      <c r="L132" s="1">
        <v>26</v>
      </c>
      <c r="M132" s="1"/>
      <c r="N132" s="1"/>
      <c r="O132" s="1"/>
      <c r="P132" s="1"/>
    </row>
    <row r="133" ht="25.95" customHeight="1" spans="1:16">
      <c r="A133" s="1" t="s">
        <v>157</v>
      </c>
      <c r="B133" s="221" t="s">
        <v>286</v>
      </c>
      <c r="C133" s="1"/>
      <c r="D133" s="1"/>
      <c r="E133" s="1"/>
      <c r="F133" s="1"/>
      <c r="G133" s="1"/>
      <c r="H133" s="1"/>
      <c r="I133" s="1">
        <v>12</v>
      </c>
      <c r="J133" s="1"/>
      <c r="K133" s="1"/>
      <c r="L133" s="1"/>
      <c r="M133" s="1"/>
      <c r="N133" s="1"/>
      <c r="O133" s="1"/>
      <c r="P133" s="1"/>
    </row>
    <row r="134" ht="25.95" customHeight="1" spans="1:16">
      <c r="A134" s="1" t="s">
        <v>157</v>
      </c>
      <c r="B134" s="221" t="s">
        <v>287</v>
      </c>
      <c r="C134" s="1"/>
      <c r="D134" s="1"/>
      <c r="E134" s="1"/>
      <c r="F134" s="1"/>
      <c r="G134" s="1"/>
      <c r="H134" s="1">
        <v>4</v>
      </c>
      <c r="I134" s="1">
        <v>10</v>
      </c>
      <c r="J134" s="1"/>
      <c r="K134" s="1"/>
      <c r="L134" s="1"/>
      <c r="M134" s="1"/>
      <c r="N134" s="1"/>
      <c r="O134" s="1"/>
      <c r="P134" s="1"/>
    </row>
    <row r="135" ht="25.95" customHeight="1" spans="1:16">
      <c r="A135" s="1" t="s">
        <v>155</v>
      </c>
      <c r="B135" s="221" t="s">
        <v>288</v>
      </c>
      <c r="C135" s="1">
        <v>16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ht="25.95" customHeight="1" spans="1:16">
      <c r="A136" s="1" t="s">
        <v>155</v>
      </c>
      <c r="B136" s="221" t="s">
        <v>289</v>
      </c>
      <c r="C136" s="1"/>
      <c r="D136" s="1"/>
      <c r="E136" s="1"/>
      <c r="F136" s="1"/>
      <c r="G136" s="1"/>
      <c r="H136" s="1"/>
      <c r="I136" s="1"/>
      <c r="J136" s="1">
        <v>16</v>
      </c>
      <c r="K136" s="1"/>
      <c r="L136" s="1"/>
      <c r="M136" s="1"/>
      <c r="N136" s="1"/>
      <c r="O136" s="1"/>
      <c r="P136" s="1"/>
    </row>
    <row r="137" ht="25.95" customHeight="1" spans="1:16">
      <c r="A137" s="1" t="s">
        <v>155</v>
      </c>
      <c r="B137" s="221" t="s">
        <v>290</v>
      </c>
      <c r="C137" s="1"/>
      <c r="D137" s="1"/>
      <c r="E137" s="1"/>
      <c r="F137" s="1"/>
      <c r="G137" s="1"/>
      <c r="H137" s="1"/>
      <c r="I137" s="1">
        <v>16</v>
      </c>
      <c r="J137" s="1"/>
      <c r="K137" s="1"/>
      <c r="L137" s="1"/>
      <c r="M137" s="1"/>
      <c r="N137" s="1"/>
      <c r="O137" s="1"/>
      <c r="P137" s="1"/>
    </row>
    <row r="138" ht="25.95" customHeight="1" spans="1:16">
      <c r="A138" s="1" t="s">
        <v>155</v>
      </c>
      <c r="B138" s="221" t="s">
        <v>291</v>
      </c>
      <c r="C138" s="1"/>
      <c r="D138" s="1"/>
      <c r="E138" s="1"/>
      <c r="F138" s="1"/>
      <c r="G138" s="1"/>
      <c r="H138" s="1"/>
      <c r="I138" s="1"/>
      <c r="J138" s="1">
        <v>12</v>
      </c>
      <c r="K138" s="1">
        <v>4</v>
      </c>
      <c r="L138" s="1"/>
      <c r="M138" s="1"/>
      <c r="N138" s="1"/>
      <c r="O138" s="1"/>
      <c r="P138" s="1"/>
    </row>
    <row r="139" ht="25.95" customHeight="1" spans="1:16">
      <c r="A139" s="1" t="s">
        <v>173</v>
      </c>
      <c r="B139" s="222" t="s">
        <v>292</v>
      </c>
      <c r="C139" s="1">
        <v>4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ht="25.95" customHeight="1" spans="1:16">
      <c r="A140" s="1" t="s">
        <v>173</v>
      </c>
      <c r="B140" s="221" t="s">
        <v>293</v>
      </c>
      <c r="C140" s="1">
        <v>2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ht="25.95" customHeight="1" spans="1:16">
      <c r="A141" s="1" t="s">
        <v>173</v>
      </c>
      <c r="B141" s="221" t="s">
        <v>294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>
        <v>4</v>
      </c>
    </row>
    <row r="142" ht="25.95" customHeight="1" spans="1:16">
      <c r="A142" s="1" t="s">
        <v>173</v>
      </c>
      <c r="B142" s="221" t="s">
        <v>295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>
        <v>2</v>
      </c>
      <c r="O142" s="1"/>
      <c r="P142" s="1"/>
    </row>
    <row r="143" ht="25.95" customHeight="1" spans="1:16">
      <c r="A143" s="1" t="s">
        <v>173</v>
      </c>
      <c r="B143" s="221" t="s">
        <v>296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>
        <v>2</v>
      </c>
      <c r="N143" s="1"/>
      <c r="O143" s="1"/>
      <c r="P143" s="1"/>
    </row>
    <row r="144" ht="25.95" customHeight="1" spans="1:16">
      <c r="A144" s="1" t="s">
        <v>173</v>
      </c>
      <c r="B144" s="221" t="s">
        <v>297</v>
      </c>
      <c r="C144" s="1"/>
      <c r="D144" s="1"/>
      <c r="E144" s="1"/>
      <c r="F144" s="1"/>
      <c r="G144" s="1"/>
      <c r="H144" s="1"/>
      <c r="I144" s="1">
        <v>4</v>
      </c>
      <c r="J144" s="1"/>
      <c r="K144" s="1"/>
      <c r="L144" s="1"/>
      <c r="M144" s="1"/>
      <c r="N144" s="1"/>
      <c r="O144" s="1"/>
      <c r="P144" s="1"/>
    </row>
    <row r="145" ht="25.95" customHeight="1" spans="1:16">
      <c r="A145" s="1" t="s">
        <v>173</v>
      </c>
      <c r="B145" s="221" t="s">
        <v>298</v>
      </c>
      <c r="C145" s="1"/>
      <c r="D145" s="1"/>
      <c r="E145" s="1"/>
      <c r="F145" s="1"/>
      <c r="G145" s="1"/>
      <c r="H145" s="1"/>
      <c r="I145" s="1"/>
      <c r="J145" s="1"/>
      <c r="K145" s="1">
        <v>6</v>
      </c>
      <c r="L145" s="1"/>
      <c r="M145" s="1"/>
      <c r="N145" s="1"/>
      <c r="O145" s="1"/>
      <c r="P145" s="1"/>
    </row>
    <row r="146" ht="25.95" customHeight="1" spans="1:16">
      <c r="A146" s="1" t="s">
        <v>173</v>
      </c>
      <c r="B146" s="221" t="s">
        <v>299</v>
      </c>
      <c r="C146" s="1"/>
      <c r="D146" s="1"/>
      <c r="E146" s="1"/>
      <c r="F146" s="1"/>
      <c r="G146" s="1"/>
      <c r="H146" s="1"/>
      <c r="I146" s="1"/>
      <c r="J146" s="1"/>
      <c r="K146" s="1">
        <v>4</v>
      </c>
      <c r="L146" s="1"/>
      <c r="M146" s="1"/>
      <c r="N146" s="1"/>
      <c r="O146" s="1"/>
      <c r="P146" s="1"/>
    </row>
    <row r="147" ht="25.95" customHeight="1" spans="1:16">
      <c r="A147" s="1" t="s">
        <v>173</v>
      </c>
      <c r="B147" s="221" t="s">
        <v>300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>
        <v>6</v>
      </c>
      <c r="N147" s="1"/>
      <c r="O147" s="1"/>
      <c r="P147" s="1"/>
    </row>
    <row r="148" ht="25.95" customHeight="1" spans="1:16">
      <c r="A148" s="1" t="s">
        <v>173</v>
      </c>
      <c r="B148" s="221" t="s">
        <v>301</v>
      </c>
      <c r="C148" s="1"/>
      <c r="D148" s="1"/>
      <c r="E148" s="1"/>
      <c r="F148" s="1"/>
      <c r="G148" s="1"/>
      <c r="H148" s="1"/>
      <c r="I148" s="1"/>
      <c r="J148" s="1">
        <v>4</v>
      </c>
      <c r="K148" s="1"/>
      <c r="L148" s="1"/>
      <c r="M148" s="1"/>
      <c r="N148" s="1"/>
      <c r="O148" s="1"/>
      <c r="P148" s="1"/>
    </row>
    <row r="149" ht="25.95" customHeight="1" spans="1:16">
      <c r="A149" s="1" t="s">
        <v>173</v>
      </c>
      <c r="B149" s="221" t="s">
        <v>302</v>
      </c>
      <c r="C149" s="1"/>
      <c r="D149" s="1"/>
      <c r="E149" s="1"/>
      <c r="F149" s="1"/>
      <c r="G149" s="1"/>
      <c r="H149" s="1">
        <v>6</v>
      </c>
      <c r="I149" s="1"/>
      <c r="J149" s="1"/>
      <c r="K149" s="1"/>
      <c r="L149" s="1"/>
      <c r="M149" s="1"/>
      <c r="N149" s="1"/>
      <c r="O149" s="1"/>
      <c r="P149" s="1"/>
    </row>
    <row r="150" ht="25.95" customHeight="1" spans="1:16">
      <c r="A150" s="1" t="s">
        <v>173</v>
      </c>
      <c r="B150" s="221" t="s">
        <v>303</v>
      </c>
      <c r="C150" s="1"/>
      <c r="D150" s="1"/>
      <c r="E150" s="1"/>
      <c r="F150" s="1"/>
      <c r="G150" s="1"/>
      <c r="H150" s="1"/>
      <c r="I150" s="1"/>
      <c r="J150" s="1">
        <v>2</v>
      </c>
      <c r="K150" s="1"/>
      <c r="L150" s="1"/>
      <c r="M150" s="1"/>
      <c r="N150" s="1"/>
      <c r="O150" s="1"/>
      <c r="P150" s="1"/>
    </row>
    <row r="151" ht="25.95" customHeight="1" spans="1:16">
      <c r="A151" s="1" t="s">
        <v>173</v>
      </c>
      <c r="B151" s="221" t="s">
        <v>304</v>
      </c>
      <c r="C151" s="1"/>
      <c r="D151" s="1"/>
      <c r="E151" s="1"/>
      <c r="F151" s="1"/>
      <c r="G151" s="1"/>
      <c r="H151" s="1"/>
      <c r="I151" s="1">
        <v>2</v>
      </c>
      <c r="J151" s="1"/>
      <c r="K151" s="1"/>
      <c r="L151" s="1"/>
      <c r="M151" s="1"/>
      <c r="N151" s="1"/>
      <c r="O151" s="1"/>
      <c r="P151" s="1"/>
    </row>
    <row r="152" ht="25.95" customHeight="1" spans="1:16">
      <c r="A152" s="1" t="s">
        <v>173</v>
      </c>
      <c r="B152" s="221" t="s">
        <v>305</v>
      </c>
      <c r="C152" s="1"/>
      <c r="D152" s="1"/>
      <c r="E152" s="1"/>
      <c r="F152" s="1"/>
      <c r="G152" s="1"/>
      <c r="H152" s="1"/>
      <c r="I152" s="1"/>
      <c r="J152" s="1"/>
      <c r="K152" s="1">
        <v>2</v>
      </c>
      <c r="L152" s="1"/>
      <c r="M152" s="1"/>
      <c r="N152" s="1"/>
      <c r="O152" s="1"/>
      <c r="P152" s="1"/>
    </row>
    <row r="153" ht="25.95" customHeight="1" spans="1:16">
      <c r="A153" s="1" t="s">
        <v>173</v>
      </c>
      <c r="B153" s="221" t="s">
        <v>306</v>
      </c>
      <c r="C153" s="1"/>
      <c r="D153" s="1"/>
      <c r="E153" s="1"/>
      <c r="F153" s="1"/>
      <c r="G153" s="1"/>
      <c r="H153" s="1">
        <v>2</v>
      </c>
      <c r="I153" s="1"/>
      <c r="J153" s="1"/>
      <c r="K153" s="1"/>
      <c r="L153" s="1"/>
      <c r="M153" s="1"/>
      <c r="N153" s="1"/>
      <c r="O153" s="1"/>
      <c r="P153" s="1"/>
    </row>
    <row r="154" ht="25.95" customHeight="1" spans="1:16">
      <c r="A154" s="1" t="s">
        <v>173</v>
      </c>
      <c r="B154" s="221" t="s">
        <v>307</v>
      </c>
      <c r="C154" s="1"/>
      <c r="D154" s="1"/>
      <c r="E154" s="1"/>
      <c r="F154" s="1"/>
      <c r="G154" s="1"/>
      <c r="H154" s="1"/>
      <c r="I154" s="1"/>
      <c r="J154" s="1"/>
      <c r="K154" s="1"/>
      <c r="L154" s="1">
        <v>4</v>
      </c>
      <c r="M154" s="1"/>
      <c r="N154" s="1"/>
      <c r="O154" s="1"/>
      <c r="P154" s="1"/>
    </row>
  </sheetData>
  <autoFilter xmlns:etc="http://www.wps.cn/officeDocument/2017/etCustomData" ref="A2:P154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4D14F"/>
  </sheetPr>
  <dimension ref="A1:X32"/>
  <sheetViews>
    <sheetView zoomScale="39" zoomScaleNormal="39" workbookViewId="0">
      <selection activeCell="K34" sqref="K34"/>
    </sheetView>
  </sheetViews>
  <sheetFormatPr defaultColWidth="10" defaultRowHeight="16.8"/>
  <cols>
    <col min="1" max="1" width="8.52884615384615" style="64" customWidth="1"/>
    <col min="2" max="4" width="6.29807692307692" style="64" customWidth="1"/>
    <col min="5" max="5" width="5.86538461538461" style="64" customWidth="1"/>
    <col min="6" max="6" width="8.15384615384615" style="64" customWidth="1"/>
    <col min="7" max="7" width="8.84615384615385" style="64" customWidth="1"/>
    <col min="8" max="8" width="8.46153846153846" style="64" customWidth="1"/>
    <col min="9" max="9" width="6" style="64" customWidth="1"/>
    <col min="10" max="10" width="10" style="64" customWidth="1"/>
    <col min="11" max="11" width="6.38461538461539" style="64" customWidth="1"/>
    <col min="12" max="12" width="5.75961538461539" style="64" customWidth="1"/>
    <col min="13" max="13" width="11.2980769230769" style="64" customWidth="1"/>
    <col min="14" max="14" width="10" style="64" customWidth="1"/>
    <col min="17" max="17" width="10" customWidth="1"/>
    <col min="18" max="19" width="10" hidden="1" customWidth="1"/>
    <col min="20" max="24" width="6.59615384615385" hidden="1" customWidth="1"/>
    <col min="25" max="25" width="10" customWidth="1"/>
  </cols>
  <sheetData>
    <row r="1" ht="24.7" customHeight="1" spans="2:23">
      <c r="B1" s="212" t="s">
        <v>100</v>
      </c>
      <c r="C1" s="212"/>
      <c r="D1" s="212"/>
      <c r="E1" s="216">
        <v>83</v>
      </c>
      <c r="F1" s="212" t="s">
        <v>308</v>
      </c>
      <c r="G1" s="216">
        <v>100</v>
      </c>
      <c r="H1" s="212" t="s">
        <v>309</v>
      </c>
      <c r="I1" s="216">
        <v>2</v>
      </c>
      <c r="R1" s="1"/>
      <c r="S1" s="1"/>
      <c r="T1" s="1"/>
      <c r="U1" s="1"/>
      <c r="V1" s="1"/>
      <c r="W1" s="9"/>
    </row>
    <row r="2" ht="36.3" customHeight="1" spans="1:23">
      <c r="A2" s="1"/>
      <c r="B2" s="12" t="s">
        <v>102</v>
      </c>
      <c r="C2" s="12" t="s">
        <v>310</v>
      </c>
      <c r="D2" s="12" t="s">
        <v>311</v>
      </c>
      <c r="E2" s="1" t="s">
        <v>312</v>
      </c>
      <c r="F2" s="1" t="s">
        <v>313</v>
      </c>
      <c r="G2" s="1" t="s">
        <v>314</v>
      </c>
      <c r="H2" s="1" t="s">
        <v>315</v>
      </c>
      <c r="I2" s="1" t="s">
        <v>94</v>
      </c>
      <c r="J2" s="1" t="s">
        <v>316</v>
      </c>
      <c r="K2" s="1" t="s">
        <v>74</v>
      </c>
      <c r="L2" s="1" t="s">
        <v>75</v>
      </c>
      <c r="M2" s="1" t="s">
        <v>103</v>
      </c>
      <c r="N2" s="1" t="s">
        <v>317</v>
      </c>
      <c r="R2" s="219"/>
      <c r="S2" s="120" t="s">
        <v>19</v>
      </c>
      <c r="T2" s="120" t="s">
        <v>21</v>
      </c>
      <c r="U2" s="120" t="s">
        <v>22</v>
      </c>
      <c r="V2" s="120" t="s">
        <v>23</v>
      </c>
      <c r="W2" s="188" t="s">
        <v>26</v>
      </c>
    </row>
    <row r="3" ht="24.7" customHeight="1" spans="1:23">
      <c r="A3" s="1" t="s">
        <v>318</v>
      </c>
      <c r="B3" s="2"/>
      <c r="C3" s="2" t="s">
        <v>319</v>
      </c>
      <c r="D3" s="2" t="s">
        <v>319</v>
      </c>
      <c r="E3" s="2">
        <v>5</v>
      </c>
      <c r="F3" s="1" t="s">
        <v>19</v>
      </c>
      <c r="G3" s="1">
        <f>$E$1-1+$G$1*3/4</f>
        <v>157</v>
      </c>
      <c r="H3" s="1">
        <f>$G$1+IF($I$1&gt;=1,IF($I$1=2,(INT($E$1/5)*2+70)+198,(INT($E$1/5)*2+10)+198),($E$1-1)*2)</f>
        <v>400</v>
      </c>
      <c r="I3" s="1">
        <f>SUMPRODUCT(($R$3:$R$7&lt;=E3)*$S$3:$W$7*(F3=$S$2:$W$2))</f>
        <v>0.86</v>
      </c>
      <c r="J3" s="1">
        <f>IF(C3="是",VLOOKUP(F3,$T$12:$U$16,2),0)</f>
        <v>0.8</v>
      </c>
      <c r="K3" s="1">
        <v>0.1</v>
      </c>
      <c r="L3" s="1">
        <f>IF(D3="是",0.1,0)</f>
        <v>0.1</v>
      </c>
      <c r="M3" s="218">
        <f>IF(F3="防御",(N3/(1+L3+K3+J3+I3)/(((H3+G3)*1.2/资质数据!$C$42)+0.18)),(N3/(1+I3+J3+K3+L3)/(H3+G3)*VLOOKUP(F:F,资质数据!$B$37:$C$42,2)-B3*1.1)/1.2)</f>
        <v>726528.85713927</v>
      </c>
      <c r="N3" s="2">
        <v>5000000</v>
      </c>
      <c r="R3" s="1">
        <v>1</v>
      </c>
      <c r="S3" s="1">
        <v>0.26</v>
      </c>
      <c r="T3" s="1">
        <v>0.26</v>
      </c>
      <c r="U3" s="1">
        <v>0.26</v>
      </c>
      <c r="V3" s="1">
        <v>0.26</v>
      </c>
      <c r="W3" s="9">
        <v>0.36</v>
      </c>
    </row>
    <row r="4" ht="24.7" customHeight="1" spans="1:23">
      <c r="A4" s="1"/>
      <c r="B4" s="2"/>
      <c r="C4" s="2" t="s">
        <v>319</v>
      </c>
      <c r="D4" s="2" t="s">
        <v>319</v>
      </c>
      <c r="E4" s="2">
        <v>4</v>
      </c>
      <c r="F4" s="1" t="s">
        <v>21</v>
      </c>
      <c r="G4" s="1">
        <f>$E$1-1+$G$1*3/4</f>
        <v>157</v>
      </c>
      <c r="H4" s="1">
        <f>$G$1+IF($I$1&gt;=1,IF($I$1=2,(INT($E$1/5)*2+70)+198,(INT($E$1/5)*2+10)+198),($E$1-1)*2)</f>
        <v>400</v>
      </c>
      <c r="I4" s="1">
        <f>SUMPRODUCT(($R$3:$R$7&lt;=E4)*$S$3:$W$7*(F4=$S$2:$W$2))</f>
        <v>0.78</v>
      </c>
      <c r="J4" s="1" t="e">
        <f>IF(C4="是",VLOOKUP(F4,$T$12:$U$16,2),0)</f>
        <v>#N/A</v>
      </c>
      <c r="K4" s="1">
        <v>0.1</v>
      </c>
      <c r="L4" s="1">
        <f>IF(D4="是",0.1,0)</f>
        <v>0.1</v>
      </c>
      <c r="M4" s="218" t="e">
        <f>IF(F4="防御",(N4/(1+L4+K4+J4+I4)/(((H4+G4)*1.2/资质数据!$C$42)+0.18)),(N4/(1+I4+J4+K4+L4)/(H4+G4)*VLOOKUP(F:F,资质数据!$B$37:$C$42,2)-B4*1.1)/1.2)</f>
        <v>#N/A</v>
      </c>
      <c r="N4" s="2">
        <v>500000</v>
      </c>
      <c r="R4" s="1">
        <v>2</v>
      </c>
      <c r="S4" s="1">
        <v>0.16</v>
      </c>
      <c r="T4" s="1">
        <v>0.2</v>
      </c>
      <c r="U4" s="1">
        <v>0.2</v>
      </c>
      <c r="V4" s="1">
        <v>0.2</v>
      </c>
      <c r="W4" s="9">
        <v>0.26</v>
      </c>
    </row>
    <row r="5" ht="24.7" customHeight="1" spans="1:23">
      <c r="A5" s="1"/>
      <c r="B5" s="2"/>
      <c r="C5" s="2" t="s">
        <v>319</v>
      </c>
      <c r="D5" s="2" t="s">
        <v>319</v>
      </c>
      <c r="E5" s="2">
        <v>2</v>
      </c>
      <c r="F5" s="1" t="s">
        <v>22</v>
      </c>
      <c r="G5" s="1">
        <f>$E$1-1+$G$1*3/4</f>
        <v>157</v>
      </c>
      <c r="H5" s="1">
        <f>$G$1+IF($I$1&gt;=1,IF($I$1=2,(INT($E$1/5)*2+70)+198,(INT($E$1/5)*2+10)+198),($E$1-1)*2)</f>
        <v>400</v>
      </c>
      <c r="I5" s="1">
        <f>SUMPRODUCT(($R$3:$R$7&lt;=E5)*$S$3:$W$7*(F5=$S$2:$W$2))</f>
        <v>0.46</v>
      </c>
      <c r="J5" s="1">
        <f>IF(C5="是",VLOOKUP(F5,$T$12:$U$16,2),0)</f>
        <v>0.4</v>
      </c>
      <c r="K5" s="1">
        <v>0</v>
      </c>
      <c r="L5" s="1">
        <f>IF(D5="是",0.1,0)</f>
        <v>0.1</v>
      </c>
      <c r="M5" s="218">
        <f>IF(F5="防御",(N5/(1+L5+K5+J5+I5)/(((H5+G5)*1.2/资质数据!$C$42)+0.18)),(N5/(1+I5+J5+K5+L5)/(H5+G5)*VLOOKUP(F:F,资质数据!$B$37:$C$42,2)-B5*1.1)/1.2)</f>
        <v>21202.7809328399</v>
      </c>
      <c r="N5" s="2">
        <v>100000</v>
      </c>
      <c r="R5" s="1">
        <v>3</v>
      </c>
      <c r="S5" s="1">
        <v>0.16</v>
      </c>
      <c r="T5" s="1">
        <v>0.16</v>
      </c>
      <c r="U5" s="1">
        <v>0.16</v>
      </c>
      <c r="V5" s="1">
        <v>0.16</v>
      </c>
      <c r="W5" s="9">
        <v>0.22</v>
      </c>
    </row>
    <row r="6" ht="24.7" customHeight="1" spans="1:23">
      <c r="A6" s="1"/>
      <c r="B6" s="2"/>
      <c r="C6" s="2" t="s">
        <v>319</v>
      </c>
      <c r="D6" s="2" t="s">
        <v>320</v>
      </c>
      <c r="E6" s="2">
        <v>1</v>
      </c>
      <c r="F6" s="1" t="s">
        <v>23</v>
      </c>
      <c r="G6" s="1">
        <f>$E$1-1+$G$1*3/4</f>
        <v>157</v>
      </c>
      <c r="H6" s="1">
        <f>$G$1+IF($I$1&gt;=1,IF($I$1=2,(INT($E$1/5)*2+70)+198,(INT($E$1/5)*2+10)+198),($E$1-1)*2)</f>
        <v>400</v>
      </c>
      <c r="I6" s="1">
        <f>SUMPRODUCT(($R$3:$R$7&lt;=E6)*$S$3:$W$7*(F6=$S$2:$W$2))</f>
        <v>0.26</v>
      </c>
      <c r="J6" s="1" t="e">
        <f>IF(C6="是",VLOOKUP(F6,$T$12:$U$16,2),0)</f>
        <v>#N/A</v>
      </c>
      <c r="K6" s="1">
        <v>0.1</v>
      </c>
      <c r="L6" s="1">
        <f>IF(D6="是",0.1,0)</f>
        <v>0</v>
      </c>
      <c r="M6" s="218" t="e">
        <f>IF(F6="防御",(N6/(1+L6+K6+J6+I6)/(((H6+G6)*1.2/资质数据!$C$42)+0.18)),(N6/(1+I6+J6+K6+L6)/(H6+G6)*VLOOKUP(F:F,资质数据!$B$37:$C$42,2)-B6*1.1)/1.2)</f>
        <v>#N/A</v>
      </c>
      <c r="N6" s="2">
        <v>100000</v>
      </c>
      <c r="R6" s="1">
        <v>4</v>
      </c>
      <c r="S6" s="1">
        <v>0.16</v>
      </c>
      <c r="T6" s="1">
        <v>0.16</v>
      </c>
      <c r="U6" s="1">
        <v>0.16</v>
      </c>
      <c r="V6" s="1">
        <v>0.16</v>
      </c>
      <c r="W6" s="9">
        <v>0.16</v>
      </c>
    </row>
    <row r="7" ht="24.7" customHeight="1" spans="1:23">
      <c r="A7" s="1"/>
      <c r="B7" s="2"/>
      <c r="C7" s="2" t="s">
        <v>319</v>
      </c>
      <c r="D7" s="2" t="s">
        <v>319</v>
      </c>
      <c r="E7" s="2">
        <v>4</v>
      </c>
      <c r="F7" s="1" t="s">
        <v>26</v>
      </c>
      <c r="G7" s="1">
        <f>$E$1-1</f>
        <v>82</v>
      </c>
      <c r="H7" s="1">
        <f>$G$1+IF($I$1&gt;=1,IF($I$1=2,(INT($E$1/5)*2+70)+198,(INT($E$1/5)*2+10)+198),($E$1-1)*2)</f>
        <v>400</v>
      </c>
      <c r="I7" s="1">
        <f>SUMPRODUCT(($R$3:$R$7&lt;=E7)*$S$3:$W$7*(F7=$S$2:$W$2))</f>
        <v>1</v>
      </c>
      <c r="J7" s="1" t="e">
        <f>IF(C7="是",VLOOKUP(F7,$T$12:$U$16,2),0)</f>
        <v>#N/A</v>
      </c>
      <c r="K7" s="1">
        <v>0.3</v>
      </c>
      <c r="L7" s="1">
        <f>IF(D7="是",0.1,0)</f>
        <v>0.1</v>
      </c>
      <c r="M7" s="218" t="e">
        <f>IF(F7="防御",(N7/(1+L7+K7+J7+I7)/(((H7+G7)*1.2/资质数据!$C$42)+0.18)),(N7/(1+I7+J7+K7+L7)/(H7+G7)*VLOOKUP(F:F,资质数据!$B$37:$C$42,2)-B7*1.1)/1.2)</f>
        <v>#N/A</v>
      </c>
      <c r="N7" s="2">
        <v>500000</v>
      </c>
      <c r="R7" s="1">
        <v>5</v>
      </c>
      <c r="S7" s="1">
        <v>0.12</v>
      </c>
      <c r="T7" s="1">
        <v>0.16</v>
      </c>
      <c r="U7" s="1">
        <v>0.16</v>
      </c>
      <c r="V7" s="1">
        <v>0.16</v>
      </c>
      <c r="W7" s="9">
        <v>0.12</v>
      </c>
    </row>
    <row r="8" ht="37.65" customHeight="1" spans="1:23">
      <c r="A8" s="1"/>
      <c r="B8" s="12" t="s">
        <v>102</v>
      </c>
      <c r="C8" s="12" t="s">
        <v>310</v>
      </c>
      <c r="D8" s="12" t="s">
        <v>311</v>
      </c>
      <c r="E8" s="1" t="s">
        <v>312</v>
      </c>
      <c r="F8" s="1" t="s">
        <v>313</v>
      </c>
      <c r="G8" s="1" t="s">
        <v>314</v>
      </c>
      <c r="H8" s="1" t="s">
        <v>315</v>
      </c>
      <c r="I8" s="1" t="s">
        <v>94</v>
      </c>
      <c r="J8" s="1" t="s">
        <v>316</v>
      </c>
      <c r="K8" s="1" t="s">
        <v>74</v>
      </c>
      <c r="L8" s="1" t="s">
        <v>75</v>
      </c>
      <c r="M8" s="1" t="s">
        <v>103</v>
      </c>
      <c r="N8" s="1" t="s">
        <v>317</v>
      </c>
      <c r="R8" s="1" t="s">
        <v>72</v>
      </c>
      <c r="S8" s="1">
        <v>0.8</v>
      </c>
      <c r="T8" s="1">
        <v>0.6</v>
      </c>
      <c r="U8" s="1">
        <v>0.4</v>
      </c>
      <c r="V8" s="1">
        <v>0.6</v>
      </c>
      <c r="W8" s="1">
        <v>0</v>
      </c>
    </row>
    <row r="9" ht="24.7" customHeight="1" spans="1:23">
      <c r="A9" s="1" t="s">
        <v>321</v>
      </c>
      <c r="B9" s="2"/>
      <c r="C9" s="2" t="s">
        <v>319</v>
      </c>
      <c r="D9" s="2" t="s">
        <v>319</v>
      </c>
      <c r="E9" s="2">
        <v>2</v>
      </c>
      <c r="F9" s="2" t="s">
        <v>21</v>
      </c>
      <c r="G9" s="1">
        <f>IF(F9="防御",($E$1-1),$E$1-1+$G$1*3/4)</f>
        <v>157</v>
      </c>
      <c r="H9" s="1">
        <f>INT(($G$1+IF($I$1&gt;=1,IF($I$1=2,(INT($E$1/5)*2+70)+198,(INT($E$1/5)*2+10)+198),($E$1-1)*2))/SUMPRODUCT((S20:S24=F9)*T20:X24*($T$19:$X$19=F10)))</f>
        <v>193</v>
      </c>
      <c r="I9" s="1">
        <f>SUMPRODUCT(($R$3:$R$7&lt;=E9)*$S$3:$W$7*(F9=$S$2:$W$2))</f>
        <v>0.46</v>
      </c>
      <c r="J9" s="1" t="e">
        <f>IF(C9="是",VLOOKUP(F9,$T$12:$U$16,2),0)</f>
        <v>#N/A</v>
      </c>
      <c r="K9" s="1" t="e">
        <f>VLOOKUP(F9,$F$3:$K$7,6)</f>
        <v>#N/A</v>
      </c>
      <c r="L9" s="1">
        <f>IF(D9="是",0.1,0)</f>
        <v>0.1</v>
      </c>
      <c r="M9" s="218" t="e">
        <f>IF(F9="防御",(N9/(1+L9+K9+J9+I9)/(((H9+G9)*1.2/资质数据!$C$42)+0.18)),(N9/(1+I9+J9+K9+L9)/(H9+G9)*VLOOKUP(F:F,资质数据!$B$37:$C$42,2)-B9*1.1)/1.2)</f>
        <v>#N/A</v>
      </c>
      <c r="N9" s="1" t="e">
        <f>VLOOKUP(F9,$F$3:$N$7,9)</f>
        <v>#N/A</v>
      </c>
      <c r="R9" s="1" t="s">
        <v>74</v>
      </c>
      <c r="S9" s="1">
        <v>0.1</v>
      </c>
      <c r="T9" s="1">
        <v>0.1</v>
      </c>
      <c r="U9" s="1">
        <v>0</v>
      </c>
      <c r="V9" s="1">
        <v>0.1</v>
      </c>
      <c r="W9" s="1">
        <v>0.3</v>
      </c>
    </row>
    <row r="10" ht="24.7" customHeight="1" spans="1:23">
      <c r="A10" s="1"/>
      <c r="B10" s="2"/>
      <c r="C10" s="2" t="s">
        <v>319</v>
      </c>
      <c r="D10" s="2" t="s">
        <v>320</v>
      </c>
      <c r="E10" s="2">
        <v>3</v>
      </c>
      <c r="F10" s="2" t="s">
        <v>19</v>
      </c>
      <c r="G10" s="1">
        <f>IF(F10="防御",($E$1-1),$E$1-1+$G$1*3/4)</f>
        <v>157</v>
      </c>
      <c r="H10" s="1">
        <f>$G$1+IF($I$1&gt;=1,IF($I$1=2,(INT($E$1/5)*2+70)+198,(INT($E$1/5)*2+10)+198),($E$1-1)*2)-H9</f>
        <v>207</v>
      </c>
      <c r="I10" s="1">
        <f>SUMPRODUCT(($R$3:$R$7&lt;=E10)*$S$3:$W$7*(F10=$S$2:$W$2))</f>
        <v>0.58</v>
      </c>
      <c r="J10" s="1">
        <f>IF(C10="是",VLOOKUP(F10,$T$12:$U$16,2),0)</f>
        <v>0.8</v>
      </c>
      <c r="K10" s="1">
        <f>VLOOKUP(F10,$F$3:$K$7,6)</f>
        <v>0.1</v>
      </c>
      <c r="L10" s="1">
        <f>IF(D10="是",0.1,0)</f>
        <v>0</v>
      </c>
      <c r="M10" s="218">
        <f>IF(F10="防御",(N10/(1+L10+K10+J10+I10)/(((H10+G10)*1.2/资质数据!$C$42)+0.18)),(N10/(1+I10+J10+K10+L10)/(H10+G10)*VLOOKUP(F:F,资质数据!$B$37:$C$42,2)-B10*1.1)/1.2)</f>
        <v>1282097.43885147</v>
      </c>
      <c r="N10" s="1">
        <f>VLOOKUP(F10,$F$3:$N$7,9)</f>
        <v>5000000</v>
      </c>
      <c r="R10" s="1" t="s">
        <v>75</v>
      </c>
      <c r="S10" s="1">
        <v>0.1</v>
      </c>
      <c r="T10" s="1">
        <v>0.1</v>
      </c>
      <c r="U10" s="1">
        <v>0.1</v>
      </c>
      <c r="V10" s="1">
        <v>0.1</v>
      </c>
      <c r="W10" s="1">
        <v>0.1</v>
      </c>
    </row>
    <row r="11" ht="38.5" customHeight="1" spans="1:14">
      <c r="A11" s="5"/>
      <c r="B11" s="12" t="s">
        <v>102</v>
      </c>
      <c r="C11" s="12" t="s">
        <v>310</v>
      </c>
      <c r="D11" s="12" t="s">
        <v>311</v>
      </c>
      <c r="E11" s="1" t="s">
        <v>312</v>
      </c>
      <c r="F11" s="1" t="s">
        <v>313</v>
      </c>
      <c r="G11" s="1" t="s">
        <v>314</v>
      </c>
      <c r="H11" s="1" t="s">
        <v>315</v>
      </c>
      <c r="I11" s="1" t="s">
        <v>94</v>
      </c>
      <c r="J11" s="1" t="s">
        <v>316</v>
      </c>
      <c r="K11" s="1" t="s">
        <v>74</v>
      </c>
      <c r="L11" s="1" t="s">
        <v>75</v>
      </c>
      <c r="M11" s="1" t="s">
        <v>103</v>
      </c>
      <c r="N11" s="1" t="s">
        <v>317</v>
      </c>
    </row>
    <row r="12" ht="24.7" customHeight="1" spans="1:21">
      <c r="A12" s="1" t="s">
        <v>322</v>
      </c>
      <c r="B12" s="213"/>
      <c r="C12" s="2" t="s">
        <v>319</v>
      </c>
      <c r="D12" s="2" t="s">
        <v>320</v>
      </c>
      <c r="E12" s="2">
        <v>1</v>
      </c>
      <c r="F12" s="2" t="s">
        <v>21</v>
      </c>
      <c r="G12" s="1">
        <f>IF(F12="防御",($E$1-1),$E$1-1+$G$1*3/4)</f>
        <v>157</v>
      </c>
      <c r="H12" s="1" t="e">
        <f>INT(($G$1+IF($I$1&gt;=1,IF($I$1=2,(INT($E$1/5)*2+70)+198,(INT($E$1/5)*2+10)+198),($E$1-1)*2))/(VLOOKUP($F$12,$S$28:$T$32,2)+VLOOKUP($F$13,$S$28:$T$32,2)+VLOOKUP($F$14,$S$28:$T$32,2))*VLOOKUP($F$12,$S$28:$T$32,2))</f>
        <v>#N/A</v>
      </c>
      <c r="I12" s="1">
        <f>SUMPRODUCT(($R$3:$R$7&lt;=E12)*$S$3:$W$7*(F12=$S$2:$W$2))</f>
        <v>0.26</v>
      </c>
      <c r="J12" s="1" t="e">
        <f>IF(C12="是",VLOOKUP(F12,$T$12:$U$16,2),0)</f>
        <v>#N/A</v>
      </c>
      <c r="K12" s="1" t="e">
        <f>VLOOKUP(F12,$F$3:$K$7,6)</f>
        <v>#N/A</v>
      </c>
      <c r="L12" s="1">
        <f>IF(D12="是",0.1,0)</f>
        <v>0</v>
      </c>
      <c r="M12" s="218" t="e">
        <f>IF(F12="防御",(N12/(1+L12+K12+J12+I12)/(((H12+G12)*1.2/资质数据!$C$42)+0.18)),(N12/(1+I12+J12+K12+L12)/(H12+G12)*VLOOKUP(F:F,资质数据!$B$37:$C$42,2)-B12*1.1)/1.2)</f>
        <v>#N/A</v>
      </c>
      <c r="N12" s="1" t="e">
        <f>VLOOKUP(F12,$F$3:$N$7,9)</f>
        <v>#N/A</v>
      </c>
      <c r="T12" t="s">
        <v>19</v>
      </c>
      <c r="U12">
        <v>0.8</v>
      </c>
    </row>
    <row r="13" ht="24.7" customHeight="1" spans="1:21">
      <c r="A13" s="1"/>
      <c r="B13" s="213"/>
      <c r="C13" s="2" t="s">
        <v>319</v>
      </c>
      <c r="D13" s="2" t="s">
        <v>320</v>
      </c>
      <c r="E13" s="2">
        <v>2</v>
      </c>
      <c r="F13" s="2" t="s">
        <v>22</v>
      </c>
      <c r="G13" s="1">
        <f>IF(F13="防御",($E$1-1),$E$1-1+$G$1*3/4)</f>
        <v>157</v>
      </c>
      <c r="H13" s="1" t="e">
        <f>INT(($G$1+IF($I$1&gt;=1,IF($I$1=2,(INT($E$1/5)*2+70)+198,(INT($E$1/5)*2+10)+198),($E$1-1)*2))/(VLOOKUP($F$12,$S$28:$T$32,2)+VLOOKUP($F$13,$S$28:$T$32,2)+VLOOKUP($F$14,$S$28:$T$32,2))*VLOOKUP(F13,$S$28:$T$32,2))</f>
        <v>#N/A</v>
      </c>
      <c r="I13" s="1">
        <f>SUMPRODUCT(($R$3:$R$7&lt;=E13)*$S$3:$W$7*(F13=$S$2:$W$2))</f>
        <v>0.46</v>
      </c>
      <c r="J13" s="1">
        <f>IF(C13="是",VLOOKUP(F13,$T$12:$U$16,2),0)</f>
        <v>0.4</v>
      </c>
      <c r="K13" s="1">
        <f>VLOOKUP(F13,$F$3:$K$7,6)</f>
        <v>0</v>
      </c>
      <c r="L13" s="1">
        <f>IF(D13="是",0.1,0)</f>
        <v>0</v>
      </c>
      <c r="M13" s="218" t="e">
        <f>IF(F13="防御",(N13/(1+L13+K13+J13+I13)/(((H13+G13)*1.2/资质数据!$C$42)+0.18)),(N13/(1+I13+J13+K13+L13)/(H13+G13)*VLOOKUP(F:F,资质数据!$B$37:$C$42,2)-B13*1.1)/1.2)</f>
        <v>#N/A</v>
      </c>
      <c r="N13" s="1">
        <f>VLOOKUP(F13,$F$3:$N$7,9)</f>
        <v>100000</v>
      </c>
      <c r="T13" t="s">
        <v>21</v>
      </c>
      <c r="U13">
        <v>0.6</v>
      </c>
    </row>
    <row r="14" ht="24.7" customHeight="1" spans="1:21">
      <c r="A14" s="1"/>
      <c r="B14" s="213"/>
      <c r="C14" s="2" t="s">
        <v>319</v>
      </c>
      <c r="D14" s="2" t="s">
        <v>319</v>
      </c>
      <c r="E14" s="2">
        <v>2</v>
      </c>
      <c r="F14" s="2" t="s">
        <v>23</v>
      </c>
      <c r="G14" s="1">
        <f>IF(F14="防御",($E$1-1),$E$1-1+$G$1*3/4)</f>
        <v>157</v>
      </c>
      <c r="H14" s="1" t="e">
        <f>$G$1+IF($I$1&gt;=1,IF($I$1=2,(INT($E$1/5)*2+70)+198,(INT($E$1/5)*2+10)+198),($E$1-1)*2)-H12-H13</f>
        <v>#N/A</v>
      </c>
      <c r="I14" s="1">
        <f>SUMPRODUCT(($R$3:$R$7&lt;=E14)*$S$3:$W$7*(F14=$S$2:$W$2))</f>
        <v>0.46</v>
      </c>
      <c r="J14" s="1" t="e">
        <f>IF(C14="是",VLOOKUP(F14,$T$12:$U$16,2),0)</f>
        <v>#N/A</v>
      </c>
      <c r="K14" s="1" t="e">
        <f>VLOOKUP(F14,$F$3:$K$7,6)</f>
        <v>#N/A</v>
      </c>
      <c r="L14" s="1">
        <f>IF(D14="是",0.1,0)</f>
        <v>0.1</v>
      </c>
      <c r="M14" s="218" t="e">
        <f>IF(F14="防御",(N14/(1+L14+K14+J14+I14)/(((H14+G14)*1.2/资质数据!$C$42)+0.18)),(N14/(1+I14+J14+K14+L14)/(H14+G14)*VLOOKUP(F:F,资质数据!$B$37:$C$42,2)-B14*1.1)/1.2)</f>
        <v>#N/A</v>
      </c>
      <c r="N14" s="1" t="e">
        <f>VLOOKUP(F14,$F$3:$N$7,9)</f>
        <v>#N/A</v>
      </c>
      <c r="T14" t="s">
        <v>22</v>
      </c>
      <c r="U14">
        <v>0.4</v>
      </c>
    </row>
    <row r="15" ht="39.4" customHeight="1" spans="1:21">
      <c r="A15" s="5"/>
      <c r="B15" s="12" t="s">
        <v>102</v>
      </c>
      <c r="C15" s="12" t="s">
        <v>310</v>
      </c>
      <c r="D15" s="12" t="s">
        <v>311</v>
      </c>
      <c r="E15" s="1" t="s">
        <v>312</v>
      </c>
      <c r="F15" s="1" t="s">
        <v>313</v>
      </c>
      <c r="G15" s="1" t="s">
        <v>314</v>
      </c>
      <c r="H15" s="1" t="s">
        <v>315</v>
      </c>
      <c r="I15" s="1" t="s">
        <v>94</v>
      </c>
      <c r="J15" s="1" t="s">
        <v>316</v>
      </c>
      <c r="K15" s="1" t="s">
        <v>74</v>
      </c>
      <c r="L15" s="1" t="s">
        <v>75</v>
      </c>
      <c r="M15" s="1" t="s">
        <v>103</v>
      </c>
      <c r="N15" s="1" t="s">
        <v>317</v>
      </c>
      <c r="T15" t="s">
        <v>23</v>
      </c>
      <c r="U15">
        <v>0.6</v>
      </c>
    </row>
    <row r="16" ht="24.7" customHeight="1" spans="1:21">
      <c r="A16" s="1" t="s">
        <v>323</v>
      </c>
      <c r="B16" s="213"/>
      <c r="C16" s="2" t="s">
        <v>319</v>
      </c>
      <c r="D16" s="2" t="s">
        <v>320</v>
      </c>
      <c r="E16" s="2">
        <v>2</v>
      </c>
      <c r="F16" s="2" t="s">
        <v>19</v>
      </c>
      <c r="G16" s="1">
        <f>IF(F16="防御",($E$1-1),$E$1-1+$G$1*3/4)</f>
        <v>157</v>
      </c>
      <c r="H16" s="1" t="e">
        <f>INT(($G$1+IF($I$1&gt;=1,IF($I$1=2,(INT($E$1/5)*2+70)+198,(INT($E$1/5)*2+10)+198),($E$1-1)*2))/(VLOOKUP($F$16,$S$28:$T$32,2)+VLOOKUP($F$17,$S$28:$T$32,2)+VLOOKUP($F$18,$S$28:$T$32,2)+VLOOKUP($F$19,$S$28:$T$32,2))*VLOOKUP(F16,$S$28:$T$32,2))</f>
        <v>#N/A</v>
      </c>
      <c r="I16" s="1">
        <f>SUMPRODUCT(($R$3:$R$7&lt;=E16)*$S$3:$W$7*(F16=$S$2:$W$2))</f>
        <v>0.42</v>
      </c>
      <c r="J16" s="1">
        <f>IF(C16="是",VLOOKUP(F16,$T$12:$U$16,2),0)</f>
        <v>0.8</v>
      </c>
      <c r="K16" s="1">
        <f>VLOOKUP(F16,$F$3:$K$7,6)</f>
        <v>0.1</v>
      </c>
      <c r="L16" s="1">
        <f>IF(D16="是",0.1,0)</f>
        <v>0</v>
      </c>
      <c r="M16" s="218" t="e">
        <f>IF(F16="防御",(N16/(1+L16+K16+J16+I16)/(((H16+G16)*1.2/资质数据!$C$42)+0.18)),(N16/(1+I16+J16+K16+L16)/(H16+G16)*VLOOKUP(F:F,资质数据!$B$37:$C$42,2)-B16*1.1)/1.2)</f>
        <v>#N/A</v>
      </c>
      <c r="N16" s="1">
        <f>VLOOKUP(F16,$F$3:$N$7,9)</f>
        <v>5000000</v>
      </c>
      <c r="T16" t="s">
        <v>26</v>
      </c>
      <c r="U16">
        <v>0</v>
      </c>
    </row>
    <row r="17" ht="24.7" customHeight="1" spans="1:14">
      <c r="A17" s="1"/>
      <c r="B17" s="213"/>
      <c r="C17" s="2" t="s">
        <v>320</v>
      </c>
      <c r="D17" s="2" t="s">
        <v>320</v>
      </c>
      <c r="E17" s="2">
        <v>0</v>
      </c>
      <c r="F17" s="2" t="s">
        <v>23</v>
      </c>
      <c r="G17" s="1">
        <f>IF(F17="防御",($E$1-1),$E$1-1+$G$1*3/4)</f>
        <v>157</v>
      </c>
      <c r="H17" s="1" t="e">
        <f>INT(($G$1+IF($I$1&gt;=1,IF($I$1=2,(INT($E$1/5)*2+70)+198,(INT($E$1/5)*2+10)+198),($E$1-1)*2))/(VLOOKUP($F$16,$S$28:$T$32,2)+VLOOKUP($F$17,$S$28:$T$32,2)+VLOOKUP($F$18,$S$28:$T$32,2)+VLOOKUP($F$19,$S$28:$T$32,2))*VLOOKUP(F17,$S$28:$T$32,2))</f>
        <v>#N/A</v>
      </c>
      <c r="I17" s="1">
        <f>SUMPRODUCT(($R$3:$R$7&lt;=E17)*$S$3:$W$7*(F17=$S$2:$W$2))</f>
        <v>0</v>
      </c>
      <c r="J17" s="1">
        <f>IF(C17="是",VLOOKUP(F17,$T$12:$U$16,2),0)</f>
        <v>0</v>
      </c>
      <c r="K17" s="1" t="e">
        <f>VLOOKUP(F17,$F$3:$K$7,6)</f>
        <v>#N/A</v>
      </c>
      <c r="L17" s="1">
        <f>IF(D17="是",0.1,0)</f>
        <v>0</v>
      </c>
      <c r="M17" s="218" t="e">
        <f>IF(F17="防御",(N17/(1+L17+K17+J17+I17)/(((H17+G17)*1.2/资质数据!$C$42)+0.18)),(N17/(1+I17+J17+K17+L17)/(H17+G17)*VLOOKUP(F:F,资质数据!$B$37:$C$42,2)-B17*1.1)/1.2)</f>
        <v>#N/A</v>
      </c>
      <c r="N17" s="1" t="e">
        <f>VLOOKUP(F17,$F$3:$N$7,9)</f>
        <v>#N/A</v>
      </c>
    </row>
    <row r="18" ht="24.7" customHeight="1" spans="1:14">
      <c r="A18" s="1"/>
      <c r="B18" s="213"/>
      <c r="C18" s="2" t="s">
        <v>319</v>
      </c>
      <c r="D18" s="2" t="s">
        <v>320</v>
      </c>
      <c r="E18" s="2">
        <v>1</v>
      </c>
      <c r="F18" s="2" t="s">
        <v>21</v>
      </c>
      <c r="G18" s="1">
        <f>IF(F18="防御",($E$1-1),$E$1-1+$G$1*3/4)</f>
        <v>157</v>
      </c>
      <c r="H18" s="1" t="e">
        <f>INT(($G$1+IF($I$1&gt;=1,IF($I$1=2,(INT($E$1/5)*2+70)+198,(INT($E$1/5)*2+10)+198),($E$1-1)*2))/(VLOOKUP($F$16,$S$28:$T$32,2)+VLOOKUP($F$17,$S$28:$T$32,2)+VLOOKUP($F$18,$S$28:$T$32,2)+VLOOKUP($F$19,$S$28:$T$32,2))*VLOOKUP(F18,$S$28:$T$32,2))</f>
        <v>#N/A</v>
      </c>
      <c r="I18" s="1">
        <f>SUMPRODUCT(($R$3:$R$7&lt;=E18)*$S$3:$W$7*(F18=$S$2:$W$2))</f>
        <v>0.26</v>
      </c>
      <c r="J18" s="1" t="e">
        <f>IF(C18="是",VLOOKUP(F18,$T$12:$U$16,2),0)</f>
        <v>#N/A</v>
      </c>
      <c r="K18" s="1" t="e">
        <f>VLOOKUP(F18,$F$3:$K$7,6)</f>
        <v>#N/A</v>
      </c>
      <c r="L18" s="1">
        <f>IF(D18="是",0.1,0)</f>
        <v>0</v>
      </c>
      <c r="M18" s="218" t="e">
        <f>IF(F18="防御",(N18/(1+L18+K18+J18+I18)/(((H18+G18)*1.2/资质数据!$C$42)+0.18)),(N18/(1+I18+J18+K18+L18)/(H18+G18)*VLOOKUP(F:F,资质数据!$B$37:$C$42,2)-B18*1.1)/1.2)</f>
        <v>#N/A</v>
      </c>
      <c r="N18" s="1" t="e">
        <f>VLOOKUP(F18,$F$3:$N$7,9)</f>
        <v>#N/A</v>
      </c>
    </row>
    <row r="19" ht="24.7" customHeight="1" spans="1:24">
      <c r="A19" s="1"/>
      <c r="B19" s="213"/>
      <c r="C19" s="2" t="s">
        <v>319</v>
      </c>
      <c r="D19" s="2" t="s">
        <v>319</v>
      </c>
      <c r="E19" s="2">
        <v>2</v>
      </c>
      <c r="F19" s="2" t="s">
        <v>26</v>
      </c>
      <c r="G19" s="1">
        <f>IF(F19="防御",($E$1-1),$E$1-1+$G$1*3/4)</f>
        <v>82</v>
      </c>
      <c r="H19" s="1" t="e">
        <f>INT(($G$1+IF($I$1&gt;=1,IF($I$1=2,(INT($E$1/5)*2+70)+198,(INT($E$1/5)*2+10)+198),($E$1-1)*2))/(VLOOKUP($F$16,$S$28:$T$32,2)+VLOOKUP($F$17,$S$28:$T$32,2)+VLOOKUP($F$18,$S$28:$T$32,2)+VLOOKUP($F$19,$S$28:$T$32,2))*VLOOKUP(F19,$S$28:$T$32,2))</f>
        <v>#N/A</v>
      </c>
      <c r="I19" s="1">
        <f>SUMPRODUCT(($R$3:$R$7&lt;=E19)*$S$3:$W$7*(F19=$S$2:$W$2))</f>
        <v>0.62</v>
      </c>
      <c r="J19" s="1" t="e">
        <f>IF(C19="是",VLOOKUP(F19,$T$12:$U$16,2),0)</f>
        <v>#N/A</v>
      </c>
      <c r="K19" s="1" t="e">
        <f>VLOOKUP(F19,$F$3:$K$7,6)</f>
        <v>#N/A</v>
      </c>
      <c r="L19" s="1">
        <f>IF(D19="是",0.1,0)</f>
        <v>0.1</v>
      </c>
      <c r="M19" s="218" t="e">
        <f>IF(F19="防御",(N19/(1+L19+K19+J19+I19)/(((H19+G19)*1.2/资质数据!$C$42)+0.18)),(N19/(1+I19+J19+K19+L19)/(H19+G19)*VLOOKUP(F:F,资质数据!$B$37:$C$42,2)-B19*1.1)/1.2)</f>
        <v>#N/A</v>
      </c>
      <c r="N19" s="1" t="e">
        <f>VLOOKUP(F19,$F$3:$N$7,9)</f>
        <v>#N/A</v>
      </c>
      <c r="T19" t="s">
        <v>19</v>
      </c>
      <c r="U19" t="s">
        <v>21</v>
      </c>
      <c r="V19" t="s">
        <v>22</v>
      </c>
      <c r="W19" t="s">
        <v>23</v>
      </c>
      <c r="X19" t="s">
        <v>26</v>
      </c>
    </row>
    <row r="20" ht="35.85" customHeight="1" spans="1:24">
      <c r="A20" s="5"/>
      <c r="B20" s="12" t="s">
        <v>102</v>
      </c>
      <c r="C20" s="12" t="s">
        <v>310</v>
      </c>
      <c r="D20" s="12" t="s">
        <v>311</v>
      </c>
      <c r="E20" s="1" t="s">
        <v>312</v>
      </c>
      <c r="F20" s="1" t="s">
        <v>313</v>
      </c>
      <c r="G20" s="1" t="s">
        <v>314</v>
      </c>
      <c r="H20" s="1" t="s">
        <v>315</v>
      </c>
      <c r="I20" s="1" t="s">
        <v>94</v>
      </c>
      <c r="J20" s="1" t="s">
        <v>316</v>
      </c>
      <c r="K20" s="1" t="s">
        <v>74</v>
      </c>
      <c r="L20" s="1" t="s">
        <v>75</v>
      </c>
      <c r="M20" s="1" t="s">
        <v>103</v>
      </c>
      <c r="N20" s="1" t="s">
        <v>317</v>
      </c>
      <c r="S20" t="s">
        <v>19</v>
      </c>
      <c r="T20">
        <v>2</v>
      </c>
      <c r="U20">
        <v>1.93</v>
      </c>
      <c r="V20">
        <v>1.43</v>
      </c>
      <c r="W20">
        <v>1.48</v>
      </c>
      <c r="X20">
        <v>3</v>
      </c>
    </row>
    <row r="21" ht="24.7" customHeight="1" spans="1:24">
      <c r="A21" s="1" t="s">
        <v>324</v>
      </c>
      <c r="B21" s="213">
        <v>1000</v>
      </c>
      <c r="C21" s="2" t="s">
        <v>319</v>
      </c>
      <c r="D21" s="2" t="s">
        <v>320</v>
      </c>
      <c r="E21" s="2">
        <v>0</v>
      </c>
      <c r="F21" s="217" t="s">
        <v>19</v>
      </c>
      <c r="G21" s="1">
        <f>IF(F21="防御",($E$1-1),$E$1-1+$G$1*3/4)</f>
        <v>157</v>
      </c>
      <c r="H21" s="1">
        <f>INT(($G$1+IF($I$1&gt;=1,IF($I$1=2,(INT($E$1/5)*2+70)+198,(INT($E$1/5)*2+10)+198),($E$1-1)*2))/SUM($C$26:$C$30)*VLOOKUP(F21,$S$28:$T$32,2))</f>
        <v>104</v>
      </c>
      <c r="I21" s="1">
        <f>SUMPRODUCT(($R$3:$R$7&lt;=E21)*$S$3:$W$7*(F21=$S$2:$W$2))</f>
        <v>0</v>
      </c>
      <c r="J21" s="1">
        <f>IF(C21="是",VLOOKUP(F21,$T$12:$U$16,2),0)</f>
        <v>0.8</v>
      </c>
      <c r="K21" s="1">
        <f>VLOOKUP(F21,$F$3:$K$7,6)</f>
        <v>0.1</v>
      </c>
      <c r="L21" s="1">
        <f>IF(D21="是",0.1,0)</f>
        <v>0</v>
      </c>
      <c r="M21" s="218">
        <f>IF(F21="防御",(N21/(1+L21+K21+J21+I21)/(((H21+G21)*1.2/资质数据!$C$42)+0.18)),(N21/(1+I21+J21+K21+L21)/(H21+G21)*VLOOKUP(F:F,资质数据!$B$37:$C$42,2)-B21*1.1)/1.2)</f>
        <v>2332971.21395443</v>
      </c>
      <c r="N21" s="1">
        <f>VLOOKUP(F21,$F$3:$N$7,9)</f>
        <v>5000000</v>
      </c>
      <c r="S21" t="s">
        <v>21</v>
      </c>
      <c r="T21">
        <v>2.07</v>
      </c>
      <c r="U21">
        <v>2</v>
      </c>
      <c r="V21">
        <v>1.74</v>
      </c>
      <c r="W21">
        <v>1.77</v>
      </c>
      <c r="X21">
        <v>4.22</v>
      </c>
    </row>
    <row r="22" ht="24.7" customHeight="1" spans="1:24">
      <c r="A22" s="1"/>
      <c r="B22" s="213">
        <v>1000</v>
      </c>
      <c r="C22" s="2" t="s">
        <v>319</v>
      </c>
      <c r="D22" s="2" t="s">
        <v>319</v>
      </c>
      <c r="E22" s="2">
        <v>0</v>
      </c>
      <c r="F22" s="217" t="s">
        <v>21</v>
      </c>
      <c r="G22" s="1">
        <f>IF(F22="防御",($E$1-1),$E$1-1+$G$1*3/4)</f>
        <v>157</v>
      </c>
      <c r="H22" s="1" t="e">
        <f>INT(($G$1+IF($I$1&gt;=1,IF($I$1=2,(INT($E$1/5)*2+70)+198,(INT($E$1/5)*2+10)+198),($E$1-1)*2))/SUM($C$26:$C$30)*VLOOKUP(F22,$S$28:$T$32,2))</f>
        <v>#N/A</v>
      </c>
      <c r="I22" s="1">
        <f>SUMPRODUCT(($R$3:$R$7&lt;=E22)*$S$3:$W$7*(F22=$S$2:$W$2))</f>
        <v>0</v>
      </c>
      <c r="J22" s="1" t="e">
        <f>IF(C22="是",VLOOKUP(F22,$T$12:$U$16,2),0)</f>
        <v>#N/A</v>
      </c>
      <c r="K22" s="1" t="e">
        <f>VLOOKUP(F22,$F$3:$K$7,6)</f>
        <v>#N/A</v>
      </c>
      <c r="L22" s="1">
        <f>IF(D22="是",0.1,0)</f>
        <v>0.1</v>
      </c>
      <c r="M22" s="218" t="e">
        <f>IF(F22="防御",(N22/(1+L22+K22+J22+I22)/(((H22+G22)*1.2/资质数据!$C$42)+0.18)),(N22/(1+I22+J22+K22+L22)/(H22+G22)*VLOOKUP(F:F,资质数据!$B$37:$C$42,2)-B22*1.1)/1.2)</f>
        <v>#N/A</v>
      </c>
      <c r="N22" s="1" t="e">
        <f>VLOOKUP(F22,$F$3:$N$7,9)</f>
        <v>#N/A</v>
      </c>
      <c r="S22" t="s">
        <v>22</v>
      </c>
      <c r="T22">
        <v>3.31</v>
      </c>
      <c r="U22">
        <v>2.35</v>
      </c>
      <c r="V22">
        <v>2</v>
      </c>
      <c r="W22">
        <v>1.97</v>
      </c>
      <c r="X22">
        <v>8.14</v>
      </c>
    </row>
    <row r="23" ht="24.7" customHeight="1" spans="1:24">
      <c r="A23" s="1"/>
      <c r="B23" s="213">
        <v>1000</v>
      </c>
      <c r="C23" s="2" t="s">
        <v>320</v>
      </c>
      <c r="D23" s="2" t="s">
        <v>320</v>
      </c>
      <c r="E23" s="2">
        <v>0</v>
      </c>
      <c r="F23" s="217" t="s">
        <v>22</v>
      </c>
      <c r="G23" s="1">
        <f>IF(F23="防御",($E$1-1),$E$1-1+$G$1*3/4)</f>
        <v>157</v>
      </c>
      <c r="H23" s="1">
        <f>INT(($G$1+IF($I$1&gt;=1,IF($I$1=2,(INT($E$1/5)*2+70)+198,(INT($E$1/5)*2+10)+198),($E$1-1)*2))/SUM($C$26:$C$30)*VLOOKUP(F23,$S$28:$T$32,2))</f>
        <v>27</v>
      </c>
      <c r="I23" s="1">
        <f>SUMPRODUCT(($R$3:$R$7&lt;=E23)*$S$3:$W$7*(F23=$S$2:$W$2))</f>
        <v>0</v>
      </c>
      <c r="J23" s="1">
        <f>IF(C23="是",VLOOKUP(F23,$T$12:$U$16,2),0)</f>
        <v>0</v>
      </c>
      <c r="K23" s="1">
        <f>VLOOKUP(F23,$F$3:$K$7,6)</f>
        <v>0</v>
      </c>
      <c r="L23" s="1">
        <f>IF(D23="是",0.1,0)</f>
        <v>0</v>
      </c>
      <c r="M23" s="218">
        <f>IF(F23="防御",(N23/(1+L23+K23+J23+I23)/(((H23+G23)*1.2/资质数据!$C$42)+0.18)),(N23/(1+I23+J23+K23+L23)/(H23+G23)*VLOOKUP(F:F,资质数据!$B$37:$C$42,2)-B23*1.1)/1.2)</f>
        <v>124884.963768116</v>
      </c>
      <c r="N23" s="1">
        <f>VLOOKUP(F23,$F$3:$N$7,9)</f>
        <v>100000</v>
      </c>
      <c r="S23" t="s">
        <v>23</v>
      </c>
      <c r="T23">
        <v>3.07</v>
      </c>
      <c r="U23">
        <v>2.3</v>
      </c>
      <c r="V23">
        <v>2.04</v>
      </c>
      <c r="W23">
        <v>2</v>
      </c>
      <c r="X23">
        <v>7.25</v>
      </c>
    </row>
    <row r="24" ht="24.7" customHeight="1" spans="1:24">
      <c r="A24" s="1"/>
      <c r="B24" s="213">
        <v>1000</v>
      </c>
      <c r="C24" s="2" t="s">
        <v>320</v>
      </c>
      <c r="D24" s="2" t="s">
        <v>320</v>
      </c>
      <c r="E24" s="2">
        <v>0</v>
      </c>
      <c r="F24" s="217" t="s">
        <v>23</v>
      </c>
      <c r="G24" s="1">
        <f>IF(F24="防御",($E$1-1),$E$1-1+$G$1*3/4)</f>
        <v>157</v>
      </c>
      <c r="H24" s="1" t="e">
        <f>INT(($G$1+IF($I$1&gt;=1,IF($I$1=2,(INT($E$1/5)*2+70)+198,(INT($E$1/5)*2+10)+198),($E$1-1)*2))/SUM($C$26:$C$30)*VLOOKUP(F24,$S$28:$T$32,2))</f>
        <v>#N/A</v>
      </c>
      <c r="I24" s="1">
        <f>SUMPRODUCT(($R$3:$R$7&lt;=E24)*$S$3:$W$7*(F24=$S$2:$W$2))</f>
        <v>0</v>
      </c>
      <c r="J24" s="1">
        <f>IF(C24="是",VLOOKUP(F24,$T$12:$U$16,2),0)</f>
        <v>0</v>
      </c>
      <c r="K24" s="1" t="e">
        <f>VLOOKUP(F24,$F$3:$K$7,6)</f>
        <v>#N/A</v>
      </c>
      <c r="L24" s="1">
        <f>IF(D24="是",0.1,0)</f>
        <v>0</v>
      </c>
      <c r="M24" s="218" t="e">
        <f>IF(F24="防御",(N24/(1+L24+K24+J24+I24)/(((H24+G24)*1.2/资质数据!$C$42)+0.18)),(N24/(1+I24+J24+K24+L24)/(H24+G24)*VLOOKUP(F:F,资质数据!$B$37:$C$42,2)-B24*1.1)/1.2)</f>
        <v>#N/A</v>
      </c>
      <c r="N24" s="1" t="e">
        <f>VLOOKUP(F24,$F$3:$N$7,9)</f>
        <v>#N/A</v>
      </c>
      <c r="S24" t="s">
        <v>26</v>
      </c>
      <c r="T24">
        <v>1.5</v>
      </c>
      <c r="U24">
        <v>1.31</v>
      </c>
      <c r="V24">
        <v>1.14</v>
      </c>
      <c r="W24">
        <v>1.16</v>
      </c>
      <c r="X24">
        <v>2</v>
      </c>
    </row>
    <row r="25" ht="24.7" customHeight="1" spans="1:14">
      <c r="A25" s="5"/>
      <c r="B25" s="214">
        <v>1000</v>
      </c>
      <c r="C25" s="215" t="s">
        <v>319</v>
      </c>
      <c r="D25" s="2" t="s">
        <v>320</v>
      </c>
      <c r="E25" s="2">
        <v>1</v>
      </c>
      <c r="F25" s="217" t="s">
        <v>26</v>
      </c>
      <c r="G25" s="1">
        <f>IF(F25="防御",($E$1-1),$E$1-1+$G$1*3/4)</f>
        <v>82</v>
      </c>
      <c r="H25" s="1" t="e">
        <f>$G$1+IF($I$1&gt;=1,IF($I$1=2,(INT($E$1/5)*2+70)+198,(INT($E$1/5)*2+10)+198),($E$1-1)*2)-H21-H22-H23-H24</f>
        <v>#N/A</v>
      </c>
      <c r="I25" s="1">
        <f>SUMPRODUCT(($R$3:$R$7&lt;=E25)*$S$3:$W$7*(F25=$S$2:$W$2))</f>
        <v>0.36</v>
      </c>
      <c r="J25" s="1" t="e">
        <f>IF(C25="是",VLOOKUP(F25,$T$12:$U$16,2),0)</f>
        <v>#N/A</v>
      </c>
      <c r="K25" s="1" t="e">
        <f>VLOOKUP(F25,$F$3:$K$7,6)</f>
        <v>#N/A</v>
      </c>
      <c r="L25" s="1">
        <f>IF(D25="是",0.1,0)</f>
        <v>0</v>
      </c>
      <c r="M25" s="218" t="e">
        <f>IF(F25="防御",(N25/(1+L25+K25+J25+I25)/(((H25+G25)*1.2/资质数据!$C$42)+0.18)),(N25/(1+I25+J25+K25+L25)/(H25+G25)*VLOOKUP(F:F,资质数据!$B$37:$C$42,2)-B25*1.1)/1.2)</f>
        <v>#N/A</v>
      </c>
      <c r="N25" s="1" t="e">
        <f>VLOOKUP(F25,$F$3:$N$7,9)</f>
        <v>#N/A</v>
      </c>
    </row>
    <row r="26" ht="30.25" customHeight="1" spans="1:3">
      <c r="A26" s="12" t="s">
        <v>325</v>
      </c>
      <c r="B26" s="1" t="s">
        <v>19</v>
      </c>
      <c r="C26" s="2">
        <v>180</v>
      </c>
    </row>
    <row r="27" ht="30.25" customHeight="1" spans="1:3">
      <c r="A27" s="12"/>
      <c r="B27" s="1" t="s">
        <v>21</v>
      </c>
      <c r="C27" s="2">
        <v>123</v>
      </c>
    </row>
    <row r="28" ht="30.25" customHeight="1" spans="1:20">
      <c r="A28" s="12"/>
      <c r="B28" s="1" t="s">
        <v>22</v>
      </c>
      <c r="C28" s="2">
        <v>47</v>
      </c>
      <c r="S28" s="1" t="s">
        <v>19</v>
      </c>
      <c r="T28" s="1">
        <f>C26</f>
        <v>180</v>
      </c>
    </row>
    <row r="29" ht="30.25" customHeight="1" spans="1:20">
      <c r="A29" s="12"/>
      <c r="B29" s="1" t="s">
        <v>23</v>
      </c>
      <c r="C29" s="2">
        <v>41</v>
      </c>
      <c r="S29" s="1" t="s">
        <v>21</v>
      </c>
      <c r="T29" s="1">
        <f>C27</f>
        <v>123</v>
      </c>
    </row>
    <row r="30" ht="30.25" customHeight="1" spans="1:20">
      <c r="A30" s="12"/>
      <c r="B30" s="1" t="s">
        <v>26</v>
      </c>
      <c r="C30" s="2">
        <v>297</v>
      </c>
      <c r="S30" s="1" t="s">
        <v>22</v>
      </c>
      <c r="T30" s="1">
        <f>C28</f>
        <v>47</v>
      </c>
    </row>
    <row r="31" spans="19:20">
      <c r="S31" s="1" t="s">
        <v>23</v>
      </c>
      <c r="T31" s="1">
        <f>C29</f>
        <v>41</v>
      </c>
    </row>
    <row r="32" spans="19:20">
      <c r="S32" s="1" t="s">
        <v>26</v>
      </c>
      <c r="T32" s="1">
        <f>C30</f>
        <v>297</v>
      </c>
    </row>
  </sheetData>
  <mergeCells count="8">
    <mergeCell ref="B1:D1"/>
    <mergeCell ref="R1:W1"/>
    <mergeCell ref="A3:A7"/>
    <mergeCell ref="A9:A10"/>
    <mergeCell ref="A12:A14"/>
    <mergeCell ref="A16:A19"/>
    <mergeCell ref="A21:A25"/>
    <mergeCell ref="A26:A30"/>
  </mergeCells>
  <dataValidations count="8">
    <dataValidation type="whole" operator="between" allowBlank="1" showInputMessage="1" showErrorMessage="1" sqref="E1">
      <formula1>1</formula1>
      <formula2>100</formula2>
    </dataValidation>
    <dataValidation type="whole" operator="between" allowBlank="1" showInputMessage="1" showErrorMessage="1" sqref="G1">
      <formula1>0</formula1>
      <formula2>100</formula2>
    </dataValidation>
    <dataValidation type="whole" operator="between" allowBlank="1" showInputMessage="1" showErrorMessage="1" sqref="I1">
      <formula1>0</formula1>
      <formula2>2</formula2>
    </dataValidation>
    <dataValidation type="list" allowBlank="1" showInputMessage="1" showErrorMessage="1" sqref="C12 D12 C13 D13 C14 D14 C16 D16 C17 D17 C18 D18 C19 D19 C21 D21 C22 D22 C23 D23 C24 D24 C25 D25 C3:C7 C9:C10 D3:D7 D9:D10">
      <formula1>"是,否"</formula1>
    </dataValidation>
    <dataValidation type="whole" operator="between" allowBlank="1" showInputMessage="1" showErrorMessage="1" sqref="E12 E13 E14 E16 E17 E18 E19 E21 E22 E23 E24 E25 E9:E10">
      <formula1>0</formula1>
      <formula2>5</formula2>
    </dataValidation>
    <dataValidation type="list" allowBlank="1" showInputMessage="1" showErrorMessage="1" sqref="F12 F13 F14 F16 F17 F18 F19 F9:F10">
      <formula1>"生命,攻击,速度,法力,防御"</formula1>
    </dataValidation>
    <dataValidation type="whole" operator="between" allowBlank="1" showInputMessage="1" showErrorMessage="1" sqref="C26:C30">
      <formula1>1</formula1>
      <formula2>408</formula2>
    </dataValidation>
    <dataValidation type="list" allowBlank="1" showInputMessage="1" showErrorMessage="1" sqref="E3:E7">
      <formula1>"1,2,3,4,5,0"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EBF02"/>
  </sheetPr>
  <dimension ref="A1:AH42"/>
  <sheetViews>
    <sheetView zoomScale="109" zoomScaleNormal="109" topLeftCell="A20" workbookViewId="0">
      <pane xSplit="1" topLeftCell="B1" activePane="topRight" state="frozen"/>
      <selection/>
      <selection pane="topRight" activeCell="L29" sqref="L29"/>
    </sheetView>
  </sheetViews>
  <sheetFormatPr defaultColWidth="10" defaultRowHeight="16.8"/>
  <cols>
    <col min="1" max="11" width="10.8461538461538" style="64" customWidth="1"/>
    <col min="12" max="14" width="11.3846153846154" style="64" customWidth="1"/>
    <col min="15" max="17" width="13.6057692307692" customWidth="1"/>
    <col min="18" max="18" width="10.2692307692308" customWidth="1"/>
    <col min="19" max="19" width="10" hidden="1" customWidth="1"/>
    <col min="20" max="23" width="5.36538461538461" hidden="1" customWidth="1"/>
    <col min="24" max="24" width="6.61538461538461" hidden="1" customWidth="1"/>
    <col min="25" max="29" width="5.36538461538461" hidden="1" customWidth="1"/>
    <col min="30" max="30" width="10.4519230769231" hidden="1" customWidth="1"/>
    <col min="31" max="33" width="10" hidden="1" customWidth="1"/>
    <col min="34" max="34" width="10.4519230769231" hidden="1" customWidth="1"/>
    <col min="35" max="38" width="10" customWidth="1"/>
  </cols>
  <sheetData>
    <row r="1" ht="33.75" customHeight="1"/>
    <row r="2" ht="33.75" customHeight="1" spans="1:11">
      <c r="A2" s="180" t="s">
        <v>102</v>
      </c>
      <c r="B2" s="181" t="s">
        <v>131</v>
      </c>
      <c r="C2" s="181" t="s">
        <v>133</v>
      </c>
      <c r="D2" s="182"/>
      <c r="E2" s="75"/>
      <c r="F2" s="75"/>
      <c r="G2" s="75"/>
      <c r="H2" s="75"/>
      <c r="I2" s="75"/>
      <c r="J2" s="75"/>
      <c r="K2" s="75"/>
    </row>
    <row r="3" ht="33.75" customHeight="1" spans="1:34">
      <c r="A3" s="121" t="s">
        <v>10</v>
      </c>
      <c r="B3" s="1">
        <v>2626</v>
      </c>
      <c r="C3" s="1">
        <v>3656</v>
      </c>
      <c r="D3" s="183"/>
      <c r="E3" s="75"/>
      <c r="F3" s="204" t="s">
        <v>326</v>
      </c>
      <c r="G3" s="204"/>
      <c r="H3" s="204"/>
      <c r="I3" s="204"/>
      <c r="J3" s="204"/>
      <c r="K3" s="204"/>
      <c r="L3" s="204"/>
      <c r="T3" t="str">
        <f>C21</f>
        <v>自定义2</v>
      </c>
      <c r="U3" t="str">
        <f>C22</f>
        <v>三合攻熊猫</v>
      </c>
      <c r="V3" t="str">
        <f>C23</f>
        <v>三合攻熊猫</v>
      </c>
      <c r="W3" t="str">
        <f>C24</f>
        <v>三合攻熊猫</v>
      </c>
      <c r="X3" t="str">
        <f>C25</f>
        <v>三合攻巨象</v>
      </c>
      <c r="Y3" t="str">
        <f>C26</f>
        <v>三合攻巨象</v>
      </c>
      <c r="Z3" t="str">
        <f>C27</f>
        <v>自定义2</v>
      </c>
      <c r="AA3" t="str">
        <f>C28</f>
        <v>自定义2</v>
      </c>
      <c r="AB3" t="str">
        <f>C29</f>
        <v>自定义2</v>
      </c>
      <c r="AC3" t="str">
        <f>C30</f>
        <v> </v>
      </c>
      <c r="AD3" t="s">
        <v>327</v>
      </c>
      <c r="AE3" t="s">
        <v>328</v>
      </c>
      <c r="AH3" t="s">
        <v>329</v>
      </c>
    </row>
    <row r="4" ht="33.75" customHeight="1" spans="1:34">
      <c r="A4" s="121" t="s">
        <v>12</v>
      </c>
      <c r="B4" s="1">
        <v>4333</v>
      </c>
      <c r="C4" s="1">
        <v>3383</v>
      </c>
      <c r="D4" s="183"/>
      <c r="E4" s="75"/>
      <c r="F4" s="204"/>
      <c r="G4" s="204"/>
      <c r="H4" s="204"/>
      <c r="I4" s="204"/>
      <c r="J4" s="204"/>
      <c r="K4" s="204"/>
      <c r="L4" s="204"/>
      <c r="S4" s="1" t="s">
        <v>10</v>
      </c>
      <c r="T4">
        <f>SUMPRODUCT(($A$9:$A$13=$S4)*$B$9:$Q$13*($B$8:$Q$8=T$3))</f>
        <v>2991</v>
      </c>
      <c r="U4">
        <f>SUMPRODUCT(($A$9:$A$13=$S4)*$B$9:$Q$13*($B$8:$Q$8=U$3))</f>
        <v>2056</v>
      </c>
      <c r="V4">
        <f>SUMPRODUCT(($A$9:$A$13=$S4)*$B$9:$Q$13*($B$8:$Q$8=V$3))</f>
        <v>2056</v>
      </c>
      <c r="W4">
        <f>SUMPRODUCT(($A$9:$A$13=$S4)*$B$9:$Q$13*($B$8:$Q$8=W$3))</f>
        <v>2056</v>
      </c>
      <c r="X4">
        <f>SUMPRODUCT(($A$9:$A$13=$S4)*$B$9:$Q$13*($B$8:$Q$8=X$3))</f>
        <v>2131</v>
      </c>
      <c r="Y4">
        <f>SUMPRODUCT(($A$9:$A$13=$S4)*$B$9:$Q$13*($B$8:$Q$8=Y$3))</f>
        <v>2131</v>
      </c>
      <c r="Z4">
        <f>SUMPRODUCT(($A$9:$A$13=$S4)*$B$9:$Q$13*($B$8:$Q$8=Z$3))</f>
        <v>2991</v>
      </c>
      <c r="AA4">
        <f>SUMPRODUCT(($A$9:$A$13=$S4)*$B$9:$Q$13*($B$8:$Q$8=AA$3))</f>
        <v>2991</v>
      </c>
      <c r="AB4">
        <f>SUMPRODUCT(($A$9:$A$13=$S4)*$B$9:$Q$13*($B$8:$Q$8=AB$3))</f>
        <v>2991</v>
      </c>
      <c r="AC4">
        <f>SUMPRODUCT(($A$9:$A$13=$S4)*$B$9:$Q$13*($B$8:$Q$8=AC$3))</f>
        <v>0</v>
      </c>
      <c r="AD4">
        <f>SUM(T4:AC4)</f>
        <v>22394</v>
      </c>
      <c r="AE4">
        <f>COUNTIF($D$21:$D$30,A15)</f>
        <v>4</v>
      </c>
      <c r="AF4">
        <f>B15</f>
        <v>2406</v>
      </c>
      <c r="AG4">
        <f>AE4*AF4</f>
        <v>9624</v>
      </c>
      <c r="AH4">
        <f>AD4+AG4</f>
        <v>32018</v>
      </c>
    </row>
    <row r="5" ht="33.75" customHeight="1" spans="1:34">
      <c r="A5" s="121" t="s">
        <v>13</v>
      </c>
      <c r="B5" s="1">
        <v>2645</v>
      </c>
      <c r="C5" s="1">
        <v>2166</v>
      </c>
      <c r="D5" s="183"/>
      <c r="E5" s="75"/>
      <c r="F5" s="204"/>
      <c r="G5" s="204"/>
      <c r="H5" s="204"/>
      <c r="I5" s="204"/>
      <c r="J5" s="204"/>
      <c r="K5" s="204"/>
      <c r="L5" s="204"/>
      <c r="S5" s="1" t="s">
        <v>12</v>
      </c>
      <c r="T5">
        <f>SUMPRODUCT(($A$9:$A$13=$S5)*$B$9:$Q$13*($B$8:$Q$8=T$3))</f>
        <v>3708</v>
      </c>
      <c r="U5">
        <f>SUMPRODUCT(($A$9:$A$13=$S5)*$B$9:$Q$13*($B$8:$Q$8=U$3))</f>
        <v>3555</v>
      </c>
      <c r="V5">
        <f>SUMPRODUCT(($A$9:$A$13=$S5)*$B$9:$Q$13*($B$8:$Q$8=V$3))</f>
        <v>3555</v>
      </c>
      <c r="W5">
        <f>SUMPRODUCT(($A$9:$A$13=$S5)*$B$9:$Q$13*($B$8:$Q$8=W$3))</f>
        <v>3555</v>
      </c>
      <c r="X5">
        <f>SUMPRODUCT(($A$9:$A$13=$S5)*$B$9:$Q$13*($B$8:$Q$8=X$3))</f>
        <v>3705</v>
      </c>
      <c r="Y5">
        <f>SUMPRODUCT(($A$9:$A$13=$S5)*$B$9:$Q$13*($B$8:$Q$8=Y$3))</f>
        <v>3705</v>
      </c>
      <c r="Z5">
        <f>SUMPRODUCT(($A$9:$A$13=$S5)*$B$9:$Q$13*($B$8:$Q$8=Z$3))</f>
        <v>3708</v>
      </c>
      <c r="AA5">
        <f>SUMPRODUCT(($A$9:$A$13=$S5)*$B$9:$Q$13*($B$8:$Q$8=AA$3))</f>
        <v>3708</v>
      </c>
      <c r="AB5">
        <f>SUMPRODUCT(($A$9:$A$13=$S5)*$B$9:$Q$13*($B$8:$Q$8=AB$3))</f>
        <v>3708</v>
      </c>
      <c r="AC5">
        <f>SUMPRODUCT(($A$9:$A$13=$S5)*$B$9:$Q$13*($B$8:$Q$8=AC$3))</f>
        <v>0</v>
      </c>
      <c r="AD5">
        <f>SUM(T5:AC5)</f>
        <v>32907</v>
      </c>
      <c r="AE5">
        <f>COUNTIF($D$21:$D$30,A16)</f>
        <v>0</v>
      </c>
      <c r="AF5">
        <f>B16</f>
        <v>3589</v>
      </c>
      <c r="AG5">
        <f>AE5*AF5</f>
        <v>0</v>
      </c>
      <c r="AH5">
        <f>AD5+AG5</f>
        <v>32907</v>
      </c>
    </row>
    <row r="6" ht="33.75" customHeight="1" spans="1:34">
      <c r="A6" s="121" t="s">
        <v>14</v>
      </c>
      <c r="B6" s="1">
        <v>2569</v>
      </c>
      <c r="C6" s="1">
        <v>1347</v>
      </c>
      <c r="D6" s="183"/>
      <c r="E6" s="75"/>
      <c r="F6" s="204"/>
      <c r="G6" s="204"/>
      <c r="H6" s="204"/>
      <c r="I6" s="204"/>
      <c r="J6" s="204"/>
      <c r="K6" s="204"/>
      <c r="L6" s="204"/>
      <c r="S6" s="1" t="s">
        <v>13</v>
      </c>
      <c r="T6">
        <f>SUMPRODUCT(($A$9:$A$13=$S6)*$B$9:$Q$13*($B$8:$Q$8=T$3))</f>
        <v>19173</v>
      </c>
      <c r="U6">
        <f>SUMPRODUCT(($A$9:$A$13=$S6)*$B$9:$Q$13*($B$8:$Q$8=U$3))</f>
        <v>11500</v>
      </c>
      <c r="V6">
        <f>SUMPRODUCT(($A$9:$A$13=$S6)*$B$9:$Q$13*($B$8:$Q$8=V$3))</f>
        <v>11500</v>
      </c>
      <c r="W6">
        <f>SUMPRODUCT(($A$9:$A$13=$S6)*$B$9:$Q$13*($B$8:$Q$8=W$3))</f>
        <v>11500</v>
      </c>
      <c r="X6">
        <f>SUMPRODUCT(($A$9:$A$13=$S6)*$B$9:$Q$13*($B$8:$Q$8=X$3))</f>
        <v>11354</v>
      </c>
      <c r="Y6">
        <f>SUMPRODUCT(($A$9:$A$13=$S6)*$B$9:$Q$13*($B$8:$Q$8=Y$3))</f>
        <v>11354</v>
      </c>
      <c r="Z6">
        <f>SUMPRODUCT(($A$9:$A$13=$S6)*$B$9:$Q$13*($B$8:$Q$8=Z$3))</f>
        <v>19173</v>
      </c>
      <c r="AA6">
        <f>SUMPRODUCT(($A$9:$A$13=$S6)*$B$9:$Q$13*($B$8:$Q$8=AA$3))</f>
        <v>19173</v>
      </c>
      <c r="AB6">
        <f>SUMPRODUCT(($A$9:$A$13=$S6)*$B$9:$Q$13*($B$8:$Q$8=AB$3))</f>
        <v>19173</v>
      </c>
      <c r="AC6">
        <f>SUMPRODUCT(($A$9:$A$13=$S6)*$B$9:$Q$13*($B$8:$Q$8=AC$3))</f>
        <v>0</v>
      </c>
      <c r="AD6">
        <f>SUM(T6:AC6)</f>
        <v>133900</v>
      </c>
      <c r="AE6">
        <f>COUNTIF($D$21:$D$30,A17)</f>
        <v>0</v>
      </c>
      <c r="AF6">
        <f>B17</f>
        <v>3042</v>
      </c>
      <c r="AG6">
        <f>AE6*AF6</f>
        <v>0</v>
      </c>
      <c r="AH6">
        <f>AD6+AG6</f>
        <v>133900</v>
      </c>
    </row>
    <row r="7" ht="33.75" customHeight="1" spans="1:34">
      <c r="A7" s="184" t="s">
        <v>15</v>
      </c>
      <c r="B7" s="185">
        <v>1352</v>
      </c>
      <c r="C7" s="185">
        <v>2977</v>
      </c>
      <c r="D7" s="186"/>
      <c r="E7" s="75"/>
      <c r="F7" s="75"/>
      <c r="G7" s="75"/>
      <c r="H7" s="75"/>
      <c r="I7" s="75"/>
      <c r="J7" s="75"/>
      <c r="K7" s="75"/>
      <c r="S7" s="1" t="s">
        <v>14</v>
      </c>
      <c r="T7">
        <f>SUMPRODUCT(($A$9:$A$13=$S7)*$B$9:$Q$13*($B$8:$Q$8=T$3))</f>
        <v>10687</v>
      </c>
      <c r="U7">
        <f>SUMPRODUCT(($A$9:$A$13=$S7)*$B$9:$Q$13*($B$8:$Q$8=U$3))</f>
        <v>7611</v>
      </c>
      <c r="V7">
        <f>SUMPRODUCT(($A$9:$A$13=$S7)*$B$9:$Q$13*($B$8:$Q$8=V$3))</f>
        <v>7611</v>
      </c>
      <c r="W7">
        <f>SUMPRODUCT(($A$9:$A$13=$S7)*$B$9:$Q$13*($B$8:$Q$8=W$3))</f>
        <v>7611</v>
      </c>
      <c r="X7">
        <f>SUMPRODUCT(($A$9:$A$13=$S7)*$B$9:$Q$13*($B$8:$Q$8=X$3))</f>
        <v>7763</v>
      </c>
      <c r="Y7">
        <f>SUMPRODUCT(($A$9:$A$13=$S7)*$B$9:$Q$13*($B$8:$Q$8=Y$3))</f>
        <v>7763</v>
      </c>
      <c r="Z7">
        <f>SUMPRODUCT(($A$9:$A$13=$S7)*$B$9:$Q$13*($B$8:$Q$8=Z$3))</f>
        <v>10687</v>
      </c>
      <c r="AA7">
        <f>SUMPRODUCT(($A$9:$A$13=$S7)*$B$9:$Q$13*($B$8:$Q$8=AA$3))</f>
        <v>10687</v>
      </c>
      <c r="AB7">
        <f>SUMPRODUCT(($A$9:$A$13=$S7)*$B$9:$Q$13*($B$8:$Q$8=AB$3))</f>
        <v>10687</v>
      </c>
      <c r="AC7">
        <f>SUMPRODUCT(($A$9:$A$13=$S7)*$B$9:$Q$13*($B$8:$Q$8=AC$3))</f>
        <v>0</v>
      </c>
      <c r="AD7">
        <f>SUM(T7:AC7)</f>
        <v>81107</v>
      </c>
      <c r="AE7">
        <f>COUNTIF($D$21:$D$30,A18)</f>
        <v>0</v>
      </c>
      <c r="AF7">
        <f>B18</f>
        <v>2365</v>
      </c>
      <c r="AG7">
        <f>AE7*AF7</f>
        <v>0</v>
      </c>
      <c r="AH7">
        <f>AD7+AG7</f>
        <v>81107</v>
      </c>
    </row>
    <row r="8" ht="33.75" customHeight="1" spans="1:34">
      <c r="A8" s="120" t="s">
        <v>330</v>
      </c>
      <c r="B8" s="187" t="s">
        <v>331</v>
      </c>
      <c r="C8" s="188" t="s">
        <v>332</v>
      </c>
      <c r="D8" s="188" t="s">
        <v>333</v>
      </c>
      <c r="E8" s="1" t="s">
        <v>334</v>
      </c>
      <c r="F8" s="1" t="s">
        <v>335</v>
      </c>
      <c r="G8" s="1" t="s">
        <v>336</v>
      </c>
      <c r="H8" s="1" t="s">
        <v>337</v>
      </c>
      <c r="I8" s="1" t="s">
        <v>338</v>
      </c>
      <c r="J8" s="1" t="s">
        <v>339</v>
      </c>
      <c r="K8" s="1" t="s">
        <v>340</v>
      </c>
      <c r="L8" s="201" t="s">
        <v>341</v>
      </c>
      <c r="M8" s="1" t="s">
        <v>342</v>
      </c>
      <c r="N8" s="1" t="s">
        <v>343</v>
      </c>
      <c r="O8" s="190" t="s">
        <v>344</v>
      </c>
      <c r="P8" s="209" t="s">
        <v>345</v>
      </c>
      <c r="Q8" s="209" t="s">
        <v>346</v>
      </c>
      <c r="S8" s="5" t="s">
        <v>15</v>
      </c>
      <c r="T8">
        <f>SUMPRODUCT(($A$9:$A$13=$S8)*$B$9:$Q$13*($B$8:$Q$8=T$3))</f>
        <v>3776</v>
      </c>
      <c r="U8">
        <f>SUMPRODUCT(($A$9:$A$13=$S8)*$B$9:$Q$13*($B$8:$Q$8=U$3))</f>
        <v>3011</v>
      </c>
      <c r="V8">
        <f>SUMPRODUCT(($A$9:$A$13=$S8)*$B$9:$Q$13*($B$8:$Q$8=V$3))</f>
        <v>3011</v>
      </c>
      <c r="W8">
        <f>SUMPRODUCT(($A$9:$A$13=$S8)*$B$9:$Q$13*($B$8:$Q$8=W$3))</f>
        <v>3011</v>
      </c>
      <c r="X8">
        <f>SUMPRODUCT(($A$9:$A$13=$S8)*$B$9:$Q$13*($B$8:$Q$8=X$3))</f>
        <v>2788</v>
      </c>
      <c r="Y8">
        <f>SUMPRODUCT(($A$9:$A$13=$S8)*$B$9:$Q$13*($B$8:$Q$8=Y$3))</f>
        <v>2788</v>
      </c>
      <c r="Z8">
        <f>SUMPRODUCT(($A$9:$A$13=$S8)*$B$9:$Q$13*($B$8:$Q$8=Z$3))</f>
        <v>3776</v>
      </c>
      <c r="AA8">
        <f>SUMPRODUCT(($A$9:$A$13=$S8)*$B$9:$Q$13*($B$8:$Q$8=AA$3))</f>
        <v>3776</v>
      </c>
      <c r="AB8">
        <f>SUMPRODUCT(($A$9:$A$13=$S8)*$B$9:$Q$13*($B$8:$Q$8=AB$3))</f>
        <v>3776</v>
      </c>
      <c r="AC8">
        <f>SUMPRODUCT(($A$9:$A$13=$S8)*$B$9:$Q$13*($B$8:$Q$8=AC$3))</f>
        <v>0</v>
      </c>
      <c r="AD8">
        <f>SUM(T8:AC8)</f>
        <v>29713</v>
      </c>
      <c r="AE8">
        <f>COUNTIF($D$21:$D$30,A19)</f>
        <v>1</v>
      </c>
      <c r="AF8">
        <f>B19</f>
        <v>2400</v>
      </c>
      <c r="AG8">
        <f>AE8*AF8</f>
        <v>2400</v>
      </c>
      <c r="AH8">
        <f>AD8+AG8</f>
        <v>32113</v>
      </c>
    </row>
    <row r="9" ht="33.75" customHeight="1" spans="1:18">
      <c r="A9" s="1" t="s">
        <v>10</v>
      </c>
      <c r="B9" s="189">
        <f>资质数据!C29</f>
        <v>2078</v>
      </c>
      <c r="C9" s="82">
        <f>资质数据!D29</f>
        <v>2154</v>
      </c>
      <c r="D9" s="82">
        <f>资质数据!C4</f>
        <v>2106</v>
      </c>
      <c r="E9" s="102">
        <f>资质数据!H18</f>
        <v>2046</v>
      </c>
      <c r="F9" s="102">
        <f>资质数据!C29</f>
        <v>2078</v>
      </c>
      <c r="G9" s="102">
        <f>资质数据!D29</f>
        <v>2154</v>
      </c>
      <c r="H9" s="102">
        <f>资质数据!C4</f>
        <v>2106</v>
      </c>
      <c r="I9" s="102">
        <f>资质数据!H18</f>
        <v>2046</v>
      </c>
      <c r="J9" s="102">
        <f>B3*1.1/2</f>
        <v>1444.3</v>
      </c>
      <c r="K9" s="102">
        <f>C3*1.1/2</f>
        <v>2010.8</v>
      </c>
      <c r="L9" s="206">
        <v>2123</v>
      </c>
      <c r="M9" s="208">
        <v>2131</v>
      </c>
      <c r="N9" s="210">
        <v>2056</v>
      </c>
      <c r="O9" s="211">
        <v>15871.4</v>
      </c>
      <c r="P9" s="202">
        <f>综合计算器!L14</f>
        <v>2991</v>
      </c>
      <c r="Q9" s="202">
        <f>综合计算器!L14</f>
        <v>2991</v>
      </c>
      <c r="R9" s="111"/>
    </row>
    <row r="10" ht="33.75" customHeight="1" spans="1:25">
      <c r="A10" s="1" t="s">
        <v>12</v>
      </c>
      <c r="B10" s="189">
        <f>资质数据!C30</f>
        <v>4088.33333333333</v>
      </c>
      <c r="C10" s="82">
        <f>资质数据!D30</f>
        <v>3866.77777777778</v>
      </c>
      <c r="D10" s="82">
        <f>资质数据!C5</f>
        <v>4563</v>
      </c>
      <c r="E10" s="102">
        <f>资质数据!H19</f>
        <v>5472</v>
      </c>
      <c r="F10" s="102">
        <f>资质数据!C30-资质数据!$K$20</f>
        <v>3661.33333333333</v>
      </c>
      <c r="G10" s="102">
        <f>资质数据!D30-资质数据!$K$20</f>
        <v>3439.77777777778</v>
      </c>
      <c r="H10" s="102">
        <f>资质数据!C5-资质数据!$K$20</f>
        <v>4136</v>
      </c>
      <c r="I10" s="102">
        <f>资质数据!H19-资质数据!$K$20</f>
        <v>5045</v>
      </c>
      <c r="J10" s="102">
        <f>B4*1.1/2</f>
        <v>2383.15</v>
      </c>
      <c r="K10" s="102">
        <f>C4*1.1/2</f>
        <v>1860.65</v>
      </c>
      <c r="L10" s="206">
        <v>2783</v>
      </c>
      <c r="M10" s="208">
        <v>3705</v>
      </c>
      <c r="N10" s="210">
        <v>3555</v>
      </c>
      <c r="O10" s="211">
        <v>10233.575</v>
      </c>
      <c r="P10" s="202">
        <f>综合计算器!L15</f>
        <v>3708</v>
      </c>
      <c r="Q10" s="202">
        <f>综合计算器!L15</f>
        <v>3708</v>
      </c>
      <c r="R10" s="111"/>
      <c r="V10" t="s">
        <v>347</v>
      </c>
      <c r="W10" t="str">
        <f>I21</f>
        <v>四合攻恶魔武士</v>
      </c>
      <c r="X10" t="s">
        <v>348</v>
      </c>
      <c r="Y10" t="str">
        <f>I21</f>
        <v>四合攻恶魔武士</v>
      </c>
    </row>
    <row r="11" ht="33.75" customHeight="1" spans="1:26">
      <c r="A11" s="1" t="s">
        <v>13</v>
      </c>
      <c r="B11" s="189">
        <f>资质数据!C31</f>
        <v>15895.6666666667</v>
      </c>
      <c r="C11" s="82">
        <f>资质数据!D31</f>
        <v>15872.5555555556</v>
      </c>
      <c r="D11" s="82">
        <f>资质数据!C6</f>
        <v>15708</v>
      </c>
      <c r="E11" s="102">
        <f>资质数据!H20</f>
        <v>15250</v>
      </c>
      <c r="F11" s="102">
        <f>资质数据!C31+资质数据!$K$21</f>
        <v>18749.6666666667</v>
      </c>
      <c r="G11" s="102">
        <f>资质数据!D31+资质数据!$K$21</f>
        <v>18726.5555555556</v>
      </c>
      <c r="H11" s="102">
        <f>资质数据!C6+资质数据!$K$21</f>
        <v>18562</v>
      </c>
      <c r="I11" s="102">
        <f>资质数据!H20+资质数据!$K$21</f>
        <v>18104</v>
      </c>
      <c r="J11" s="102">
        <f>B5*1.1/2</f>
        <v>1454.75</v>
      </c>
      <c r="K11" s="102">
        <f>C5*1.1/2</f>
        <v>1191.3</v>
      </c>
      <c r="L11" s="206">
        <v>7979</v>
      </c>
      <c r="M11" s="208">
        <v>11354</v>
      </c>
      <c r="N11" s="210">
        <v>11500</v>
      </c>
      <c r="O11" s="211">
        <v>6552.15</v>
      </c>
      <c r="P11" s="202">
        <f>综合计算器!L16</f>
        <v>19173</v>
      </c>
      <c r="Q11" s="202">
        <f>综合计算器!L16</f>
        <v>19173</v>
      </c>
      <c r="R11" s="111"/>
      <c r="V11" s="1" t="s">
        <v>10</v>
      </c>
      <c r="W11">
        <f>SUMPRODUCT(($A$9:$A$13=V11)*$B$9:$P$13*($B$8:$P$8=$W$10))</f>
        <v>2046</v>
      </c>
      <c r="X11">
        <f>AH4</f>
        <v>32018</v>
      </c>
      <c r="Y11">
        <f>SUMPRODUCT(($A$9:$A$13=$V11)*$L$9:$Q$13*($L$8:$Q$8=Y$10))*1.1/2</f>
        <v>0</v>
      </c>
      <c r="Z11">
        <f>X11/2+Y11+W11</f>
        <v>18055</v>
      </c>
    </row>
    <row r="12" ht="33.75" customHeight="1" spans="1:26">
      <c r="A12" s="1" t="s">
        <v>14</v>
      </c>
      <c r="B12" s="189">
        <f>资质数据!C32</f>
        <v>10837.3333333333</v>
      </c>
      <c r="C12" s="82">
        <f>资质数据!D32</f>
        <v>11007.1111111111</v>
      </c>
      <c r="D12" s="102">
        <f>资质数据!C7</f>
        <v>10527</v>
      </c>
      <c r="E12" s="191">
        <f>资质数据!H21</f>
        <v>11138</v>
      </c>
      <c r="F12" s="191">
        <f>资质数据!C32</f>
        <v>10837.3333333333</v>
      </c>
      <c r="G12" s="191">
        <f>资质数据!D32</f>
        <v>11007.1111111111</v>
      </c>
      <c r="H12" s="191">
        <f>资质数据!C7</f>
        <v>10527</v>
      </c>
      <c r="I12" s="191">
        <f>资质数据!H21</f>
        <v>11138</v>
      </c>
      <c r="J12" s="207">
        <f>B6*1.1/2</f>
        <v>1412.95</v>
      </c>
      <c r="K12" s="207">
        <f>C6*1.1/2</f>
        <v>740.85</v>
      </c>
      <c r="L12" s="208">
        <v>5291</v>
      </c>
      <c r="M12" s="208">
        <v>7763</v>
      </c>
      <c r="N12" s="210">
        <v>7611</v>
      </c>
      <c r="O12" s="211">
        <v>4074.675</v>
      </c>
      <c r="P12" s="202">
        <f>综合计算器!L17</f>
        <v>10687</v>
      </c>
      <c r="Q12" s="202">
        <f>综合计算器!L17</f>
        <v>10687</v>
      </c>
      <c r="R12" s="111"/>
      <c r="V12" s="1" t="s">
        <v>12</v>
      </c>
      <c r="W12">
        <f>SUMPRODUCT(($A$9:$A$13=V12)*$B$9:$P$13*($B$8:$P$8=$W$10))</f>
        <v>5472</v>
      </c>
      <c r="X12">
        <f>AH5</f>
        <v>32907</v>
      </c>
      <c r="Y12">
        <f>SUMPRODUCT(($A$9:$A$13=$V12)*$L$9:$Q$13*($L$8:$Q$8=Y$10))*1.1/2</f>
        <v>0</v>
      </c>
      <c r="Z12">
        <f>X12/2+Y12+W12</f>
        <v>21925.5</v>
      </c>
    </row>
    <row r="13" ht="33.75" customHeight="1" spans="1:26">
      <c r="A13" s="5" t="s">
        <v>15</v>
      </c>
      <c r="B13" s="190">
        <f>资质数据!C33</f>
        <v>2686</v>
      </c>
      <c r="C13" s="102">
        <f>资质数据!D33</f>
        <v>2686</v>
      </c>
      <c r="D13" s="191">
        <f>资质数据!C8</f>
        <v>2686</v>
      </c>
      <c r="E13" s="191">
        <f>资质数据!H22</f>
        <v>2777</v>
      </c>
      <c r="F13" s="102">
        <f>资质数据!C33</f>
        <v>2686</v>
      </c>
      <c r="G13" s="102">
        <f>资质数据!D33</f>
        <v>2686</v>
      </c>
      <c r="H13" s="102">
        <f>资质数据!C8</f>
        <v>2686</v>
      </c>
      <c r="I13" s="102">
        <f>资质数据!H22</f>
        <v>2777</v>
      </c>
      <c r="J13" s="207">
        <f>B7*1.1/2</f>
        <v>743.6</v>
      </c>
      <c r="K13" s="82">
        <f>C7*1.1/2</f>
        <v>1637.35</v>
      </c>
      <c r="L13" s="208">
        <v>2186</v>
      </c>
      <c r="M13" s="208">
        <v>2788</v>
      </c>
      <c r="N13" s="210">
        <v>3011</v>
      </c>
      <c r="O13" s="211">
        <v>15005.425</v>
      </c>
      <c r="P13" s="202">
        <f>综合计算器!L18</f>
        <v>3776</v>
      </c>
      <c r="Q13" s="202">
        <f>综合计算器!L18</f>
        <v>3776</v>
      </c>
      <c r="R13" s="111"/>
      <c r="V13" s="1" t="s">
        <v>13</v>
      </c>
      <c r="W13">
        <f>SUMPRODUCT(($A$9:$A$13=V13)*$B$9:$P$13*($B$8:$P$8=$W$10))</f>
        <v>15250</v>
      </c>
      <c r="X13">
        <f>AH6</f>
        <v>133900</v>
      </c>
      <c r="Y13">
        <f>SUMPRODUCT(($A$9:$A$13=$V13)*$L$9:$Q$13*($L$8:$Q$8=Y$10))*1.1/2</f>
        <v>0</v>
      </c>
      <c r="Z13">
        <f>X13/2+Y13+W13</f>
        <v>82200</v>
      </c>
    </row>
    <row r="14" ht="33.75" customHeight="1" spans="1:26">
      <c r="A14" s="192" t="s">
        <v>349</v>
      </c>
      <c r="B14" s="193" t="s">
        <v>350</v>
      </c>
      <c r="D14" s="75"/>
      <c r="O14" s="205"/>
      <c r="P14" s="205"/>
      <c r="Q14" s="205"/>
      <c r="V14" s="1" t="s">
        <v>14</v>
      </c>
      <c r="W14">
        <f>SUMPRODUCT(($A$9:$A$13=V14)*$B$9:$P$13*($B$8:$P$8=$W$10))</f>
        <v>11138</v>
      </c>
      <c r="X14">
        <f>AH7</f>
        <v>81107</v>
      </c>
      <c r="Y14">
        <f>SUMPRODUCT(($A$9:$A$13=$V14)*$L$9:$Q$13*($L$8:$Q$8=Y$10))*1.1/2</f>
        <v>0</v>
      </c>
      <c r="Z14">
        <f>X14/2+Y14+W14</f>
        <v>51691.5</v>
      </c>
    </row>
    <row r="15" ht="33.75" customHeight="1" spans="1:26">
      <c r="A15" s="194" t="s">
        <v>19</v>
      </c>
      <c r="B15" s="195">
        <f>资质数据!C11</f>
        <v>2406</v>
      </c>
      <c r="D15" s="196" t="s">
        <v>351</v>
      </c>
      <c r="E15" s="197"/>
      <c r="F15" s="197"/>
      <c r="G15" s="197"/>
      <c r="H15" s="197"/>
      <c r="I15" s="197"/>
      <c r="J15" s="197"/>
      <c r="L15" s="1" t="s">
        <v>352</v>
      </c>
      <c r="M15" s="1" t="s">
        <v>353</v>
      </c>
      <c r="N15" s="1" t="s">
        <v>85</v>
      </c>
      <c r="O15" s="1" t="s">
        <v>354</v>
      </c>
      <c r="V15" s="5" t="s">
        <v>15</v>
      </c>
      <c r="W15">
        <f>SUMPRODUCT(($A$9:$A$13=V15)*$B$9:$P$13*($B$8:$P$8=$W$10))</f>
        <v>2777</v>
      </c>
      <c r="X15">
        <f>AH8</f>
        <v>32113</v>
      </c>
      <c r="Y15">
        <f>SUMPRODUCT(($A$9:$A$13=$V15)*$L$9:$Q$13*($L$8:$Q$8=Y$10))*1.1/2</f>
        <v>0</v>
      </c>
      <c r="Z15">
        <f>X15/2+Y15+W15</f>
        <v>18833.5</v>
      </c>
    </row>
    <row r="16" ht="33.75" customHeight="1" spans="1:17">
      <c r="A16" s="194" t="s">
        <v>21</v>
      </c>
      <c r="B16" s="195">
        <f>资质数据!C12</f>
        <v>3589</v>
      </c>
      <c r="D16" s="197"/>
      <c r="E16" s="197"/>
      <c r="F16" s="197"/>
      <c r="G16" s="197"/>
      <c r="H16" s="197"/>
      <c r="I16" s="197"/>
      <c r="J16" s="197"/>
      <c r="L16" s="1" t="s">
        <v>10</v>
      </c>
      <c r="M16" s="2">
        <v>1683</v>
      </c>
      <c r="N16" s="2">
        <v>63859</v>
      </c>
      <c r="O16" s="102">
        <f>N16/2+M16*1.1/2</f>
        <v>32855.15</v>
      </c>
      <c r="Q16" s="44"/>
    </row>
    <row r="17" ht="33.75" customHeight="1" spans="1:17">
      <c r="A17" s="194" t="s">
        <v>22</v>
      </c>
      <c r="B17" s="195">
        <f>资质数据!C13</f>
        <v>3042</v>
      </c>
      <c r="D17" s="197"/>
      <c r="E17" s="197"/>
      <c r="F17" s="197"/>
      <c r="G17" s="197"/>
      <c r="H17" s="197"/>
      <c r="I17" s="197"/>
      <c r="J17" s="197"/>
      <c r="L17" s="1" t="s">
        <v>12</v>
      </c>
      <c r="M17" s="2">
        <v>647</v>
      </c>
      <c r="N17" s="2">
        <v>50025</v>
      </c>
      <c r="O17" s="102">
        <f>N17/2+M17*1.1/2</f>
        <v>25368.35</v>
      </c>
      <c r="Q17" s="44"/>
    </row>
    <row r="18" ht="33.75" customHeight="1" spans="1:17">
      <c r="A18" s="194" t="s">
        <v>23</v>
      </c>
      <c r="B18" s="195">
        <f>430*11/2</f>
        <v>2365</v>
      </c>
      <c r="D18" s="197"/>
      <c r="E18" s="197"/>
      <c r="F18" s="197"/>
      <c r="G18" s="197"/>
      <c r="H18" s="197"/>
      <c r="I18" s="197"/>
      <c r="J18" s="197"/>
      <c r="L18" s="1" t="s">
        <v>13</v>
      </c>
      <c r="M18" s="2">
        <v>895</v>
      </c>
      <c r="N18" s="2">
        <v>139333</v>
      </c>
      <c r="O18" s="102">
        <f>N18/2+M18*1.1/2</f>
        <v>70158.75</v>
      </c>
      <c r="Q18" s="44"/>
    </row>
    <row r="19" ht="33.75" customHeight="1" spans="1:17">
      <c r="A19" s="198" t="s">
        <v>26</v>
      </c>
      <c r="B19" s="199">
        <f>资质数据!C15</f>
        <v>2400</v>
      </c>
      <c r="L19" s="1" t="s">
        <v>14</v>
      </c>
      <c r="M19" s="2">
        <v>2000</v>
      </c>
      <c r="N19" s="2">
        <v>81166</v>
      </c>
      <c r="O19" s="102">
        <f>N19/2+M19*1.1/2</f>
        <v>41683</v>
      </c>
      <c r="Q19" s="44"/>
    </row>
    <row r="20" ht="33.75" customHeight="1" spans="1:17">
      <c r="A20" s="200" t="s">
        <v>355</v>
      </c>
      <c r="B20" s="187" t="s">
        <v>356</v>
      </c>
      <c r="C20" s="1" t="s">
        <v>357</v>
      </c>
      <c r="D20" s="9" t="s">
        <v>358</v>
      </c>
      <c r="E20" s="1" t="s">
        <v>359</v>
      </c>
      <c r="F20" s="1"/>
      <c r="G20" s="9"/>
      <c r="H20" s="1" t="s">
        <v>360</v>
      </c>
      <c r="I20" s="1"/>
      <c r="J20" s="1"/>
      <c r="L20" s="1" t="s">
        <v>15</v>
      </c>
      <c r="M20" s="2">
        <v>1230</v>
      </c>
      <c r="N20" s="2">
        <v>65158</v>
      </c>
      <c r="O20" s="102">
        <f>N20/2+M20*1.1/2</f>
        <v>33255.5</v>
      </c>
      <c r="Q20" s="44"/>
    </row>
    <row r="21" ht="33.75" customHeight="1" spans="1:10">
      <c r="A21" s="200"/>
      <c r="B21" s="201" t="s">
        <v>361</v>
      </c>
      <c r="C21" s="202" t="s">
        <v>345</v>
      </c>
      <c r="D21" s="203" t="s">
        <v>362</v>
      </c>
      <c r="E21" s="1" t="s">
        <v>10</v>
      </c>
      <c r="F21" s="102">
        <f>AH4</f>
        <v>32018</v>
      </c>
      <c r="G21" s="82"/>
      <c r="H21" s="1" t="s">
        <v>363</v>
      </c>
      <c r="I21" s="2" t="s">
        <v>334</v>
      </c>
      <c r="J21" s="2"/>
    </row>
    <row r="22" ht="33.75" customHeight="1" spans="1:10">
      <c r="A22" s="200"/>
      <c r="B22" s="201" t="s">
        <v>364</v>
      </c>
      <c r="C22" s="202" t="s">
        <v>343</v>
      </c>
      <c r="D22" s="203" t="s">
        <v>19</v>
      </c>
      <c r="E22" s="1" t="s">
        <v>12</v>
      </c>
      <c r="F22" s="102">
        <f>AH5</f>
        <v>32907</v>
      </c>
      <c r="G22" s="82"/>
      <c r="H22" s="1" t="s">
        <v>365</v>
      </c>
      <c r="I22" s="1"/>
      <c r="J22" s="1"/>
    </row>
    <row r="23" ht="33.75" customHeight="1" spans="1:14">
      <c r="A23" s="200"/>
      <c r="B23" s="201" t="s">
        <v>366</v>
      </c>
      <c r="C23" s="202" t="s">
        <v>343</v>
      </c>
      <c r="D23" s="203" t="s">
        <v>19</v>
      </c>
      <c r="E23" s="1" t="s">
        <v>13</v>
      </c>
      <c r="F23" s="102">
        <f>AH6</f>
        <v>133900</v>
      </c>
      <c r="G23" s="82"/>
      <c r="H23" s="1" t="s">
        <v>10</v>
      </c>
      <c r="I23" s="102">
        <f>Z11</f>
        <v>18055</v>
      </c>
      <c r="J23" s="102"/>
      <c r="M23" s="205"/>
      <c r="N23" s="205"/>
    </row>
    <row r="24" ht="33.75" customHeight="1" spans="1:14">
      <c r="A24" s="200"/>
      <c r="B24" s="201" t="s">
        <v>367</v>
      </c>
      <c r="C24" s="202" t="s">
        <v>343</v>
      </c>
      <c r="D24" s="203" t="s">
        <v>19</v>
      </c>
      <c r="E24" s="1" t="s">
        <v>14</v>
      </c>
      <c r="F24" s="102">
        <f>AH7</f>
        <v>81107</v>
      </c>
      <c r="G24" s="82"/>
      <c r="H24" s="1" t="s">
        <v>12</v>
      </c>
      <c r="I24" s="102">
        <f>Z12</f>
        <v>21925.5</v>
      </c>
      <c r="J24" s="102"/>
      <c r="M24" s="205"/>
      <c r="N24" s="205"/>
    </row>
    <row r="25" ht="33.75" customHeight="1" spans="1:14">
      <c r="A25" s="200"/>
      <c r="B25" s="201" t="s">
        <v>368</v>
      </c>
      <c r="C25" s="202" t="s">
        <v>342</v>
      </c>
      <c r="D25" s="203" t="s">
        <v>19</v>
      </c>
      <c r="E25" s="1" t="s">
        <v>15</v>
      </c>
      <c r="F25" s="102">
        <f>AH8</f>
        <v>32113</v>
      </c>
      <c r="G25" s="82"/>
      <c r="H25" s="1" t="s">
        <v>13</v>
      </c>
      <c r="I25" s="102">
        <f>Z13</f>
        <v>82200</v>
      </c>
      <c r="J25" s="102"/>
      <c r="M25" s="205"/>
      <c r="N25" s="205"/>
    </row>
    <row r="26" ht="33.75" customHeight="1" spans="1:14">
      <c r="A26" s="200"/>
      <c r="B26" s="201" t="s">
        <v>369</v>
      </c>
      <c r="C26" s="202" t="s">
        <v>342</v>
      </c>
      <c r="D26" s="203" t="s">
        <v>26</v>
      </c>
      <c r="H26" s="1" t="s">
        <v>14</v>
      </c>
      <c r="I26" s="102">
        <f>Z14</f>
        <v>51691.5</v>
      </c>
      <c r="J26" s="102"/>
      <c r="M26" s="205"/>
      <c r="N26" s="205"/>
    </row>
    <row r="27" ht="33.75" customHeight="1" spans="1:14">
      <c r="A27" s="200"/>
      <c r="B27" s="201" t="s">
        <v>370</v>
      </c>
      <c r="C27" s="202" t="s">
        <v>345</v>
      </c>
      <c r="D27" s="203" t="s">
        <v>362</v>
      </c>
      <c r="H27" s="1" t="s">
        <v>15</v>
      </c>
      <c r="I27" s="102">
        <f>Z15</f>
        <v>18833.5</v>
      </c>
      <c r="J27" s="102"/>
      <c r="M27" s="205"/>
      <c r="N27" s="205"/>
    </row>
    <row r="28" ht="33.75" customHeight="1" spans="1:4">
      <c r="A28" s="200"/>
      <c r="B28" s="201" t="s">
        <v>371</v>
      </c>
      <c r="C28" s="202" t="s">
        <v>345</v>
      </c>
      <c r="D28" s="203" t="s">
        <v>362</v>
      </c>
    </row>
    <row r="29" ht="33.75" customHeight="1" spans="1:4">
      <c r="A29" s="200"/>
      <c r="B29" s="201" t="s">
        <v>372</v>
      </c>
      <c r="C29" s="202" t="s">
        <v>345</v>
      </c>
      <c r="D29" s="203" t="s">
        <v>362</v>
      </c>
    </row>
    <row r="30" ht="33.75" customHeight="1" spans="1:4">
      <c r="A30" s="200"/>
      <c r="B30" s="201" t="s">
        <v>373</v>
      </c>
      <c r="C30" s="2" t="s">
        <v>362</v>
      </c>
      <c r="D30" s="2" t="s">
        <v>362</v>
      </c>
    </row>
    <row r="31" ht="30.25" customHeight="1"/>
    <row r="33" spans="5:5">
      <c r="E33" s="205"/>
    </row>
    <row r="34" spans="5:5">
      <c r="E34" s="205"/>
    </row>
    <row r="35" spans="5:6">
      <c r="E35" s="205"/>
      <c r="F35" s="205"/>
    </row>
    <row r="36" spans="5:6">
      <c r="E36" s="205"/>
      <c r="F36" s="205"/>
    </row>
    <row r="37" spans="5:6">
      <c r="E37" s="205"/>
      <c r="F37" s="205"/>
    </row>
    <row r="38" spans="5:7">
      <c r="E38" s="205"/>
      <c r="F38" s="205"/>
      <c r="G38" s="205"/>
    </row>
    <row r="39" spans="5:7">
      <c r="E39" s="205"/>
      <c r="F39" s="205"/>
      <c r="G39" s="205"/>
    </row>
    <row r="40" spans="6:7">
      <c r="F40" s="205"/>
      <c r="G40" s="205"/>
    </row>
    <row r="41" spans="6:7">
      <c r="F41" s="205"/>
      <c r="G41" s="205"/>
    </row>
    <row r="42" spans="6:7">
      <c r="F42" s="205"/>
      <c r="G42" s="205"/>
    </row>
  </sheetData>
  <mergeCells count="17">
    <mergeCell ref="E20:G20"/>
    <mergeCell ref="H20:J20"/>
    <mergeCell ref="F21:G21"/>
    <mergeCell ref="I21:J21"/>
    <mergeCell ref="F22:G22"/>
    <mergeCell ref="H22:J22"/>
    <mergeCell ref="F23:G23"/>
    <mergeCell ref="I23:J23"/>
    <mergeCell ref="F24:G24"/>
    <mergeCell ref="I24:J24"/>
    <mergeCell ref="F25:G25"/>
    <mergeCell ref="I25:J25"/>
    <mergeCell ref="I26:J26"/>
    <mergeCell ref="I27:J27"/>
    <mergeCell ref="A20:A30"/>
    <mergeCell ref="F3:L6"/>
    <mergeCell ref="D15:J18"/>
  </mergeCells>
  <dataValidations count="3">
    <dataValidation type="list" allowBlank="1" showInputMessage="1" showErrorMessage="1" sqref="C21 C22 C23 C24 C25 C26 C27 C28 C29 C30">
      <formula1>"四合攻a类,四合攻b类,四合攻深渊领主,四合攻恶魔武士,四合速a类,四合速b类,四合速深渊领主,四合速恶魔武士,硬提八四光年,硬提熊猫武圣,自定义1,自定义2, ,二合攻树骑,三合攻熊猫,三合攻巨象"</formula1>
    </dataValidation>
    <dataValidation type="list" allowBlank="1" showInputMessage="1" showErrorMessage="1" sqref="D21 D22 D23 D24 D25 D26 D27 D28 D29 D30">
      <formula1>"生命,攻击,速度,法力,防御, "</formula1>
    </dataValidation>
    <dataValidation type="list" allowBlank="1" showInputMessage="1" showErrorMessage="1" sqref="I21:J21">
      <formula1>"四合攻a类,四合攻b类,四合攻深渊领主,四合攻恶魔武士,四合速a类,四合速b类,四合速深渊领主,四合速恶魔武士,硬提八四光年,硬提熊猫武圣,自定义3"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E0201"/>
  </sheetPr>
  <dimension ref="B1:BE108"/>
  <sheetViews>
    <sheetView zoomScale="55" zoomScaleNormal="55" topLeftCell="AD60" workbookViewId="0">
      <selection activeCell="AN38" sqref="AN38"/>
    </sheetView>
  </sheetViews>
  <sheetFormatPr defaultColWidth="10" defaultRowHeight="16.8"/>
  <cols>
    <col min="1" max="1" width="10" customWidth="1"/>
    <col min="2" max="2" width="19.3653846153846" customWidth="1"/>
    <col min="3" max="4" width="10" customWidth="1"/>
    <col min="5" max="5" width="16.2692307692308" customWidth="1"/>
    <col min="6" max="6" width="13.6923076923077" customWidth="1"/>
    <col min="7" max="7" width="19.3653846153846" customWidth="1"/>
    <col min="8" max="9" width="10" customWidth="1"/>
    <col min="10" max="10" width="16.2692307692308" customWidth="1"/>
    <col min="11" max="11" width="13.6923076923077" customWidth="1"/>
    <col min="12" max="12" width="19.3653846153846" customWidth="1"/>
    <col min="13" max="14" width="10" customWidth="1"/>
    <col min="15" max="15" width="16.2692307692308" customWidth="1"/>
    <col min="16" max="16" width="13.6923076923077" customWidth="1"/>
    <col min="17" max="17" width="19.3653846153846" customWidth="1"/>
    <col min="18" max="19" width="10" customWidth="1"/>
    <col min="20" max="20" width="16.2692307692308" customWidth="1"/>
    <col min="21" max="21" width="13.6923076923077" customWidth="1"/>
    <col min="22" max="22" width="19.3653846153846" customWidth="1"/>
    <col min="23" max="24" width="10" customWidth="1"/>
    <col min="25" max="25" width="16.2692307692308" customWidth="1"/>
    <col min="26" max="26" width="13.6923076923077" customWidth="1"/>
    <col min="27" max="28" width="10" customWidth="1"/>
    <col min="29" max="29" width="3.79807692307692" customWidth="1"/>
    <col min="30" max="30" width="24.3942307692308" customWidth="1"/>
    <col min="31" max="34" width="10" customWidth="1"/>
    <col min="35" max="35" width="12.6634615384615" customWidth="1"/>
    <col min="36" max="36" width="10" customWidth="1"/>
    <col min="37" max="37" width="13.4134615384615" customWidth="1"/>
    <col min="38" max="38" width="10.2788461538462" customWidth="1"/>
    <col min="39" max="39" width="19" customWidth="1"/>
    <col min="40" max="43" width="10" customWidth="1"/>
    <col min="44" max="44" width="12.0961538461538" customWidth="1"/>
    <col min="45" max="45" width="10" customWidth="1"/>
    <col min="46" max="46" width="14.6346153846154" customWidth="1"/>
    <col min="47" max="53" width="10" customWidth="1"/>
    <col min="54" max="54" width="15.1923076923077" customWidth="1"/>
    <col min="55" max="55" width="10" customWidth="1"/>
    <col min="56" max="56" width="13.8173076923077" customWidth="1"/>
    <col min="57" max="16384" width="10" customWidth="1"/>
  </cols>
  <sheetData>
    <row r="1" ht="33.75" customHeight="1"/>
    <row r="2" ht="96.6" customHeight="1" spans="2:17">
      <c r="B2" s="60" t="s">
        <v>374</v>
      </c>
      <c r="C2" s="60"/>
      <c r="D2" s="60"/>
      <c r="E2" s="60"/>
      <c r="F2" s="60"/>
      <c r="G2" s="60"/>
      <c r="H2" s="60"/>
      <c r="I2" s="107" t="s">
        <v>375</v>
      </c>
      <c r="J2" s="107"/>
      <c r="K2" s="107"/>
      <c r="L2" s="107"/>
      <c r="M2" s="107"/>
      <c r="N2" s="107"/>
      <c r="O2" s="107"/>
      <c r="P2" s="107"/>
      <c r="Q2" s="107"/>
    </row>
    <row r="3" ht="33.75" customHeight="1" spans="2:26">
      <c r="B3" s="61" t="s">
        <v>376</v>
      </c>
      <c r="C3" s="62"/>
      <c r="D3" s="62"/>
      <c r="E3" s="62"/>
      <c r="F3" s="62"/>
      <c r="G3" s="61" t="s">
        <v>377</v>
      </c>
      <c r="H3" s="62"/>
      <c r="I3" s="62"/>
      <c r="J3" s="62"/>
      <c r="K3" s="62"/>
      <c r="L3" s="108" t="s">
        <v>378</v>
      </c>
      <c r="M3" s="115"/>
      <c r="N3" s="115"/>
      <c r="O3" s="115"/>
      <c r="P3" s="115"/>
      <c r="Q3" s="108" t="s">
        <v>379</v>
      </c>
      <c r="R3" s="115"/>
      <c r="S3" s="115"/>
      <c r="T3" s="115"/>
      <c r="U3" s="115"/>
      <c r="V3" s="108" t="s">
        <v>380</v>
      </c>
      <c r="W3" s="115"/>
      <c r="X3" s="115"/>
      <c r="Y3" s="115"/>
      <c r="Z3" s="124"/>
    </row>
    <row r="4" ht="33.75" customHeight="1" spans="2:26">
      <c r="B4" s="63" t="s">
        <v>381</v>
      </c>
      <c r="C4" s="64" t="s">
        <v>382</v>
      </c>
      <c r="D4" s="65">
        <v>154000</v>
      </c>
      <c r="E4" s="65" t="s">
        <v>383</v>
      </c>
      <c r="F4" s="75"/>
      <c r="G4" s="63" t="s">
        <v>381</v>
      </c>
      <c r="H4" s="64" t="s">
        <v>382</v>
      </c>
      <c r="I4" s="65">
        <v>149500</v>
      </c>
      <c r="J4" s="65" t="s">
        <v>383</v>
      </c>
      <c r="K4" s="75"/>
      <c r="L4" s="63" t="s">
        <v>381</v>
      </c>
      <c r="M4" s="64" t="s">
        <v>382</v>
      </c>
      <c r="N4" s="76">
        <v>145000</v>
      </c>
      <c r="O4" s="65" t="s">
        <v>383</v>
      </c>
      <c r="P4" s="99"/>
      <c r="Q4" s="63" t="s">
        <v>381</v>
      </c>
      <c r="R4" s="64" t="s">
        <v>382</v>
      </c>
      <c r="S4" s="76">
        <v>138200</v>
      </c>
      <c r="T4" s="65" t="s">
        <v>383</v>
      </c>
      <c r="U4" s="99"/>
      <c r="V4" s="63" t="s">
        <v>381</v>
      </c>
      <c r="W4" s="64" t="s">
        <v>382</v>
      </c>
      <c r="X4" s="76">
        <v>132200</v>
      </c>
      <c r="Y4" s="65" t="s">
        <v>383</v>
      </c>
      <c r="Z4" s="100"/>
    </row>
    <row r="5" ht="67.9" customHeight="1" spans="2:26">
      <c r="B5" s="66" t="s">
        <v>384</v>
      </c>
      <c r="C5" s="60"/>
      <c r="D5" s="60"/>
      <c r="E5" s="60"/>
      <c r="F5" s="60"/>
      <c r="G5" s="66" t="s">
        <v>385</v>
      </c>
      <c r="H5" s="60"/>
      <c r="I5" s="60"/>
      <c r="J5" s="60"/>
      <c r="K5" s="60"/>
      <c r="L5" s="66" t="s">
        <v>386</v>
      </c>
      <c r="M5" s="60"/>
      <c r="N5" s="60"/>
      <c r="O5" s="60"/>
      <c r="P5" s="60"/>
      <c r="Q5" s="116" t="s">
        <v>387</v>
      </c>
      <c r="R5" s="117"/>
      <c r="S5" s="117"/>
      <c r="T5" s="117"/>
      <c r="U5" s="117"/>
      <c r="V5" s="116" t="s">
        <v>388</v>
      </c>
      <c r="W5" s="117"/>
      <c r="X5" s="117"/>
      <c r="Y5" s="117"/>
      <c r="Z5" s="125"/>
    </row>
    <row r="6" ht="33.75" customHeight="1" spans="2:38">
      <c r="B6" s="67" t="s">
        <v>356</v>
      </c>
      <c r="C6" s="68" t="s">
        <v>357</v>
      </c>
      <c r="D6" s="68" t="s">
        <v>358</v>
      </c>
      <c r="E6" s="68" t="s">
        <v>359</v>
      </c>
      <c r="F6" s="81"/>
      <c r="G6" s="67" t="s">
        <v>356</v>
      </c>
      <c r="H6" s="68" t="s">
        <v>357</v>
      </c>
      <c r="I6" s="68" t="s">
        <v>358</v>
      </c>
      <c r="J6" s="81" t="s">
        <v>359</v>
      </c>
      <c r="K6" s="81"/>
      <c r="L6" s="67" t="s">
        <v>356</v>
      </c>
      <c r="M6" s="68" t="s">
        <v>357</v>
      </c>
      <c r="N6" s="68" t="s">
        <v>358</v>
      </c>
      <c r="O6" s="81" t="s">
        <v>359</v>
      </c>
      <c r="P6" s="81"/>
      <c r="Q6" s="67" t="s">
        <v>356</v>
      </c>
      <c r="R6" s="68" t="s">
        <v>357</v>
      </c>
      <c r="S6" s="68" t="s">
        <v>358</v>
      </c>
      <c r="T6" s="81" t="s">
        <v>359</v>
      </c>
      <c r="U6" s="81"/>
      <c r="V6" s="67" t="s">
        <v>356</v>
      </c>
      <c r="W6" s="68" t="s">
        <v>357</v>
      </c>
      <c r="X6" s="68" t="s">
        <v>358</v>
      </c>
      <c r="Y6" s="89" t="s">
        <v>359</v>
      </c>
      <c r="Z6" s="89"/>
      <c r="AA6" s="110"/>
      <c r="AD6" s="130" t="s">
        <v>389</v>
      </c>
      <c r="AE6" s="131" t="s">
        <v>356</v>
      </c>
      <c r="AF6" s="131" t="s">
        <v>357</v>
      </c>
      <c r="AG6" s="131" t="s">
        <v>358</v>
      </c>
      <c r="AH6" s="131" t="s">
        <v>359</v>
      </c>
      <c r="AI6" s="131"/>
      <c r="AJ6" s="131" t="s">
        <v>360</v>
      </c>
      <c r="AK6" s="131"/>
      <c r="AL6" s="110"/>
    </row>
    <row r="7" ht="33.75" customHeight="1" spans="2:38">
      <c r="B7" s="67" t="s">
        <v>361</v>
      </c>
      <c r="C7" s="68" t="s">
        <v>335</v>
      </c>
      <c r="D7" s="68" t="s">
        <v>26</v>
      </c>
      <c r="E7" s="68" t="s">
        <v>10</v>
      </c>
      <c r="F7" s="82">
        <v>21436</v>
      </c>
      <c r="G7" s="67" t="s">
        <v>361</v>
      </c>
      <c r="H7" s="68" t="s">
        <v>335</v>
      </c>
      <c r="I7" s="68" t="s">
        <v>26</v>
      </c>
      <c r="J7" s="68" t="s">
        <v>10</v>
      </c>
      <c r="K7" s="82">
        <v>14546</v>
      </c>
      <c r="L7" s="67" t="s">
        <v>361</v>
      </c>
      <c r="M7" s="68" t="s">
        <v>335</v>
      </c>
      <c r="N7" s="68" t="s">
        <v>26</v>
      </c>
      <c r="O7" s="68" t="s">
        <v>10</v>
      </c>
      <c r="P7" s="82">
        <v>14546</v>
      </c>
      <c r="Q7" s="67" t="s">
        <v>361</v>
      </c>
      <c r="R7" s="68" t="s">
        <v>335</v>
      </c>
      <c r="S7" s="68" t="s">
        <v>19</v>
      </c>
      <c r="T7" s="68" t="s">
        <v>10</v>
      </c>
      <c r="U7" s="82">
        <v>16952</v>
      </c>
      <c r="V7" s="67" t="s">
        <v>361</v>
      </c>
      <c r="W7" s="68" t="s">
        <v>335</v>
      </c>
      <c r="X7" s="68" t="s">
        <v>19</v>
      </c>
      <c r="Y7" s="68" t="s">
        <v>10</v>
      </c>
      <c r="Z7" s="91">
        <v>21764</v>
      </c>
      <c r="AA7" s="111"/>
      <c r="AE7" s="131" t="s">
        <v>361</v>
      </c>
      <c r="AF7" s="131" t="s">
        <v>335</v>
      </c>
      <c r="AG7" s="131" t="s">
        <v>21</v>
      </c>
      <c r="AH7" s="131" t="s">
        <v>10</v>
      </c>
      <c r="AI7" s="134">
        <v>18702</v>
      </c>
      <c r="AJ7" s="131" t="s">
        <v>363</v>
      </c>
      <c r="AK7" s="135" t="s">
        <v>335</v>
      </c>
      <c r="AL7" s="110"/>
    </row>
    <row r="8" ht="33.75" customHeight="1" spans="2:38">
      <c r="B8" s="67" t="s">
        <v>364</v>
      </c>
      <c r="C8" s="68" t="s">
        <v>335</v>
      </c>
      <c r="D8" s="68" t="s">
        <v>26</v>
      </c>
      <c r="E8" s="68" t="s">
        <v>12</v>
      </c>
      <c r="F8" s="82">
        <v>29290.6666666667</v>
      </c>
      <c r="G8" s="67" t="s">
        <v>364</v>
      </c>
      <c r="H8" s="68" t="s">
        <v>335</v>
      </c>
      <c r="I8" s="68" t="s">
        <v>22</v>
      </c>
      <c r="J8" s="68" t="s">
        <v>12</v>
      </c>
      <c r="K8" s="82">
        <v>25629.3333333334</v>
      </c>
      <c r="L8" s="67" t="s">
        <v>364</v>
      </c>
      <c r="M8" s="68" t="s">
        <v>335</v>
      </c>
      <c r="N8" s="68" t="s">
        <v>26</v>
      </c>
      <c r="O8" s="68" t="s">
        <v>12</v>
      </c>
      <c r="P8" s="82">
        <v>25629.3333333334</v>
      </c>
      <c r="Q8" s="67" t="s">
        <v>364</v>
      </c>
      <c r="R8" s="68" t="s">
        <v>335</v>
      </c>
      <c r="S8" s="68" t="s">
        <v>22</v>
      </c>
      <c r="T8" s="68" t="s">
        <v>12</v>
      </c>
      <c r="U8" s="82">
        <v>25629.3333333334</v>
      </c>
      <c r="V8" s="67" t="s">
        <v>364</v>
      </c>
      <c r="W8" s="68" t="s">
        <v>335</v>
      </c>
      <c r="X8" s="68" t="s">
        <v>19</v>
      </c>
      <c r="Y8" s="68" t="s">
        <v>12</v>
      </c>
      <c r="Z8" s="91">
        <v>25629.3333333334</v>
      </c>
      <c r="AA8" s="111"/>
      <c r="AE8" s="131" t="s">
        <v>364</v>
      </c>
      <c r="AF8" s="131" t="s">
        <v>335</v>
      </c>
      <c r="AG8" s="131" t="s">
        <v>21</v>
      </c>
      <c r="AH8" s="131" t="s">
        <v>12</v>
      </c>
      <c r="AI8" s="134">
        <v>65253.0000000001</v>
      </c>
      <c r="AJ8" s="131" t="s">
        <v>390</v>
      </c>
      <c r="AK8" s="131"/>
      <c r="AL8" s="110"/>
    </row>
    <row r="9" ht="33.75" customHeight="1" spans="2:38">
      <c r="B9" s="67" t="s">
        <v>366</v>
      </c>
      <c r="C9" s="68" t="s">
        <v>335</v>
      </c>
      <c r="D9" s="68" t="s">
        <v>26</v>
      </c>
      <c r="E9" s="68" t="s">
        <v>13</v>
      </c>
      <c r="F9" s="82">
        <v>156081.333333333</v>
      </c>
      <c r="G9" s="67" t="s">
        <v>366</v>
      </c>
      <c r="H9" s="68" t="s">
        <v>335</v>
      </c>
      <c r="I9" s="68" t="s">
        <v>22</v>
      </c>
      <c r="J9" s="68" t="s">
        <v>13</v>
      </c>
      <c r="K9" s="82">
        <v>149499.666666666</v>
      </c>
      <c r="L9" s="67" t="s">
        <v>366</v>
      </c>
      <c r="M9" s="68" t="s">
        <v>335</v>
      </c>
      <c r="N9" s="68" t="s">
        <v>22</v>
      </c>
      <c r="O9" s="68" t="s">
        <v>13</v>
      </c>
      <c r="P9" s="82">
        <v>146457.666666666</v>
      </c>
      <c r="Q9" s="67" t="s">
        <v>366</v>
      </c>
      <c r="R9" s="68" t="s">
        <v>335</v>
      </c>
      <c r="S9" s="68" t="s">
        <v>22</v>
      </c>
      <c r="T9" s="68" t="s">
        <v>13</v>
      </c>
      <c r="U9" s="82">
        <v>140373.666666666</v>
      </c>
      <c r="V9" s="67" t="s">
        <v>366</v>
      </c>
      <c r="W9" s="68" t="s">
        <v>335</v>
      </c>
      <c r="X9" s="68" t="s">
        <v>19</v>
      </c>
      <c r="Y9" s="68" t="s">
        <v>13</v>
      </c>
      <c r="Z9" s="91">
        <v>134289.666666666</v>
      </c>
      <c r="AA9" s="111"/>
      <c r="AE9" s="131" t="s">
        <v>366</v>
      </c>
      <c r="AF9" s="131" t="s">
        <v>335</v>
      </c>
      <c r="AG9" s="131" t="s">
        <v>21</v>
      </c>
      <c r="AH9" s="131" t="s">
        <v>13</v>
      </c>
      <c r="AI9" s="134">
        <v>168746.999999999</v>
      </c>
      <c r="AJ9" s="131" t="s">
        <v>10</v>
      </c>
      <c r="AK9" s="136">
        <v>11429</v>
      </c>
      <c r="AL9" s="111"/>
    </row>
    <row r="10" ht="33.75" customHeight="1" spans="2:38">
      <c r="B10" s="67" t="s">
        <v>367</v>
      </c>
      <c r="C10" s="68" t="s">
        <v>335</v>
      </c>
      <c r="D10" s="68" t="s">
        <v>26</v>
      </c>
      <c r="E10" s="68" t="s">
        <v>14</v>
      </c>
      <c r="F10" s="82">
        <v>86698.6666666667</v>
      </c>
      <c r="G10" s="67" t="s">
        <v>367</v>
      </c>
      <c r="H10" s="68" t="s">
        <v>335</v>
      </c>
      <c r="I10" s="68" t="s">
        <v>22</v>
      </c>
      <c r="J10" s="68" t="s">
        <v>14</v>
      </c>
      <c r="K10" s="82">
        <v>75861.3333333334</v>
      </c>
      <c r="L10" s="67" t="s">
        <v>367</v>
      </c>
      <c r="M10" s="68" t="s">
        <v>335</v>
      </c>
      <c r="N10" s="68" t="s">
        <v>22</v>
      </c>
      <c r="O10" s="68" t="s">
        <v>14</v>
      </c>
      <c r="P10" s="82">
        <v>75861.3333333334</v>
      </c>
      <c r="Q10" s="67" t="s">
        <v>367</v>
      </c>
      <c r="R10" s="68" t="s">
        <v>335</v>
      </c>
      <c r="S10" s="68" t="s">
        <v>22</v>
      </c>
      <c r="T10" s="68" t="s">
        <v>14</v>
      </c>
      <c r="U10" s="82">
        <v>75861.3333333334</v>
      </c>
      <c r="V10" s="67" t="s">
        <v>367</v>
      </c>
      <c r="W10" s="68" t="s">
        <v>335</v>
      </c>
      <c r="X10" s="68" t="s">
        <v>22</v>
      </c>
      <c r="Y10" s="68" t="s">
        <v>14</v>
      </c>
      <c r="Z10" s="91">
        <v>75861.3333333334</v>
      </c>
      <c r="AA10" s="111"/>
      <c r="AE10" s="131" t="s">
        <v>367</v>
      </c>
      <c r="AF10" s="131" t="s">
        <v>335</v>
      </c>
      <c r="AG10" s="131" t="s">
        <v>21</v>
      </c>
      <c r="AH10" s="131" t="s">
        <v>14</v>
      </c>
      <c r="AI10" s="134">
        <v>97536.0000000001</v>
      </c>
      <c r="AJ10" s="131" t="s">
        <v>12</v>
      </c>
      <c r="AK10" s="136">
        <v>37265.8333333334</v>
      </c>
      <c r="AL10" s="111"/>
    </row>
    <row r="11" ht="33.75" customHeight="1" spans="2:38">
      <c r="B11" s="67" t="s">
        <v>368</v>
      </c>
      <c r="C11" s="68" t="s">
        <v>335</v>
      </c>
      <c r="D11" s="68" t="s">
        <v>22</v>
      </c>
      <c r="E11" s="68" t="s">
        <v>15</v>
      </c>
      <c r="F11" s="82">
        <v>31088</v>
      </c>
      <c r="G11" s="67" t="s">
        <v>368</v>
      </c>
      <c r="H11" s="68" t="s">
        <v>335</v>
      </c>
      <c r="I11" s="68" t="s">
        <v>22</v>
      </c>
      <c r="J11" s="68" t="s">
        <v>15</v>
      </c>
      <c r="K11" s="82">
        <v>21202</v>
      </c>
      <c r="L11" s="67" t="s">
        <v>368</v>
      </c>
      <c r="M11" s="68" t="s">
        <v>335</v>
      </c>
      <c r="N11" s="68" t="s">
        <v>22</v>
      </c>
      <c r="O11" s="68" t="s">
        <v>15</v>
      </c>
      <c r="P11" s="82">
        <v>23602</v>
      </c>
      <c r="Q11" s="67" t="s">
        <v>368</v>
      </c>
      <c r="R11" s="68" t="s">
        <v>335</v>
      </c>
      <c r="S11" s="68" t="s">
        <v>26</v>
      </c>
      <c r="T11" s="68" t="s">
        <v>15</v>
      </c>
      <c r="U11" s="82">
        <v>26002</v>
      </c>
      <c r="V11" s="67" t="s">
        <v>368</v>
      </c>
      <c r="W11" s="68" t="s">
        <v>335</v>
      </c>
      <c r="X11" s="68" t="s">
        <v>26</v>
      </c>
      <c r="Y11" s="68" t="s">
        <v>15</v>
      </c>
      <c r="Z11" s="91">
        <v>26002</v>
      </c>
      <c r="AA11" s="111"/>
      <c r="AE11" s="131" t="s">
        <v>368</v>
      </c>
      <c r="AF11" s="131" t="s">
        <v>335</v>
      </c>
      <c r="AG11" s="131" t="s">
        <v>21</v>
      </c>
      <c r="AH11" s="131" t="s">
        <v>15</v>
      </c>
      <c r="AI11" s="134">
        <v>24174</v>
      </c>
      <c r="AJ11" s="131" t="s">
        <v>13</v>
      </c>
      <c r="AK11" s="136">
        <v>103123.166666666</v>
      </c>
      <c r="AL11" s="111"/>
    </row>
    <row r="12" ht="33.75" customHeight="1" spans="2:38">
      <c r="B12" s="67" t="s">
        <v>369</v>
      </c>
      <c r="C12" s="68" t="s">
        <v>335</v>
      </c>
      <c r="D12" s="68" t="s">
        <v>22</v>
      </c>
      <c r="E12" s="68"/>
      <c r="F12" s="81"/>
      <c r="G12" s="67" t="s">
        <v>369</v>
      </c>
      <c r="H12" s="68" t="s">
        <v>335</v>
      </c>
      <c r="I12" s="68" t="s">
        <v>22</v>
      </c>
      <c r="J12" s="68"/>
      <c r="K12" s="81"/>
      <c r="L12" s="67" t="s">
        <v>369</v>
      </c>
      <c r="M12" s="68" t="s">
        <v>335</v>
      </c>
      <c r="N12" s="68" t="s">
        <v>22</v>
      </c>
      <c r="O12" s="68"/>
      <c r="P12" s="81"/>
      <c r="Q12" s="67" t="s">
        <v>369</v>
      </c>
      <c r="R12" s="68" t="s">
        <v>335</v>
      </c>
      <c r="S12" s="68" t="s">
        <v>26</v>
      </c>
      <c r="T12" s="68"/>
      <c r="U12" s="81"/>
      <c r="V12" s="67" t="s">
        <v>369</v>
      </c>
      <c r="W12" s="68" t="s">
        <v>335</v>
      </c>
      <c r="X12" s="68" t="s">
        <v>26</v>
      </c>
      <c r="Y12" s="68"/>
      <c r="Z12" s="89"/>
      <c r="AA12" s="110"/>
      <c r="AE12" s="131" t="s">
        <v>369</v>
      </c>
      <c r="AF12" s="131" t="s">
        <v>335</v>
      </c>
      <c r="AG12" s="131" t="s">
        <v>21</v>
      </c>
      <c r="AH12" s="131"/>
      <c r="AI12" s="131"/>
      <c r="AJ12" s="131" t="s">
        <v>14</v>
      </c>
      <c r="AK12" s="136">
        <v>59605.3333333334</v>
      </c>
      <c r="AL12" s="111"/>
    </row>
    <row r="13" ht="33.75" customHeight="1" spans="2:38">
      <c r="B13" s="67" t="s">
        <v>370</v>
      </c>
      <c r="C13" s="68" t="s">
        <v>335</v>
      </c>
      <c r="D13" s="68" t="s">
        <v>19</v>
      </c>
      <c r="E13" s="68"/>
      <c r="F13" s="81"/>
      <c r="G13" s="67" t="s">
        <v>370</v>
      </c>
      <c r="H13" s="68" t="s">
        <v>335</v>
      </c>
      <c r="I13" s="68" t="s">
        <v>22</v>
      </c>
      <c r="J13" s="68"/>
      <c r="K13" s="81"/>
      <c r="L13" s="67" t="s">
        <v>370</v>
      </c>
      <c r="M13" s="68" t="s">
        <v>335</v>
      </c>
      <c r="N13" s="68" t="s">
        <v>22</v>
      </c>
      <c r="O13" s="68"/>
      <c r="P13" s="81"/>
      <c r="Q13" s="67" t="s">
        <v>370</v>
      </c>
      <c r="R13" s="68" t="s">
        <v>335</v>
      </c>
      <c r="S13" s="68" t="s">
        <v>26</v>
      </c>
      <c r="T13" s="68"/>
      <c r="U13" s="81"/>
      <c r="V13" s="67" t="s">
        <v>370</v>
      </c>
      <c r="W13" s="68" t="s">
        <v>335</v>
      </c>
      <c r="X13" s="68" t="s">
        <v>26</v>
      </c>
      <c r="Y13" s="68"/>
      <c r="Z13" s="89"/>
      <c r="AA13" s="110"/>
      <c r="AE13" s="131" t="s">
        <v>370</v>
      </c>
      <c r="AF13" s="131" t="s">
        <v>335</v>
      </c>
      <c r="AG13" s="131" t="s">
        <v>21</v>
      </c>
      <c r="AH13" s="131"/>
      <c r="AI13" s="131"/>
      <c r="AJ13" s="131" t="s">
        <v>15</v>
      </c>
      <c r="AK13" s="136">
        <v>14773</v>
      </c>
      <c r="AL13" s="111"/>
    </row>
    <row r="14" ht="33.75" customHeight="1" spans="2:38">
      <c r="B14" s="67" t="s">
        <v>371</v>
      </c>
      <c r="C14" s="68" t="s">
        <v>335</v>
      </c>
      <c r="D14" s="68" t="s">
        <v>19</v>
      </c>
      <c r="E14" s="68"/>
      <c r="F14" s="81"/>
      <c r="G14" s="67" t="s">
        <v>371</v>
      </c>
      <c r="H14" s="68" t="s">
        <v>362</v>
      </c>
      <c r="I14" s="68" t="s">
        <v>362</v>
      </c>
      <c r="J14" s="68"/>
      <c r="K14" s="81"/>
      <c r="L14" s="67" t="s">
        <v>371</v>
      </c>
      <c r="M14" s="68" t="s">
        <v>362</v>
      </c>
      <c r="N14" s="68" t="s">
        <v>362</v>
      </c>
      <c r="O14" s="68"/>
      <c r="P14" s="81"/>
      <c r="Q14" s="67" t="s">
        <v>371</v>
      </c>
      <c r="R14" s="68" t="s">
        <v>362</v>
      </c>
      <c r="S14" s="68" t="s">
        <v>362</v>
      </c>
      <c r="T14" s="68"/>
      <c r="U14" s="81"/>
      <c r="V14" s="67" t="s">
        <v>371</v>
      </c>
      <c r="W14" s="68" t="s">
        <v>362</v>
      </c>
      <c r="X14" s="68" t="s">
        <v>362</v>
      </c>
      <c r="Y14" s="68"/>
      <c r="Z14" s="89"/>
      <c r="AA14" s="110"/>
      <c r="AE14" s="131" t="s">
        <v>371</v>
      </c>
      <c r="AF14" s="131" t="s">
        <v>335</v>
      </c>
      <c r="AG14" s="131" t="s">
        <v>21</v>
      </c>
      <c r="AH14" s="131"/>
      <c r="AI14" s="131"/>
      <c r="AJ14" s="131"/>
      <c r="AK14" s="131"/>
      <c r="AL14" s="110"/>
    </row>
    <row r="15" ht="33.75" customHeight="1" spans="2:38">
      <c r="B15" s="69" t="s">
        <v>372</v>
      </c>
      <c r="C15" s="70" t="s">
        <v>362</v>
      </c>
      <c r="D15" s="70" t="s">
        <v>362</v>
      </c>
      <c r="E15" s="70"/>
      <c r="F15" s="83"/>
      <c r="G15" s="69" t="s">
        <v>372</v>
      </c>
      <c r="H15" s="70" t="s">
        <v>362</v>
      </c>
      <c r="I15" s="70" t="s">
        <v>362</v>
      </c>
      <c r="J15" s="70"/>
      <c r="K15" s="83"/>
      <c r="L15" s="69" t="s">
        <v>372</v>
      </c>
      <c r="M15" s="70" t="s">
        <v>362</v>
      </c>
      <c r="N15" s="70" t="s">
        <v>362</v>
      </c>
      <c r="O15" s="70"/>
      <c r="P15" s="83"/>
      <c r="Q15" s="69" t="s">
        <v>372</v>
      </c>
      <c r="R15" s="70" t="s">
        <v>362</v>
      </c>
      <c r="S15" s="70" t="s">
        <v>362</v>
      </c>
      <c r="T15" s="70"/>
      <c r="U15" s="83"/>
      <c r="V15" s="72" t="s">
        <v>372</v>
      </c>
      <c r="W15" s="73" t="s">
        <v>362</v>
      </c>
      <c r="X15" s="73" t="s">
        <v>362</v>
      </c>
      <c r="Y15" s="73"/>
      <c r="Z15" s="92"/>
      <c r="AA15" s="110"/>
      <c r="AE15" s="131" t="s">
        <v>372</v>
      </c>
      <c r="AF15" s="131" t="s">
        <v>335</v>
      </c>
      <c r="AG15" s="131" t="s">
        <v>21</v>
      </c>
      <c r="AH15" s="131"/>
      <c r="AI15" s="131"/>
      <c r="AJ15" s="131"/>
      <c r="AK15" s="131"/>
      <c r="AL15" s="110"/>
    </row>
    <row r="16" customFormat="1" ht="38.55" customHeight="1" spans="2:27">
      <c r="B16" s="71" t="s">
        <v>391</v>
      </c>
      <c r="C16" s="71"/>
      <c r="D16" s="71"/>
      <c r="E16" s="71"/>
      <c r="F16" s="71"/>
      <c r="G16" s="71" t="s">
        <v>392</v>
      </c>
      <c r="H16" s="71"/>
      <c r="I16" s="71"/>
      <c r="J16" s="71"/>
      <c r="K16" s="71"/>
      <c r="L16" s="71" t="s">
        <v>393</v>
      </c>
      <c r="M16" s="71"/>
      <c r="N16" s="71"/>
      <c r="O16" s="71"/>
      <c r="P16" s="71"/>
      <c r="Q16" s="71" t="s">
        <v>394</v>
      </c>
      <c r="R16" s="71"/>
      <c r="S16" s="71"/>
      <c r="T16" s="71"/>
      <c r="U16" s="71"/>
      <c r="V16" s="118" t="s">
        <v>395</v>
      </c>
      <c r="W16" s="118"/>
      <c r="X16" s="118"/>
      <c r="Y16" s="118"/>
      <c r="Z16" s="118"/>
      <c r="AA16" s="110"/>
    </row>
    <row r="17" ht="33.75" customHeight="1" spans="2:27">
      <c r="B17" s="61" t="s">
        <v>376</v>
      </c>
      <c r="C17" s="62"/>
      <c r="D17" s="62"/>
      <c r="E17" s="62"/>
      <c r="F17" s="84"/>
      <c r="G17" s="85" t="s">
        <v>377</v>
      </c>
      <c r="H17" s="86" t="s">
        <v>362</v>
      </c>
      <c r="I17" s="86" t="s">
        <v>362</v>
      </c>
      <c r="J17" s="86"/>
      <c r="K17" s="109"/>
      <c r="L17" s="85" t="s">
        <v>378</v>
      </c>
      <c r="M17" s="86" t="s">
        <v>362</v>
      </c>
      <c r="N17" s="86" t="s">
        <v>362</v>
      </c>
      <c r="O17" s="86"/>
      <c r="P17" s="109"/>
      <c r="Q17" s="85" t="s">
        <v>379</v>
      </c>
      <c r="R17" s="86" t="s">
        <v>362</v>
      </c>
      <c r="S17" s="86" t="s">
        <v>362</v>
      </c>
      <c r="T17" s="86"/>
      <c r="U17" s="109"/>
      <c r="V17" s="112" t="s">
        <v>380</v>
      </c>
      <c r="W17" s="110" t="s">
        <v>362</v>
      </c>
      <c r="X17" s="110" t="s">
        <v>362</v>
      </c>
      <c r="Y17" s="110"/>
      <c r="Z17" s="126"/>
      <c r="AA17" s="110"/>
    </row>
    <row r="18" ht="33.75" customHeight="1" spans="2:26">
      <c r="B18" s="63" t="s">
        <v>396</v>
      </c>
      <c r="C18" s="64" t="s">
        <v>382</v>
      </c>
      <c r="D18" s="65">
        <v>91000</v>
      </c>
      <c r="E18" s="65" t="s">
        <v>397</v>
      </c>
      <c r="F18" s="87"/>
      <c r="G18" s="75" t="s">
        <v>396</v>
      </c>
      <c r="H18" s="64" t="s">
        <v>382</v>
      </c>
      <c r="I18" s="65">
        <v>88500</v>
      </c>
      <c r="J18" s="65" t="s">
        <v>397</v>
      </c>
      <c r="K18" s="87"/>
      <c r="L18" s="75" t="s">
        <v>396</v>
      </c>
      <c r="M18" s="64" t="s">
        <v>382</v>
      </c>
      <c r="N18" s="65">
        <v>86200</v>
      </c>
      <c r="O18" s="65" t="s">
        <v>397</v>
      </c>
      <c r="P18" s="87"/>
      <c r="Q18" s="75" t="s">
        <v>396</v>
      </c>
      <c r="R18" s="64" t="s">
        <v>382</v>
      </c>
      <c r="S18" s="65">
        <v>81900</v>
      </c>
      <c r="T18" s="65" t="s">
        <v>397</v>
      </c>
      <c r="U18" s="87"/>
      <c r="V18" s="75" t="s">
        <v>396</v>
      </c>
      <c r="W18" s="64" t="s">
        <v>382</v>
      </c>
      <c r="X18" s="65">
        <v>78300</v>
      </c>
      <c r="Y18" s="65" t="s">
        <v>397</v>
      </c>
      <c r="Z18" s="87"/>
    </row>
    <row r="19" ht="64.75" customHeight="1" spans="2:26">
      <c r="B19" s="66" t="s">
        <v>398</v>
      </c>
      <c r="C19" s="60"/>
      <c r="D19" s="60"/>
      <c r="E19" s="60"/>
      <c r="F19" s="88"/>
      <c r="G19" s="60" t="s">
        <v>399</v>
      </c>
      <c r="H19" s="60"/>
      <c r="I19" s="60"/>
      <c r="J19" s="60"/>
      <c r="K19" s="88"/>
      <c r="L19" s="60" t="s">
        <v>400</v>
      </c>
      <c r="M19" s="60"/>
      <c r="N19" s="60"/>
      <c r="O19" s="60"/>
      <c r="P19" s="88"/>
      <c r="Q19" s="60" t="s">
        <v>401</v>
      </c>
      <c r="R19" s="60"/>
      <c r="S19" s="60"/>
      <c r="T19" s="60"/>
      <c r="U19" s="88"/>
      <c r="V19" s="60" t="s">
        <v>401</v>
      </c>
      <c r="W19" s="60"/>
      <c r="X19" s="60"/>
      <c r="Y19" s="60"/>
      <c r="Z19" s="88"/>
    </row>
    <row r="20" ht="33.75" customHeight="1" spans="2:38">
      <c r="B20" s="67" t="s">
        <v>356</v>
      </c>
      <c r="C20" s="68" t="s">
        <v>357</v>
      </c>
      <c r="D20" s="68" t="s">
        <v>358</v>
      </c>
      <c r="E20" s="81" t="s">
        <v>359</v>
      </c>
      <c r="F20" s="89"/>
      <c r="G20" s="90" t="s">
        <v>356</v>
      </c>
      <c r="H20" s="68" t="s">
        <v>357</v>
      </c>
      <c r="I20" s="68" t="s">
        <v>358</v>
      </c>
      <c r="J20" s="68" t="s">
        <v>359</v>
      </c>
      <c r="K20" s="89"/>
      <c r="L20" s="90" t="s">
        <v>356</v>
      </c>
      <c r="M20" s="68" t="s">
        <v>357</v>
      </c>
      <c r="N20" s="68" t="s">
        <v>358</v>
      </c>
      <c r="O20" s="68" t="s">
        <v>359</v>
      </c>
      <c r="P20" s="89"/>
      <c r="Q20" s="90" t="s">
        <v>356</v>
      </c>
      <c r="R20" s="68" t="s">
        <v>357</v>
      </c>
      <c r="S20" s="68" t="s">
        <v>358</v>
      </c>
      <c r="T20" s="68" t="s">
        <v>359</v>
      </c>
      <c r="U20" s="89"/>
      <c r="V20" s="90" t="s">
        <v>356</v>
      </c>
      <c r="W20" s="68" t="s">
        <v>357</v>
      </c>
      <c r="X20" s="68" t="s">
        <v>358</v>
      </c>
      <c r="Y20" s="68" t="s">
        <v>359</v>
      </c>
      <c r="Z20" s="89"/>
      <c r="AA20" s="110"/>
      <c r="AD20" s="130" t="s">
        <v>402</v>
      </c>
      <c r="AE20" s="131" t="s">
        <v>356</v>
      </c>
      <c r="AF20" s="131" t="s">
        <v>357</v>
      </c>
      <c r="AG20" s="131" t="s">
        <v>358</v>
      </c>
      <c r="AH20" s="131" t="s">
        <v>359</v>
      </c>
      <c r="AI20" s="131"/>
      <c r="AJ20" s="131" t="s">
        <v>360</v>
      </c>
      <c r="AK20" s="131"/>
      <c r="AL20" s="110"/>
    </row>
    <row r="21" ht="33.75" customHeight="1" spans="2:38">
      <c r="B21" s="67" t="s">
        <v>361</v>
      </c>
      <c r="C21" s="68" t="s">
        <v>402</v>
      </c>
      <c r="D21" s="68"/>
      <c r="E21" s="68" t="s">
        <v>10</v>
      </c>
      <c r="F21" s="91">
        <v>24595.65</v>
      </c>
      <c r="G21" s="90" t="s">
        <v>361</v>
      </c>
      <c r="H21" s="68" t="s">
        <v>402</v>
      </c>
      <c r="I21" s="68"/>
      <c r="J21" s="68" t="s">
        <v>10</v>
      </c>
      <c r="K21" s="91">
        <v>23933.95</v>
      </c>
      <c r="L21" s="90" t="s">
        <v>361</v>
      </c>
      <c r="M21" s="68" t="s">
        <v>402</v>
      </c>
      <c r="N21" s="68"/>
      <c r="O21" s="68" t="s">
        <v>10</v>
      </c>
      <c r="P21" s="91">
        <v>23300.25</v>
      </c>
      <c r="Q21" s="90" t="s">
        <v>361</v>
      </c>
      <c r="R21" s="68" t="s">
        <v>334</v>
      </c>
      <c r="S21" s="68" t="s">
        <v>403</v>
      </c>
      <c r="T21" s="68" t="s">
        <v>10</v>
      </c>
      <c r="U21" s="91">
        <v>18414</v>
      </c>
      <c r="V21" s="90" t="s">
        <v>361</v>
      </c>
      <c r="W21" s="68" t="s">
        <v>334</v>
      </c>
      <c r="X21" s="68" t="s">
        <v>21</v>
      </c>
      <c r="Y21" s="68" t="s">
        <v>10</v>
      </c>
      <c r="Z21" s="91">
        <v>18566</v>
      </c>
      <c r="AA21" s="111"/>
      <c r="AE21" s="131" t="s">
        <v>361</v>
      </c>
      <c r="AF21" s="131" t="s">
        <v>339</v>
      </c>
      <c r="AG21" s="131" t="s">
        <v>21</v>
      </c>
      <c r="AH21" s="131" t="s">
        <v>10</v>
      </c>
      <c r="AI21" s="134">
        <v>12998.7</v>
      </c>
      <c r="AJ21" s="131" t="s">
        <v>363</v>
      </c>
      <c r="AK21" s="135" t="s">
        <v>339</v>
      </c>
      <c r="AL21" s="110"/>
    </row>
    <row r="22" ht="33.75" customHeight="1" spans="2:38">
      <c r="B22" s="67" t="s">
        <v>364</v>
      </c>
      <c r="C22" s="68" t="s">
        <v>331</v>
      </c>
      <c r="D22" s="68" t="s">
        <v>21</v>
      </c>
      <c r="E22" s="68" t="s">
        <v>12</v>
      </c>
      <c r="F22" s="91">
        <v>91151.1583333334</v>
      </c>
      <c r="G22" s="90" t="s">
        <v>364</v>
      </c>
      <c r="H22" s="68" t="s">
        <v>331</v>
      </c>
      <c r="I22" s="68" t="s">
        <v>21</v>
      </c>
      <c r="J22" s="68" t="s">
        <v>12</v>
      </c>
      <c r="K22" s="91">
        <v>88971.3083333334</v>
      </c>
      <c r="L22" s="90" t="s">
        <v>364</v>
      </c>
      <c r="M22" s="68" t="s">
        <v>331</v>
      </c>
      <c r="N22" s="68" t="s">
        <v>21</v>
      </c>
      <c r="O22" s="68" t="s">
        <v>12</v>
      </c>
      <c r="P22" s="91">
        <v>87266.1250000001</v>
      </c>
      <c r="Q22" s="90" t="s">
        <v>364</v>
      </c>
      <c r="R22" s="68" t="s">
        <v>334</v>
      </c>
      <c r="S22" s="68" t="s">
        <v>403</v>
      </c>
      <c r="T22" s="68" t="s">
        <v>12</v>
      </c>
      <c r="U22" s="91">
        <v>82202</v>
      </c>
      <c r="V22" s="90" t="s">
        <v>364</v>
      </c>
      <c r="W22" s="68" t="s">
        <v>334</v>
      </c>
      <c r="X22" s="68" t="s">
        <v>21</v>
      </c>
      <c r="Y22" s="68" t="s">
        <v>12</v>
      </c>
      <c r="Z22" s="91">
        <v>78347.3333333333</v>
      </c>
      <c r="AA22" s="111"/>
      <c r="AE22" s="131" t="s">
        <v>364</v>
      </c>
      <c r="AF22" s="131" t="s">
        <v>339</v>
      </c>
      <c r="AG22" s="131" t="s">
        <v>21</v>
      </c>
      <c r="AH22" s="131" t="s">
        <v>12</v>
      </c>
      <c r="AI22" s="134">
        <v>53749.35</v>
      </c>
      <c r="AJ22" s="131" t="s">
        <v>390</v>
      </c>
      <c r="AK22" s="131"/>
      <c r="AL22" s="110"/>
    </row>
    <row r="23" ht="33.75" customHeight="1" spans="2:38">
      <c r="B23" s="67" t="s">
        <v>366</v>
      </c>
      <c r="C23" s="68" t="s">
        <v>331</v>
      </c>
      <c r="D23" s="68" t="s">
        <v>21</v>
      </c>
      <c r="E23" s="68" t="s">
        <v>13</v>
      </c>
      <c r="F23" s="91">
        <v>134978.791666666</v>
      </c>
      <c r="G23" s="90" t="s">
        <v>366</v>
      </c>
      <c r="H23" s="68" t="s">
        <v>331</v>
      </c>
      <c r="I23" s="68" t="s">
        <v>21</v>
      </c>
      <c r="J23" s="68" t="s">
        <v>13</v>
      </c>
      <c r="K23" s="91">
        <v>120725.541666666</v>
      </c>
      <c r="L23" s="90" t="s">
        <v>366</v>
      </c>
      <c r="M23" s="68" t="s">
        <v>331</v>
      </c>
      <c r="N23" s="68" t="s">
        <v>21</v>
      </c>
      <c r="O23" s="68" t="s">
        <v>13</v>
      </c>
      <c r="P23" s="91">
        <v>106284.625</v>
      </c>
      <c r="Q23" s="90" t="s">
        <v>366</v>
      </c>
      <c r="R23" s="68" t="s">
        <v>334</v>
      </c>
      <c r="S23" s="68" t="s">
        <v>21</v>
      </c>
      <c r="T23" s="68" t="s">
        <v>13</v>
      </c>
      <c r="U23" s="91">
        <v>137250</v>
      </c>
      <c r="V23" s="90" t="s">
        <v>366</v>
      </c>
      <c r="W23" s="68" t="s">
        <v>334</v>
      </c>
      <c r="X23" s="68" t="s">
        <v>21</v>
      </c>
      <c r="Y23" s="68" t="s">
        <v>13</v>
      </c>
      <c r="Z23" s="91">
        <v>138811.666666667</v>
      </c>
      <c r="AA23" s="111"/>
      <c r="AE23" s="131" t="s">
        <v>366</v>
      </c>
      <c r="AF23" s="131" t="s">
        <v>339</v>
      </c>
      <c r="AG23" s="131" t="s">
        <v>21</v>
      </c>
      <c r="AH23" s="131" t="s">
        <v>13</v>
      </c>
      <c r="AI23" s="134">
        <v>13092.75</v>
      </c>
      <c r="AJ23" s="131" t="s">
        <v>10</v>
      </c>
      <c r="AK23" s="136">
        <v>7943.65</v>
      </c>
      <c r="AL23" s="111"/>
    </row>
    <row r="24" ht="33.75" customHeight="1" spans="2:38">
      <c r="B24" s="67" t="s">
        <v>367</v>
      </c>
      <c r="C24" s="68" t="s">
        <v>331</v>
      </c>
      <c r="D24" s="68" t="s">
        <v>21</v>
      </c>
      <c r="E24" s="68" t="s">
        <v>14</v>
      </c>
      <c r="F24" s="91">
        <v>94159.5583333334</v>
      </c>
      <c r="G24" s="90" t="s">
        <v>367</v>
      </c>
      <c r="H24" s="68" t="s">
        <v>331</v>
      </c>
      <c r="I24" s="68" t="s">
        <v>21</v>
      </c>
      <c r="J24" s="68" t="s">
        <v>14</v>
      </c>
      <c r="K24" s="91">
        <v>85045.5083333334</v>
      </c>
      <c r="L24" s="90" t="s">
        <v>367</v>
      </c>
      <c r="M24" s="68" t="s">
        <v>331</v>
      </c>
      <c r="N24" s="68" t="s">
        <v>21</v>
      </c>
      <c r="O24" s="68" t="s">
        <v>14</v>
      </c>
      <c r="P24" s="91">
        <v>75621.125</v>
      </c>
      <c r="Q24" s="90" t="s">
        <v>367</v>
      </c>
      <c r="R24" s="68" t="s">
        <v>334</v>
      </c>
      <c r="S24" s="68" t="s">
        <v>21</v>
      </c>
      <c r="T24" s="68" t="s">
        <v>14</v>
      </c>
      <c r="U24" s="91">
        <v>100242</v>
      </c>
      <c r="V24" s="90" t="s">
        <v>367</v>
      </c>
      <c r="W24" s="68" t="s">
        <v>334</v>
      </c>
      <c r="X24" s="68" t="s">
        <v>21</v>
      </c>
      <c r="Y24" s="68" t="s">
        <v>14</v>
      </c>
      <c r="Z24" s="91">
        <v>98719.3333333333</v>
      </c>
      <c r="AA24" s="111"/>
      <c r="AE24" s="131" t="s">
        <v>367</v>
      </c>
      <c r="AF24" s="131" t="s">
        <v>339</v>
      </c>
      <c r="AG24" s="131" t="s">
        <v>21</v>
      </c>
      <c r="AH24" s="131" t="s">
        <v>14</v>
      </c>
      <c r="AI24" s="134">
        <v>12716.55</v>
      </c>
      <c r="AJ24" s="131" t="s">
        <v>12</v>
      </c>
      <c r="AK24" s="136">
        <v>30235.825</v>
      </c>
      <c r="AL24" s="111"/>
    </row>
    <row r="25" ht="33.75" customHeight="1" spans="2:38">
      <c r="B25" s="67" t="s">
        <v>368</v>
      </c>
      <c r="C25" s="68" t="s">
        <v>331</v>
      </c>
      <c r="D25" s="68" t="s">
        <v>21</v>
      </c>
      <c r="E25" s="68" t="s">
        <v>15</v>
      </c>
      <c r="F25" s="91">
        <v>25577.8</v>
      </c>
      <c r="G25" s="90" t="s">
        <v>368</v>
      </c>
      <c r="H25" s="68" t="s">
        <v>331</v>
      </c>
      <c r="I25" s="68" t="s">
        <v>21</v>
      </c>
      <c r="J25" s="68" t="s">
        <v>15</v>
      </c>
      <c r="K25" s="91">
        <v>23635.4</v>
      </c>
      <c r="L25" s="90" t="s">
        <v>368</v>
      </c>
      <c r="M25" s="68" t="s">
        <v>331</v>
      </c>
      <c r="N25" s="68" t="s">
        <v>21</v>
      </c>
      <c r="O25" s="68" t="s">
        <v>15</v>
      </c>
      <c r="P25" s="91">
        <v>21693</v>
      </c>
      <c r="Q25" s="90" t="s">
        <v>368</v>
      </c>
      <c r="R25" s="68" t="s">
        <v>334</v>
      </c>
      <c r="S25" s="68" t="s">
        <v>21</v>
      </c>
      <c r="T25" s="68" t="s">
        <v>15</v>
      </c>
      <c r="U25" s="91">
        <v>24993</v>
      </c>
      <c r="V25" s="90" t="s">
        <v>368</v>
      </c>
      <c r="W25" s="68" t="s">
        <v>334</v>
      </c>
      <c r="X25" s="68" t="s">
        <v>21</v>
      </c>
      <c r="Y25" s="68" t="s">
        <v>15</v>
      </c>
      <c r="Z25" s="91">
        <v>24720</v>
      </c>
      <c r="AA25" s="111"/>
      <c r="AE25" s="131" t="s">
        <v>368</v>
      </c>
      <c r="AF25" s="131" t="s">
        <v>339</v>
      </c>
      <c r="AG25" s="131" t="s">
        <v>21</v>
      </c>
      <c r="AH25" s="131" t="s">
        <v>15</v>
      </c>
      <c r="AI25" s="134">
        <v>6692.4</v>
      </c>
      <c r="AJ25" s="131" t="s">
        <v>13</v>
      </c>
      <c r="AK25" s="136">
        <v>8001.125</v>
      </c>
      <c r="AL25" s="111"/>
    </row>
    <row r="26" ht="33.75" customHeight="1" spans="2:38">
      <c r="B26" s="67" t="s">
        <v>369</v>
      </c>
      <c r="C26" s="68" t="s">
        <v>331</v>
      </c>
      <c r="D26" s="68" t="s">
        <v>21</v>
      </c>
      <c r="E26" s="68"/>
      <c r="F26" s="89"/>
      <c r="G26" s="90" t="s">
        <v>369</v>
      </c>
      <c r="H26" s="68" t="s">
        <v>331</v>
      </c>
      <c r="I26" s="68" t="s">
        <v>21</v>
      </c>
      <c r="J26" s="68"/>
      <c r="K26" s="89"/>
      <c r="L26" s="90" t="s">
        <v>369</v>
      </c>
      <c r="M26" s="68" t="s">
        <v>331</v>
      </c>
      <c r="N26" s="68" t="s">
        <v>21</v>
      </c>
      <c r="O26" s="68"/>
      <c r="P26" s="89"/>
      <c r="Q26" s="90" t="s">
        <v>369</v>
      </c>
      <c r="R26" s="68" t="s">
        <v>334</v>
      </c>
      <c r="S26" s="68" t="s">
        <v>21</v>
      </c>
      <c r="T26" s="68"/>
      <c r="U26" s="89"/>
      <c r="V26" s="90" t="s">
        <v>369</v>
      </c>
      <c r="W26" s="68" t="s">
        <v>334</v>
      </c>
      <c r="X26" s="68" t="s">
        <v>21</v>
      </c>
      <c r="Y26" s="68"/>
      <c r="Z26" s="89"/>
      <c r="AA26" s="110"/>
      <c r="AE26" s="131" t="s">
        <v>369</v>
      </c>
      <c r="AF26" s="131" t="s">
        <v>339</v>
      </c>
      <c r="AG26" s="131" t="s">
        <v>21</v>
      </c>
      <c r="AH26" s="131"/>
      <c r="AI26" s="131"/>
      <c r="AJ26" s="131" t="s">
        <v>14</v>
      </c>
      <c r="AK26" s="136">
        <v>7771.225</v>
      </c>
      <c r="AL26" s="111"/>
    </row>
    <row r="27" ht="33.75" customHeight="1" spans="2:38">
      <c r="B27" s="67" t="s">
        <v>370</v>
      </c>
      <c r="C27" s="68" t="s">
        <v>331</v>
      </c>
      <c r="D27" s="68" t="s">
        <v>21</v>
      </c>
      <c r="E27" s="68"/>
      <c r="F27" s="89"/>
      <c r="G27" s="90" t="s">
        <v>370</v>
      </c>
      <c r="H27" s="68" t="s">
        <v>331</v>
      </c>
      <c r="I27" s="68" t="s">
        <v>21</v>
      </c>
      <c r="J27" s="68"/>
      <c r="K27" s="89"/>
      <c r="L27" s="90" t="s">
        <v>370</v>
      </c>
      <c r="M27" s="68" t="s">
        <v>331</v>
      </c>
      <c r="N27" s="68" t="s">
        <v>21</v>
      </c>
      <c r="O27" s="68"/>
      <c r="P27" s="89"/>
      <c r="Q27" s="90" t="s">
        <v>370</v>
      </c>
      <c r="R27" s="68" t="s">
        <v>334</v>
      </c>
      <c r="S27" s="68" t="s">
        <v>21</v>
      </c>
      <c r="T27" s="68"/>
      <c r="U27" s="89"/>
      <c r="V27" s="90" t="s">
        <v>370</v>
      </c>
      <c r="W27" s="68" t="s">
        <v>333</v>
      </c>
      <c r="X27" s="68" t="s">
        <v>21</v>
      </c>
      <c r="Y27" s="68"/>
      <c r="Z27" s="89"/>
      <c r="AA27" s="110"/>
      <c r="AE27" s="131" t="s">
        <v>370</v>
      </c>
      <c r="AF27" s="131" t="s">
        <v>339</v>
      </c>
      <c r="AG27" s="131" t="s">
        <v>21</v>
      </c>
      <c r="AH27" s="131"/>
      <c r="AI27" s="131"/>
      <c r="AJ27" s="131" t="s">
        <v>15</v>
      </c>
      <c r="AK27" s="136">
        <v>4089.8</v>
      </c>
      <c r="AL27" s="111"/>
    </row>
    <row r="28" ht="33.75" customHeight="1" spans="2:38">
      <c r="B28" s="67" t="s">
        <v>371</v>
      </c>
      <c r="C28" s="68" t="s">
        <v>331</v>
      </c>
      <c r="D28" s="68" t="s">
        <v>21</v>
      </c>
      <c r="E28" s="68"/>
      <c r="F28" s="89"/>
      <c r="G28" s="90" t="s">
        <v>371</v>
      </c>
      <c r="H28" s="68" t="s">
        <v>331</v>
      </c>
      <c r="I28" s="68" t="s">
        <v>21</v>
      </c>
      <c r="J28" s="68"/>
      <c r="K28" s="89"/>
      <c r="L28" s="90" t="s">
        <v>371</v>
      </c>
      <c r="M28" s="68" t="s">
        <v>339</v>
      </c>
      <c r="N28" s="68" t="s">
        <v>21</v>
      </c>
      <c r="O28" s="68"/>
      <c r="P28" s="89"/>
      <c r="Q28" s="90" t="s">
        <v>371</v>
      </c>
      <c r="R28" s="68" t="s">
        <v>334</v>
      </c>
      <c r="S28" s="68" t="s">
        <v>21</v>
      </c>
      <c r="T28" s="68"/>
      <c r="U28" s="89"/>
      <c r="V28" s="90" t="s">
        <v>371</v>
      </c>
      <c r="W28" s="68" t="s">
        <v>333</v>
      </c>
      <c r="X28" s="68" t="s">
        <v>21</v>
      </c>
      <c r="Y28" s="68"/>
      <c r="Z28" s="89"/>
      <c r="AA28" s="110"/>
      <c r="AE28" s="131" t="s">
        <v>371</v>
      </c>
      <c r="AF28" s="131" t="s">
        <v>339</v>
      </c>
      <c r="AG28" s="131" t="s">
        <v>21</v>
      </c>
      <c r="AH28" s="131"/>
      <c r="AI28" s="131"/>
      <c r="AJ28" s="131"/>
      <c r="AK28" s="131"/>
      <c r="AL28" s="110"/>
    </row>
    <row r="29" ht="33.75" customHeight="1" spans="2:38">
      <c r="B29" s="72" t="s">
        <v>372</v>
      </c>
      <c r="C29" s="73" t="s">
        <v>333</v>
      </c>
      <c r="D29" s="73" t="s">
        <v>21</v>
      </c>
      <c r="E29" s="73"/>
      <c r="F29" s="92"/>
      <c r="G29" s="93" t="s">
        <v>372</v>
      </c>
      <c r="H29" s="73" t="s">
        <v>339</v>
      </c>
      <c r="I29" s="73" t="s">
        <v>21</v>
      </c>
      <c r="J29" s="73"/>
      <c r="K29" s="92"/>
      <c r="L29" s="93" t="s">
        <v>372</v>
      </c>
      <c r="M29" s="73" t="s">
        <v>339</v>
      </c>
      <c r="N29" s="73" t="s">
        <v>21</v>
      </c>
      <c r="O29" s="73"/>
      <c r="P29" s="92"/>
      <c r="Q29" s="93" t="s">
        <v>372</v>
      </c>
      <c r="R29" s="73" t="s">
        <v>334</v>
      </c>
      <c r="S29" s="73" t="s">
        <v>21</v>
      </c>
      <c r="T29" s="73"/>
      <c r="U29" s="92"/>
      <c r="V29" s="93" t="s">
        <v>372</v>
      </c>
      <c r="W29" s="73" t="s">
        <v>331</v>
      </c>
      <c r="X29" s="73" t="s">
        <v>21</v>
      </c>
      <c r="Y29" s="73"/>
      <c r="Z29" s="92"/>
      <c r="AA29" s="110"/>
      <c r="AE29" s="131" t="s">
        <v>372</v>
      </c>
      <c r="AF29" s="131" t="s">
        <v>339</v>
      </c>
      <c r="AG29" s="131" t="s">
        <v>21</v>
      </c>
      <c r="AH29" s="131"/>
      <c r="AI29" s="131"/>
      <c r="AJ29" s="131"/>
      <c r="AK29" s="131"/>
      <c r="AL29" s="110"/>
    </row>
    <row r="30" ht="50.2" customHeight="1" spans="2:26">
      <c r="B30" s="74" t="s">
        <v>404</v>
      </c>
      <c r="C30" s="74"/>
      <c r="D30" s="74"/>
      <c r="E30" s="74"/>
      <c r="F30" s="74"/>
      <c r="G30" s="74" t="s">
        <v>405</v>
      </c>
      <c r="H30" s="74"/>
      <c r="I30" s="74"/>
      <c r="J30" s="74"/>
      <c r="K30" s="74"/>
      <c r="L30" s="74" t="s">
        <v>406</v>
      </c>
      <c r="M30" s="74"/>
      <c r="N30" s="74"/>
      <c r="O30" s="74"/>
      <c r="P30" s="74"/>
      <c r="Q30" s="74" t="s">
        <v>407</v>
      </c>
      <c r="R30" s="74"/>
      <c r="S30" s="74"/>
      <c r="T30" s="74"/>
      <c r="U30" s="74"/>
      <c r="V30" s="74" t="s">
        <v>408</v>
      </c>
      <c r="W30" s="74"/>
      <c r="X30" s="74"/>
      <c r="Y30" s="74"/>
      <c r="Z30" s="74"/>
    </row>
    <row r="31" ht="33.75" customHeight="1" spans="2:26">
      <c r="B31" s="63" t="s">
        <v>376</v>
      </c>
      <c r="C31" s="75"/>
      <c r="D31" s="75"/>
      <c r="E31" s="75"/>
      <c r="F31" s="75"/>
      <c r="G31" s="63" t="s">
        <v>377</v>
      </c>
      <c r="H31" s="75"/>
      <c r="I31" s="75"/>
      <c r="J31" s="75"/>
      <c r="K31" s="75"/>
      <c r="L31" s="63" t="s">
        <v>378</v>
      </c>
      <c r="M31" s="75"/>
      <c r="N31" s="75"/>
      <c r="O31" s="75"/>
      <c r="P31" s="75"/>
      <c r="Q31" s="63" t="s">
        <v>379</v>
      </c>
      <c r="R31" s="75"/>
      <c r="S31" s="75"/>
      <c r="T31" s="75"/>
      <c r="U31" s="75"/>
      <c r="V31" s="119" t="s">
        <v>380</v>
      </c>
      <c r="W31" s="120"/>
      <c r="X31" s="120"/>
      <c r="Y31" s="120"/>
      <c r="Z31" s="127"/>
    </row>
    <row r="32" ht="30.25" customHeight="1" spans="2:26">
      <c r="B32" s="63" t="s">
        <v>409</v>
      </c>
      <c r="C32" s="64" t="s">
        <v>382</v>
      </c>
      <c r="D32" s="76">
        <v>155500</v>
      </c>
      <c r="E32" s="76">
        <v>322800</v>
      </c>
      <c r="F32" s="94" t="s">
        <v>410</v>
      </c>
      <c r="G32" s="63" t="s">
        <v>409</v>
      </c>
      <c r="H32" s="64" t="s">
        <v>382</v>
      </c>
      <c r="I32" s="76">
        <v>145000</v>
      </c>
      <c r="J32" s="76">
        <v>326000</v>
      </c>
      <c r="K32" s="94" t="s">
        <v>410</v>
      </c>
      <c r="L32" s="63" t="s">
        <v>409</v>
      </c>
      <c r="M32" s="64" t="s">
        <v>382</v>
      </c>
      <c r="N32" s="76">
        <v>133000</v>
      </c>
      <c r="O32" s="76">
        <v>332900</v>
      </c>
      <c r="P32" s="94" t="s">
        <v>410</v>
      </c>
      <c r="Q32" s="63" t="s">
        <v>409</v>
      </c>
      <c r="R32" s="64" t="s">
        <v>382</v>
      </c>
      <c r="S32" s="76">
        <v>125000</v>
      </c>
      <c r="T32" s="76">
        <v>315000</v>
      </c>
      <c r="U32" s="94" t="s">
        <v>410</v>
      </c>
      <c r="V32" s="121" t="s">
        <v>409</v>
      </c>
      <c r="W32" s="1" t="s">
        <v>382</v>
      </c>
      <c r="X32" s="17">
        <v>118000</v>
      </c>
      <c r="Y32" s="17">
        <v>300000</v>
      </c>
      <c r="Z32" s="128" t="s">
        <v>410</v>
      </c>
    </row>
    <row r="33" ht="52.4" customHeight="1" spans="2:26">
      <c r="B33" s="66" t="s">
        <v>411</v>
      </c>
      <c r="C33" s="60"/>
      <c r="D33" s="60"/>
      <c r="E33" s="60"/>
      <c r="F33" s="60"/>
      <c r="G33" s="66" t="s">
        <v>412</v>
      </c>
      <c r="H33" s="60"/>
      <c r="I33" s="60"/>
      <c r="J33" s="60"/>
      <c r="K33" s="60"/>
      <c r="L33" s="66" t="s">
        <v>413</v>
      </c>
      <c r="M33" s="60"/>
      <c r="N33" s="60"/>
      <c r="O33" s="60"/>
      <c r="P33" s="60"/>
      <c r="Q33" s="66" t="s">
        <v>413</v>
      </c>
      <c r="R33" s="60"/>
      <c r="S33" s="60"/>
      <c r="T33" s="60"/>
      <c r="U33" s="60"/>
      <c r="V33" s="122" t="s">
        <v>413</v>
      </c>
      <c r="W33" s="123"/>
      <c r="X33" s="123"/>
      <c r="Y33" s="123"/>
      <c r="Z33" s="129"/>
    </row>
    <row r="34" ht="37.7" customHeight="1" spans="2:38">
      <c r="B34" s="67" t="s">
        <v>356</v>
      </c>
      <c r="C34" s="68" t="s">
        <v>357</v>
      </c>
      <c r="D34" s="68" t="s">
        <v>358</v>
      </c>
      <c r="E34" s="81" t="s">
        <v>359</v>
      </c>
      <c r="F34" s="81"/>
      <c r="G34" s="67" t="s">
        <v>356</v>
      </c>
      <c r="H34" s="68" t="s">
        <v>357</v>
      </c>
      <c r="I34" s="68" t="s">
        <v>358</v>
      </c>
      <c r="J34" s="81" t="s">
        <v>359</v>
      </c>
      <c r="K34" s="81"/>
      <c r="L34" s="67" t="s">
        <v>356</v>
      </c>
      <c r="M34" s="68" t="s">
        <v>357</v>
      </c>
      <c r="N34" s="68" t="s">
        <v>358</v>
      </c>
      <c r="O34" s="81" t="s">
        <v>359</v>
      </c>
      <c r="P34" s="81"/>
      <c r="Q34" s="67" t="s">
        <v>356</v>
      </c>
      <c r="R34" s="68" t="s">
        <v>357</v>
      </c>
      <c r="S34" s="68" t="s">
        <v>358</v>
      </c>
      <c r="T34" s="89" t="s">
        <v>359</v>
      </c>
      <c r="U34" s="81"/>
      <c r="V34" s="67" t="s">
        <v>356</v>
      </c>
      <c r="W34" s="68" t="s">
        <v>357</v>
      </c>
      <c r="X34" s="68" t="s">
        <v>358</v>
      </c>
      <c r="Y34" s="68" t="s">
        <v>359</v>
      </c>
      <c r="Z34" s="89"/>
      <c r="AA34" s="110"/>
      <c r="AD34" s="132" t="s">
        <v>414</v>
      </c>
      <c r="AE34" s="131" t="s">
        <v>356</v>
      </c>
      <c r="AF34" s="131" t="s">
        <v>357</v>
      </c>
      <c r="AG34" s="131" t="s">
        <v>358</v>
      </c>
      <c r="AH34" s="131" t="s">
        <v>359</v>
      </c>
      <c r="AI34" s="131"/>
      <c r="AJ34" s="131" t="s">
        <v>360</v>
      </c>
      <c r="AK34" s="131"/>
      <c r="AL34" s="110"/>
    </row>
    <row r="35" ht="37.7" customHeight="1" spans="2:38">
      <c r="B35" s="67" t="s">
        <v>361</v>
      </c>
      <c r="C35" s="68" t="s">
        <v>389</v>
      </c>
      <c r="D35" s="68" t="s">
        <v>362</v>
      </c>
      <c r="E35" s="68" t="s">
        <v>10</v>
      </c>
      <c r="F35" s="82">
        <v>43077.65</v>
      </c>
      <c r="G35" s="67" t="s">
        <v>361</v>
      </c>
      <c r="H35" s="68" t="s">
        <v>389</v>
      </c>
      <c r="I35" s="68" t="s">
        <v>362</v>
      </c>
      <c r="J35" s="68" t="s">
        <v>10</v>
      </c>
      <c r="K35" s="82">
        <v>43269.65</v>
      </c>
      <c r="L35" s="67" t="s">
        <v>361</v>
      </c>
      <c r="M35" s="68" t="s">
        <v>389</v>
      </c>
      <c r="N35" s="68" t="s">
        <v>362</v>
      </c>
      <c r="O35" s="68" t="s">
        <v>10</v>
      </c>
      <c r="P35" s="82">
        <v>37180</v>
      </c>
      <c r="Q35" s="67" t="s">
        <v>361</v>
      </c>
      <c r="R35" s="68" t="s">
        <v>389</v>
      </c>
      <c r="S35" s="68" t="s">
        <v>362</v>
      </c>
      <c r="T35" s="68" t="s">
        <v>10</v>
      </c>
      <c r="U35" s="82">
        <v>37404</v>
      </c>
      <c r="V35" s="67" t="s">
        <v>361</v>
      </c>
      <c r="W35" s="68" t="s">
        <v>389</v>
      </c>
      <c r="X35" s="68" t="s">
        <v>362</v>
      </c>
      <c r="Y35" s="68" t="s">
        <v>10</v>
      </c>
      <c r="Z35" s="91">
        <v>35326</v>
      </c>
      <c r="AA35" s="111"/>
      <c r="AE35" s="131" t="s">
        <v>361</v>
      </c>
      <c r="AF35" s="131" t="s">
        <v>337</v>
      </c>
      <c r="AG35" s="131" t="s">
        <v>21</v>
      </c>
      <c r="AH35" s="131" t="s">
        <v>10</v>
      </c>
      <c r="AI35" s="134">
        <v>18954</v>
      </c>
      <c r="AJ35" s="131" t="s">
        <v>363</v>
      </c>
      <c r="AK35" s="135" t="s">
        <v>337</v>
      </c>
      <c r="AL35" s="110"/>
    </row>
    <row r="36" ht="37.7" customHeight="1" spans="2:38">
      <c r="B36" s="67" t="s">
        <v>364</v>
      </c>
      <c r="C36" s="68" t="s">
        <v>389</v>
      </c>
      <c r="D36" s="68" t="s">
        <v>362</v>
      </c>
      <c r="E36" s="68" t="s">
        <v>12</v>
      </c>
      <c r="F36" s="82">
        <v>155596.491666667</v>
      </c>
      <c r="G36" s="67" t="s">
        <v>364</v>
      </c>
      <c r="H36" s="68" t="s">
        <v>389</v>
      </c>
      <c r="I36" s="68" t="s">
        <v>362</v>
      </c>
      <c r="J36" s="68" t="s">
        <v>12</v>
      </c>
      <c r="K36" s="82">
        <v>145335.491666667</v>
      </c>
      <c r="L36" s="67" t="s">
        <v>364</v>
      </c>
      <c r="M36" s="68" t="s">
        <v>389</v>
      </c>
      <c r="N36" s="68" t="s">
        <v>362</v>
      </c>
      <c r="O36" s="68" t="s">
        <v>12</v>
      </c>
      <c r="P36" s="82">
        <v>133013.666666667</v>
      </c>
      <c r="Q36" s="67" t="s">
        <v>364</v>
      </c>
      <c r="R36" s="68" t="s">
        <v>389</v>
      </c>
      <c r="S36" s="68" t="s">
        <v>362</v>
      </c>
      <c r="T36" s="68" t="s">
        <v>12</v>
      </c>
      <c r="U36" s="82">
        <v>126317</v>
      </c>
      <c r="V36" s="67" t="s">
        <v>364</v>
      </c>
      <c r="W36" s="68" t="s">
        <v>389</v>
      </c>
      <c r="X36" s="68" t="s">
        <v>362</v>
      </c>
      <c r="Y36" s="68" t="s">
        <v>12</v>
      </c>
      <c r="Z36" s="91">
        <v>118639.666666667</v>
      </c>
      <c r="AA36" s="111"/>
      <c r="AE36" s="131" t="s">
        <v>364</v>
      </c>
      <c r="AF36" s="131" t="s">
        <v>337</v>
      </c>
      <c r="AG36" s="131" t="s">
        <v>21</v>
      </c>
      <c r="AH36" s="131" t="s">
        <v>12</v>
      </c>
      <c r="AI36" s="134">
        <v>69525</v>
      </c>
      <c r="AJ36" s="131" t="s">
        <v>390</v>
      </c>
      <c r="AK36" s="131"/>
      <c r="AL36" s="110"/>
    </row>
    <row r="37" ht="37.7" customHeight="1" spans="2:38">
      <c r="B37" s="67" t="s">
        <v>366</v>
      </c>
      <c r="C37" s="73" t="s">
        <v>402</v>
      </c>
      <c r="D37" s="73"/>
      <c r="E37" s="73" t="s">
        <v>13</v>
      </c>
      <c r="F37" s="82">
        <v>322871.458333332</v>
      </c>
      <c r="G37" s="67" t="s">
        <v>366</v>
      </c>
      <c r="H37" s="73" t="s">
        <v>402</v>
      </c>
      <c r="I37" s="73"/>
      <c r="J37" s="68" t="s">
        <v>13</v>
      </c>
      <c r="K37" s="82">
        <v>326745.458333332</v>
      </c>
      <c r="L37" s="67" t="s">
        <v>366</v>
      </c>
      <c r="M37" s="68" t="s">
        <v>338</v>
      </c>
      <c r="N37" s="68" t="s">
        <v>21</v>
      </c>
      <c r="O37" s="68" t="s">
        <v>13</v>
      </c>
      <c r="P37" s="82">
        <v>332974.333333332</v>
      </c>
      <c r="Q37" s="67" t="s">
        <v>366</v>
      </c>
      <c r="R37" s="68" t="s">
        <v>331</v>
      </c>
      <c r="S37" s="68" t="s">
        <v>21</v>
      </c>
      <c r="T37" s="68" t="s">
        <v>13</v>
      </c>
      <c r="U37" s="82">
        <v>317515.999999999</v>
      </c>
      <c r="V37" s="67" t="s">
        <v>366</v>
      </c>
      <c r="W37" s="68" t="s">
        <v>331</v>
      </c>
      <c r="X37" s="68" t="s">
        <v>21</v>
      </c>
      <c r="Y37" s="68" t="s">
        <v>13</v>
      </c>
      <c r="Z37" s="91">
        <v>301620.333333332</v>
      </c>
      <c r="AA37" s="111"/>
      <c r="AE37" s="131" t="s">
        <v>366</v>
      </c>
      <c r="AF37" s="131" t="s">
        <v>337</v>
      </c>
      <c r="AG37" s="131" t="s">
        <v>21</v>
      </c>
      <c r="AH37" s="131" t="s">
        <v>13</v>
      </c>
      <c r="AI37" s="134">
        <v>167058</v>
      </c>
      <c r="AJ37" s="131" t="s">
        <v>10</v>
      </c>
      <c r="AK37" s="136">
        <v>11583</v>
      </c>
      <c r="AL37" s="111"/>
    </row>
    <row r="38" ht="37.7" customHeight="1" spans="2:38">
      <c r="B38" s="77" t="s">
        <v>367</v>
      </c>
      <c r="C38" s="68" t="s">
        <v>338</v>
      </c>
      <c r="D38" s="68" t="s">
        <v>403</v>
      </c>
      <c r="E38" s="68" t="s">
        <v>14</v>
      </c>
      <c r="F38" s="95">
        <v>193809.891666667</v>
      </c>
      <c r="G38" s="67" t="s">
        <v>367</v>
      </c>
      <c r="H38" s="68" t="s">
        <v>335</v>
      </c>
      <c r="I38" s="68" t="s">
        <v>21</v>
      </c>
      <c r="J38" s="68" t="s">
        <v>14</v>
      </c>
      <c r="K38" s="82">
        <v>192005.891666667</v>
      </c>
      <c r="L38" s="67" t="s">
        <v>367</v>
      </c>
      <c r="M38" s="68" t="s">
        <v>338</v>
      </c>
      <c r="N38" s="68" t="s">
        <v>21</v>
      </c>
      <c r="O38" s="68" t="s">
        <v>14</v>
      </c>
      <c r="P38" s="82">
        <v>197176.666666667</v>
      </c>
      <c r="Q38" s="67" t="s">
        <v>367</v>
      </c>
      <c r="R38" s="68" t="s">
        <v>331</v>
      </c>
      <c r="S38" s="68" t="s">
        <v>21</v>
      </c>
      <c r="T38" s="68" t="s">
        <v>14</v>
      </c>
      <c r="U38" s="82">
        <v>195072</v>
      </c>
      <c r="V38" s="67" t="s">
        <v>367</v>
      </c>
      <c r="W38" s="68" t="s">
        <v>331</v>
      </c>
      <c r="X38" s="68" t="s">
        <v>21</v>
      </c>
      <c r="Y38" s="68" t="s">
        <v>14</v>
      </c>
      <c r="Z38" s="91">
        <v>184234.666666667</v>
      </c>
      <c r="AA38" s="111"/>
      <c r="AE38" s="131" t="s">
        <v>367</v>
      </c>
      <c r="AF38" s="131" t="s">
        <v>337</v>
      </c>
      <c r="AG38" s="131" t="s">
        <v>21</v>
      </c>
      <c r="AH38" s="131" t="s">
        <v>14</v>
      </c>
      <c r="AI38" s="134">
        <v>94743</v>
      </c>
      <c r="AJ38" s="131" t="s">
        <v>12</v>
      </c>
      <c r="AK38" s="136">
        <v>39876.5</v>
      </c>
      <c r="AL38" s="111"/>
    </row>
    <row r="39" ht="37.7" customHeight="1" spans="2:38">
      <c r="B39" s="77" t="s">
        <v>368</v>
      </c>
      <c r="C39" s="68" t="s">
        <v>338</v>
      </c>
      <c r="D39" s="68" t="s">
        <v>403</v>
      </c>
      <c r="E39" s="68" t="s">
        <v>15</v>
      </c>
      <c r="F39" s="95">
        <v>50297.8</v>
      </c>
      <c r="G39" s="67" t="s">
        <v>368</v>
      </c>
      <c r="H39" s="68" t="s">
        <v>335</v>
      </c>
      <c r="I39" s="68" t="s">
        <v>21</v>
      </c>
      <c r="J39" s="68" t="s">
        <v>15</v>
      </c>
      <c r="K39" s="82">
        <v>49751.8</v>
      </c>
      <c r="L39" s="67" t="s">
        <v>368</v>
      </c>
      <c r="M39" s="68" t="s">
        <v>338</v>
      </c>
      <c r="N39" s="68" t="s">
        <v>21</v>
      </c>
      <c r="O39" s="68" t="s">
        <v>15</v>
      </c>
      <c r="P39" s="82">
        <v>48985</v>
      </c>
      <c r="Q39" s="67" t="s">
        <v>368</v>
      </c>
      <c r="R39" s="68" t="s">
        <v>331</v>
      </c>
      <c r="S39" s="68" t="s">
        <v>21</v>
      </c>
      <c r="T39" s="68" t="s">
        <v>15</v>
      </c>
      <c r="U39" s="82">
        <v>48348</v>
      </c>
      <c r="V39" s="67" t="s">
        <v>368</v>
      </c>
      <c r="W39" s="68" t="s">
        <v>331</v>
      </c>
      <c r="X39" s="68" t="s">
        <v>21</v>
      </c>
      <c r="Y39" s="68" t="s">
        <v>15</v>
      </c>
      <c r="Z39" s="91">
        <v>45662</v>
      </c>
      <c r="AA39" s="111"/>
      <c r="AE39" s="131" t="s">
        <v>368</v>
      </c>
      <c r="AF39" s="131" t="s">
        <v>337</v>
      </c>
      <c r="AG39" s="131" t="s">
        <v>21</v>
      </c>
      <c r="AH39" s="131" t="s">
        <v>15</v>
      </c>
      <c r="AI39" s="134">
        <v>24174</v>
      </c>
      <c r="AJ39" s="131" t="s">
        <v>13</v>
      </c>
      <c r="AK39" s="136">
        <v>102091</v>
      </c>
      <c r="AL39" s="111"/>
    </row>
    <row r="40" ht="37.7" customHeight="1" spans="2:38">
      <c r="B40" s="77" t="s">
        <v>369</v>
      </c>
      <c r="C40" s="68" t="s">
        <v>338</v>
      </c>
      <c r="D40" s="68" t="s">
        <v>403</v>
      </c>
      <c r="E40" s="68"/>
      <c r="F40" s="96"/>
      <c r="G40" s="67" t="s">
        <v>369</v>
      </c>
      <c r="H40" s="68" t="s">
        <v>335</v>
      </c>
      <c r="I40" s="68" t="s">
        <v>21</v>
      </c>
      <c r="J40" s="68"/>
      <c r="K40" s="81"/>
      <c r="L40" s="67" t="s">
        <v>369</v>
      </c>
      <c r="M40" s="68" t="s">
        <v>338</v>
      </c>
      <c r="N40" s="68" t="s">
        <v>21</v>
      </c>
      <c r="O40" s="68"/>
      <c r="P40" s="81"/>
      <c r="Q40" s="67" t="s">
        <v>369</v>
      </c>
      <c r="R40" s="68" t="s">
        <v>331</v>
      </c>
      <c r="S40" s="68" t="s">
        <v>21</v>
      </c>
      <c r="T40" s="68"/>
      <c r="U40" s="81"/>
      <c r="V40" s="67" t="s">
        <v>369</v>
      </c>
      <c r="W40" s="68" t="s">
        <v>331</v>
      </c>
      <c r="X40" s="68" t="s">
        <v>21</v>
      </c>
      <c r="Y40" s="68"/>
      <c r="Z40" s="89"/>
      <c r="AA40" s="110"/>
      <c r="AE40" s="131" t="s">
        <v>369</v>
      </c>
      <c r="AF40" s="131" t="s">
        <v>337</v>
      </c>
      <c r="AG40" s="131" t="s">
        <v>21</v>
      </c>
      <c r="AH40" s="131"/>
      <c r="AI40" s="131"/>
      <c r="AJ40" s="131" t="s">
        <v>14</v>
      </c>
      <c r="AK40" s="136">
        <v>57898.5</v>
      </c>
      <c r="AL40" s="111"/>
    </row>
    <row r="41" ht="37.7" customHeight="1" spans="2:38">
      <c r="B41" s="77" t="s">
        <v>370</v>
      </c>
      <c r="C41" s="68" t="s">
        <v>338</v>
      </c>
      <c r="D41" s="68" t="s">
        <v>403</v>
      </c>
      <c r="E41" s="68"/>
      <c r="F41" s="96"/>
      <c r="G41" s="67" t="s">
        <v>370</v>
      </c>
      <c r="H41" s="68" t="s">
        <v>335</v>
      </c>
      <c r="I41" s="68" t="s">
        <v>21</v>
      </c>
      <c r="J41" s="68"/>
      <c r="K41" s="81"/>
      <c r="L41" s="67" t="s">
        <v>370</v>
      </c>
      <c r="M41" s="68" t="s">
        <v>338</v>
      </c>
      <c r="N41" s="68" t="s">
        <v>21</v>
      </c>
      <c r="O41" s="68"/>
      <c r="P41" s="81"/>
      <c r="Q41" s="67" t="s">
        <v>370</v>
      </c>
      <c r="R41" s="68" t="s">
        <v>331</v>
      </c>
      <c r="S41" s="68" t="s">
        <v>21</v>
      </c>
      <c r="T41" s="68"/>
      <c r="U41" s="81"/>
      <c r="V41" s="67" t="s">
        <v>370</v>
      </c>
      <c r="W41" s="68" t="s">
        <v>331</v>
      </c>
      <c r="X41" s="68" t="s">
        <v>21</v>
      </c>
      <c r="Y41" s="68"/>
      <c r="Z41" s="89"/>
      <c r="AA41" s="110"/>
      <c r="AE41" s="131" t="s">
        <v>370</v>
      </c>
      <c r="AF41" s="131" t="s">
        <v>337</v>
      </c>
      <c r="AG41" s="131" t="s">
        <v>21</v>
      </c>
      <c r="AH41" s="131"/>
      <c r="AI41" s="131"/>
      <c r="AJ41" s="131" t="s">
        <v>15</v>
      </c>
      <c r="AK41" s="136">
        <v>14773</v>
      </c>
      <c r="AL41" s="111"/>
    </row>
    <row r="42" ht="37.7" customHeight="1" spans="2:38">
      <c r="B42" s="77" t="s">
        <v>371</v>
      </c>
      <c r="C42" s="68" t="s">
        <v>338</v>
      </c>
      <c r="D42" s="68" t="s">
        <v>403</v>
      </c>
      <c r="E42" s="68"/>
      <c r="F42" s="96"/>
      <c r="G42" s="67" t="s">
        <v>371</v>
      </c>
      <c r="H42" s="68" t="s">
        <v>335</v>
      </c>
      <c r="I42" s="68" t="s">
        <v>21</v>
      </c>
      <c r="J42" s="68"/>
      <c r="K42" s="81"/>
      <c r="L42" s="67" t="s">
        <v>371</v>
      </c>
      <c r="M42" s="68" t="s">
        <v>338</v>
      </c>
      <c r="N42" s="68" t="s">
        <v>21</v>
      </c>
      <c r="O42" s="68"/>
      <c r="P42" s="81"/>
      <c r="Q42" s="67" t="s">
        <v>371</v>
      </c>
      <c r="R42" s="68" t="s">
        <v>331</v>
      </c>
      <c r="S42" s="68" t="s">
        <v>21</v>
      </c>
      <c r="T42" s="68"/>
      <c r="U42" s="81"/>
      <c r="V42" s="67" t="s">
        <v>371</v>
      </c>
      <c r="W42" s="68" t="s">
        <v>331</v>
      </c>
      <c r="X42" s="68" t="s">
        <v>21</v>
      </c>
      <c r="Y42" s="68"/>
      <c r="Z42" s="89"/>
      <c r="AA42" s="110"/>
      <c r="AE42" s="131" t="s">
        <v>371</v>
      </c>
      <c r="AF42" s="131" t="s">
        <v>337</v>
      </c>
      <c r="AG42" s="131" t="s">
        <v>21</v>
      </c>
      <c r="AH42" s="131"/>
      <c r="AI42" s="131"/>
      <c r="AJ42" s="131"/>
      <c r="AK42" s="131"/>
      <c r="AL42" s="110"/>
    </row>
    <row r="43" ht="37.7" customHeight="1" spans="2:38">
      <c r="B43" s="78" t="s">
        <v>372</v>
      </c>
      <c r="C43" s="73" t="s">
        <v>338</v>
      </c>
      <c r="D43" s="73" t="s">
        <v>403</v>
      </c>
      <c r="E43" s="73"/>
      <c r="F43" s="97"/>
      <c r="G43" s="72" t="s">
        <v>372</v>
      </c>
      <c r="H43" s="73" t="s">
        <v>335</v>
      </c>
      <c r="I43" s="73" t="s">
        <v>21</v>
      </c>
      <c r="J43" s="73"/>
      <c r="K43" s="104"/>
      <c r="L43" s="72" t="s">
        <v>372</v>
      </c>
      <c r="M43" s="73" t="s">
        <v>338</v>
      </c>
      <c r="N43" s="73" t="s">
        <v>21</v>
      </c>
      <c r="O43" s="73"/>
      <c r="P43" s="104"/>
      <c r="Q43" s="72" t="s">
        <v>372</v>
      </c>
      <c r="R43" s="73" t="s">
        <v>331</v>
      </c>
      <c r="S43" s="73" t="s">
        <v>21</v>
      </c>
      <c r="T43" s="73"/>
      <c r="U43" s="104"/>
      <c r="V43" s="72" t="s">
        <v>372</v>
      </c>
      <c r="W43" s="73" t="s">
        <v>362</v>
      </c>
      <c r="X43" s="73" t="s">
        <v>362</v>
      </c>
      <c r="Y43" s="73"/>
      <c r="Z43" s="92"/>
      <c r="AA43" s="110"/>
      <c r="AE43" s="131" t="s">
        <v>372</v>
      </c>
      <c r="AF43" s="131" t="s">
        <v>337</v>
      </c>
      <c r="AG43" s="131" t="s">
        <v>21</v>
      </c>
      <c r="AH43" s="131"/>
      <c r="AI43" s="131"/>
      <c r="AJ43" s="131"/>
      <c r="AK43" s="131"/>
      <c r="AL43" s="110"/>
    </row>
    <row r="44" ht="48.25" customHeight="1" spans="2:26">
      <c r="B44" s="74" t="s">
        <v>415</v>
      </c>
      <c r="C44" s="74"/>
      <c r="D44" s="74"/>
      <c r="E44" s="74"/>
      <c r="F44" s="98"/>
      <c r="G44" s="74" t="s">
        <v>416</v>
      </c>
      <c r="H44" s="74"/>
      <c r="I44" s="74"/>
      <c r="J44" s="74"/>
      <c r="K44" s="98"/>
      <c r="L44" s="74" t="s">
        <v>417</v>
      </c>
      <c r="M44" s="74"/>
      <c r="N44" s="74"/>
      <c r="O44" s="74"/>
      <c r="P44" s="98"/>
      <c r="Q44" s="74" t="s">
        <v>418</v>
      </c>
      <c r="R44" s="74"/>
      <c r="S44" s="74"/>
      <c r="T44" s="74"/>
      <c r="U44" s="98"/>
      <c r="V44" s="74" t="s">
        <v>419</v>
      </c>
      <c r="W44" s="74"/>
      <c r="X44" s="74"/>
      <c r="Y44" s="74"/>
      <c r="Z44" s="74"/>
    </row>
    <row r="45" ht="35.55" customHeight="1" spans="2:8">
      <c r="B45" s="63" t="s">
        <v>420</v>
      </c>
      <c r="C45" s="75"/>
      <c r="D45" s="75"/>
      <c r="E45" s="75"/>
      <c r="F45" s="75"/>
      <c r="G45" s="99"/>
      <c r="H45" s="100"/>
    </row>
    <row r="46" ht="35.55" customHeight="1" spans="2:8">
      <c r="B46" s="63" t="s">
        <v>421</v>
      </c>
      <c r="C46" s="64"/>
      <c r="D46" s="76"/>
      <c r="E46" s="76"/>
      <c r="F46" s="101" t="s">
        <v>422</v>
      </c>
      <c r="G46" s="101"/>
      <c r="H46" s="101"/>
    </row>
    <row r="47" ht="71.9" customHeight="1" spans="2:8">
      <c r="B47" s="79" t="s">
        <v>423</v>
      </c>
      <c r="C47" s="79"/>
      <c r="D47" s="79"/>
      <c r="E47" s="79"/>
      <c r="F47" s="79"/>
      <c r="G47" s="79"/>
      <c r="H47" s="79"/>
    </row>
    <row r="48" ht="35.55" customHeight="1" spans="2:38">
      <c r="B48" s="67" t="s">
        <v>356</v>
      </c>
      <c r="C48" s="68" t="s">
        <v>357</v>
      </c>
      <c r="D48" s="68" t="s">
        <v>358</v>
      </c>
      <c r="E48" s="68" t="s">
        <v>359</v>
      </c>
      <c r="F48" s="68"/>
      <c r="G48" s="68" t="s">
        <v>360</v>
      </c>
      <c r="H48" s="89"/>
      <c r="J48" s="110"/>
      <c r="AD48" s="132" t="s">
        <v>424</v>
      </c>
      <c r="AE48" s="131" t="s">
        <v>356</v>
      </c>
      <c r="AF48" s="131" t="s">
        <v>357</v>
      </c>
      <c r="AG48" s="131" t="s">
        <v>358</v>
      </c>
      <c r="AH48" s="131" t="s">
        <v>359</v>
      </c>
      <c r="AI48" s="131"/>
      <c r="AJ48" s="131" t="s">
        <v>360</v>
      </c>
      <c r="AK48" s="131"/>
      <c r="AL48" s="110"/>
    </row>
    <row r="49" ht="35.55" customHeight="1" spans="2:38">
      <c r="B49" s="67" t="s">
        <v>361</v>
      </c>
      <c r="C49" s="68" t="s">
        <v>340</v>
      </c>
      <c r="D49" s="68" t="s">
        <v>19</v>
      </c>
      <c r="E49" s="68" t="s">
        <v>10</v>
      </c>
      <c r="F49" s="102">
        <v>27721.2</v>
      </c>
      <c r="G49" s="81" t="s">
        <v>363</v>
      </c>
      <c r="H49" s="89" t="s">
        <v>340</v>
      </c>
      <c r="J49" s="110"/>
      <c r="AE49" s="131" t="s">
        <v>361</v>
      </c>
      <c r="AF49" s="131" t="s">
        <v>338</v>
      </c>
      <c r="AG49" s="131" t="s">
        <v>21</v>
      </c>
      <c r="AH49" s="131" t="s">
        <v>10</v>
      </c>
      <c r="AI49" s="134">
        <v>18414</v>
      </c>
      <c r="AJ49" s="131" t="s">
        <v>363</v>
      </c>
      <c r="AK49" s="137" t="s">
        <v>338</v>
      </c>
      <c r="AL49" s="110"/>
    </row>
    <row r="50" ht="35.55" customHeight="1" spans="2:38">
      <c r="B50" s="67" t="s">
        <v>364</v>
      </c>
      <c r="C50" s="68" t="s">
        <v>340</v>
      </c>
      <c r="D50" s="68" t="s">
        <v>19</v>
      </c>
      <c r="E50" s="68" t="s">
        <v>12</v>
      </c>
      <c r="F50" s="102">
        <v>16745.85</v>
      </c>
      <c r="G50" s="68" t="s">
        <v>365</v>
      </c>
      <c r="H50" s="89"/>
      <c r="J50" s="110"/>
      <c r="AE50" s="131" t="s">
        <v>364</v>
      </c>
      <c r="AF50" s="131" t="s">
        <v>338</v>
      </c>
      <c r="AG50" s="131" t="s">
        <v>21</v>
      </c>
      <c r="AH50" s="131" t="s">
        <v>12</v>
      </c>
      <c r="AI50" s="134">
        <v>77706</v>
      </c>
      <c r="AJ50" s="131" t="s">
        <v>390</v>
      </c>
      <c r="AK50" s="131"/>
      <c r="AL50" s="110"/>
    </row>
    <row r="51" ht="35.55" customHeight="1" spans="2:38">
      <c r="B51" s="67" t="s">
        <v>366</v>
      </c>
      <c r="C51" s="68" t="s">
        <v>340</v>
      </c>
      <c r="D51" s="68" t="s">
        <v>19</v>
      </c>
      <c r="E51" s="68" t="s">
        <v>13</v>
      </c>
      <c r="F51" s="102">
        <v>10721.7</v>
      </c>
      <c r="G51" s="81" t="s">
        <v>10</v>
      </c>
      <c r="H51" s="103">
        <v>15871.4</v>
      </c>
      <c r="J51" s="111"/>
      <c r="AE51" s="131" t="s">
        <v>366</v>
      </c>
      <c r="AF51" s="131" t="s">
        <v>338</v>
      </c>
      <c r="AG51" s="131" t="s">
        <v>21</v>
      </c>
      <c r="AH51" s="131" t="s">
        <v>13</v>
      </c>
      <c r="AI51" s="134">
        <v>162936</v>
      </c>
      <c r="AJ51" s="131" t="s">
        <v>10</v>
      </c>
      <c r="AK51" s="136">
        <v>11253</v>
      </c>
      <c r="AL51" s="111"/>
    </row>
    <row r="52" ht="35.55" customHeight="1" spans="2:38">
      <c r="B52" s="67" t="s">
        <v>367</v>
      </c>
      <c r="C52" s="68" t="s">
        <v>340</v>
      </c>
      <c r="D52" s="68" t="s">
        <v>19</v>
      </c>
      <c r="E52" s="68" t="s">
        <v>14</v>
      </c>
      <c r="F52" s="102">
        <v>6667.65</v>
      </c>
      <c r="G52" s="81" t="s">
        <v>12</v>
      </c>
      <c r="H52" s="103">
        <v>10233.575</v>
      </c>
      <c r="J52" s="111"/>
      <c r="AE52" s="131" t="s">
        <v>367</v>
      </c>
      <c r="AF52" s="131" t="s">
        <v>338</v>
      </c>
      <c r="AG52" s="131" t="s">
        <v>21</v>
      </c>
      <c r="AH52" s="131" t="s">
        <v>14</v>
      </c>
      <c r="AI52" s="134">
        <v>100242</v>
      </c>
      <c r="AJ52" s="131" t="s">
        <v>12</v>
      </c>
      <c r="AK52" s="136">
        <v>44876</v>
      </c>
      <c r="AL52" s="111"/>
    </row>
    <row r="53" ht="35.55" customHeight="1" spans="2:38">
      <c r="B53" s="67" t="s">
        <v>368</v>
      </c>
      <c r="C53" s="68" t="s">
        <v>340</v>
      </c>
      <c r="D53" s="68" t="s">
        <v>26</v>
      </c>
      <c r="E53" s="68" t="s">
        <v>15</v>
      </c>
      <c r="F53" s="102">
        <v>26736.15</v>
      </c>
      <c r="G53" s="81" t="s">
        <v>13</v>
      </c>
      <c r="H53" s="103">
        <v>6552.15</v>
      </c>
      <c r="I53" s="99"/>
      <c r="J53" s="111"/>
      <c r="AE53" s="131" t="s">
        <v>368</v>
      </c>
      <c r="AF53" s="131" t="s">
        <v>338</v>
      </c>
      <c r="AG53" s="131" t="s">
        <v>21</v>
      </c>
      <c r="AH53" s="131" t="s">
        <v>15</v>
      </c>
      <c r="AI53" s="134">
        <v>24993</v>
      </c>
      <c r="AJ53" s="131" t="s">
        <v>13</v>
      </c>
      <c r="AK53" s="136">
        <v>99572</v>
      </c>
      <c r="AL53" s="111"/>
    </row>
    <row r="54" ht="35.55" customHeight="1" spans="2:38">
      <c r="B54" s="67" t="s">
        <v>369</v>
      </c>
      <c r="C54" s="68" t="s">
        <v>340</v>
      </c>
      <c r="D54" s="68" t="s">
        <v>26</v>
      </c>
      <c r="E54" s="68"/>
      <c r="F54" s="68"/>
      <c r="G54" s="81" t="s">
        <v>14</v>
      </c>
      <c r="H54" s="103">
        <v>4074.675</v>
      </c>
      <c r="I54" s="99"/>
      <c r="J54" s="111"/>
      <c r="AE54" s="131" t="s">
        <v>369</v>
      </c>
      <c r="AF54" s="131" t="s">
        <v>338</v>
      </c>
      <c r="AG54" s="131" t="s">
        <v>21</v>
      </c>
      <c r="AH54" s="131"/>
      <c r="AI54" s="131"/>
      <c r="AJ54" s="131" t="s">
        <v>14</v>
      </c>
      <c r="AK54" s="136">
        <v>61259</v>
      </c>
      <c r="AL54" s="111"/>
    </row>
    <row r="55" ht="35.55" customHeight="1" spans="2:38">
      <c r="B55" s="67" t="s">
        <v>370</v>
      </c>
      <c r="C55" s="68" t="s">
        <v>340</v>
      </c>
      <c r="D55" s="68" t="s">
        <v>26</v>
      </c>
      <c r="E55" s="68"/>
      <c r="F55" s="68"/>
      <c r="G55" s="81" t="s">
        <v>15</v>
      </c>
      <c r="H55" s="103">
        <v>15005.425</v>
      </c>
      <c r="I55" s="99"/>
      <c r="J55" s="111"/>
      <c r="AE55" s="131" t="s">
        <v>370</v>
      </c>
      <c r="AF55" s="131" t="s">
        <v>338</v>
      </c>
      <c r="AG55" s="131" t="s">
        <v>21</v>
      </c>
      <c r="AH55" s="131"/>
      <c r="AI55" s="131"/>
      <c r="AJ55" s="131" t="s">
        <v>15</v>
      </c>
      <c r="AK55" s="136">
        <v>15273.5</v>
      </c>
      <c r="AL55" s="111"/>
    </row>
    <row r="56" ht="35.55" customHeight="1" spans="2:38">
      <c r="B56" s="67" t="s">
        <v>371</v>
      </c>
      <c r="C56" s="68" t="s">
        <v>340</v>
      </c>
      <c r="D56" s="68" t="s">
        <v>26</v>
      </c>
      <c r="E56" s="68"/>
      <c r="F56" s="68"/>
      <c r="G56" s="81"/>
      <c r="H56" s="89"/>
      <c r="I56" s="112"/>
      <c r="J56" s="110"/>
      <c r="AE56" s="131" t="s">
        <v>371</v>
      </c>
      <c r="AF56" s="131" t="s">
        <v>338</v>
      </c>
      <c r="AG56" s="131" t="s">
        <v>21</v>
      </c>
      <c r="AH56" s="131"/>
      <c r="AI56" s="131"/>
      <c r="AJ56" s="131"/>
      <c r="AK56" s="131"/>
      <c r="AL56" s="110"/>
    </row>
    <row r="57" ht="35.55" customHeight="1" spans="2:38">
      <c r="B57" s="72" t="s">
        <v>372</v>
      </c>
      <c r="C57" s="73" t="s">
        <v>340</v>
      </c>
      <c r="D57" s="73" t="s">
        <v>26</v>
      </c>
      <c r="E57" s="73"/>
      <c r="F57" s="73"/>
      <c r="G57" s="104"/>
      <c r="H57" s="92"/>
      <c r="I57" s="112"/>
      <c r="J57" s="110"/>
      <c r="AE57" s="131" t="s">
        <v>372</v>
      </c>
      <c r="AF57" s="131" t="s">
        <v>338</v>
      </c>
      <c r="AG57" s="131" t="s">
        <v>21</v>
      </c>
      <c r="AH57" s="131"/>
      <c r="AI57" s="131"/>
      <c r="AJ57" s="131"/>
      <c r="AK57" s="131"/>
      <c r="AL57" s="110"/>
    </row>
    <row r="58" ht="58.45" customHeight="1" spans="2:9">
      <c r="B58" s="74" t="s">
        <v>425</v>
      </c>
      <c r="C58" s="74"/>
      <c r="D58" s="74"/>
      <c r="E58" s="74"/>
      <c r="F58" s="74"/>
      <c r="G58" s="105"/>
      <c r="H58" s="105"/>
      <c r="I58" s="99"/>
    </row>
    <row r="59" ht="32.25" customHeight="1" spans="2:26">
      <c r="B59" s="63" t="s">
        <v>376</v>
      </c>
      <c r="C59" s="75"/>
      <c r="D59" s="75"/>
      <c r="E59" s="106" t="s">
        <v>426</v>
      </c>
      <c r="F59" s="106"/>
      <c r="G59" s="61" t="s">
        <v>377</v>
      </c>
      <c r="H59" s="62"/>
      <c r="I59" s="62"/>
      <c r="J59" s="113" t="s">
        <v>426</v>
      </c>
      <c r="K59" s="114"/>
      <c r="L59" s="62" t="s">
        <v>378</v>
      </c>
      <c r="M59" s="62"/>
      <c r="N59" s="62"/>
      <c r="O59" s="113" t="s">
        <v>426</v>
      </c>
      <c r="P59" s="114"/>
      <c r="Q59" s="62" t="s">
        <v>379</v>
      </c>
      <c r="R59" s="62"/>
      <c r="S59" s="62"/>
      <c r="T59" s="113" t="s">
        <v>426</v>
      </c>
      <c r="U59" s="114"/>
      <c r="V59" s="62" t="s">
        <v>380</v>
      </c>
      <c r="W59" s="62"/>
      <c r="X59" s="62"/>
      <c r="Y59" s="113" t="s">
        <v>426</v>
      </c>
      <c r="Z59" s="114"/>
    </row>
    <row r="60" ht="32.25" customHeight="1" spans="2:26">
      <c r="B60" s="63" t="s">
        <v>427</v>
      </c>
      <c r="C60" s="64" t="s">
        <v>382</v>
      </c>
      <c r="D60" s="76">
        <v>215000</v>
      </c>
      <c r="E60" s="76">
        <v>490000</v>
      </c>
      <c r="F60" s="94">
        <v>297000</v>
      </c>
      <c r="G60" s="63" t="s">
        <v>427</v>
      </c>
      <c r="H60" s="64" t="s">
        <v>382</v>
      </c>
      <c r="I60" s="76">
        <v>195000</v>
      </c>
      <c r="J60" s="76">
        <v>500000</v>
      </c>
      <c r="K60" s="101">
        <v>285000</v>
      </c>
      <c r="L60" s="75" t="s">
        <v>427</v>
      </c>
      <c r="M60" s="64" t="s">
        <v>382</v>
      </c>
      <c r="N60" s="76">
        <v>180000</v>
      </c>
      <c r="O60" s="76">
        <v>480000</v>
      </c>
      <c r="P60" s="101">
        <v>280000</v>
      </c>
      <c r="Q60" s="75" t="s">
        <v>427</v>
      </c>
      <c r="R60" s="64" t="s">
        <v>382</v>
      </c>
      <c r="S60" s="76">
        <v>177000</v>
      </c>
      <c r="T60" s="76">
        <v>425000</v>
      </c>
      <c r="U60" s="101">
        <v>250000</v>
      </c>
      <c r="V60" s="75" t="s">
        <v>427</v>
      </c>
      <c r="W60" s="64" t="s">
        <v>382</v>
      </c>
      <c r="X60" s="76">
        <v>152000</v>
      </c>
      <c r="Y60" s="76">
        <v>420000</v>
      </c>
      <c r="Z60" s="101">
        <v>240000</v>
      </c>
    </row>
    <row r="61" ht="64" customHeight="1" spans="2:26">
      <c r="B61" s="66" t="s">
        <v>428</v>
      </c>
      <c r="C61" s="60"/>
      <c r="D61" s="60"/>
      <c r="E61" s="60"/>
      <c r="F61" s="60"/>
      <c r="G61" s="66" t="s">
        <v>429</v>
      </c>
      <c r="H61" s="60"/>
      <c r="I61" s="60"/>
      <c r="J61" s="60"/>
      <c r="K61" s="88"/>
      <c r="L61" s="60" t="s">
        <v>430</v>
      </c>
      <c r="M61" s="60"/>
      <c r="N61" s="60"/>
      <c r="O61" s="60"/>
      <c r="P61" s="88"/>
      <c r="Q61" s="60" t="s">
        <v>430</v>
      </c>
      <c r="R61" s="60"/>
      <c r="S61" s="60"/>
      <c r="T61" s="60"/>
      <c r="U61" s="88"/>
      <c r="V61" s="60" t="s">
        <v>430</v>
      </c>
      <c r="W61" s="60"/>
      <c r="X61" s="60"/>
      <c r="Y61" s="60"/>
      <c r="Z61" s="88"/>
    </row>
    <row r="62" ht="36.9" customHeight="1" spans="2:48">
      <c r="B62" s="67" t="s">
        <v>356</v>
      </c>
      <c r="C62" s="68" t="s">
        <v>357</v>
      </c>
      <c r="D62" s="68" t="s">
        <v>358</v>
      </c>
      <c r="E62" s="68" t="s">
        <v>359</v>
      </c>
      <c r="F62" s="81"/>
      <c r="G62" s="67" t="s">
        <v>356</v>
      </c>
      <c r="H62" s="68" t="s">
        <v>357</v>
      </c>
      <c r="I62" s="68" t="s">
        <v>358</v>
      </c>
      <c r="J62" s="81" t="s">
        <v>359</v>
      </c>
      <c r="K62" s="89"/>
      <c r="L62" s="90" t="s">
        <v>356</v>
      </c>
      <c r="M62" s="68" t="s">
        <v>357</v>
      </c>
      <c r="N62" s="68" t="s">
        <v>358</v>
      </c>
      <c r="O62" s="81" t="s">
        <v>359</v>
      </c>
      <c r="P62" s="89"/>
      <c r="Q62" s="90" t="s">
        <v>356</v>
      </c>
      <c r="R62" s="68" t="s">
        <v>357</v>
      </c>
      <c r="S62" s="68" t="s">
        <v>358</v>
      </c>
      <c r="T62" s="81" t="s">
        <v>359</v>
      </c>
      <c r="U62" s="89"/>
      <c r="V62" s="90" t="s">
        <v>356</v>
      </c>
      <c r="W62" s="68" t="s">
        <v>357</v>
      </c>
      <c r="X62" s="68" t="s">
        <v>358</v>
      </c>
      <c r="Y62" s="89" t="s">
        <v>359</v>
      </c>
      <c r="Z62" s="89"/>
      <c r="AA62" s="110"/>
      <c r="AD62" s="133" t="s">
        <v>431</v>
      </c>
      <c r="AE62" s="131" t="s">
        <v>356</v>
      </c>
      <c r="AF62" s="131" t="s">
        <v>357</v>
      </c>
      <c r="AG62" s="131" t="s">
        <v>358</v>
      </c>
      <c r="AH62" s="131" t="s">
        <v>359</v>
      </c>
      <c r="AI62" s="131"/>
      <c r="AJ62" s="131" t="s">
        <v>360</v>
      </c>
      <c r="AK62" s="131"/>
      <c r="AL62" s="110"/>
      <c r="AM62" s="138" t="s">
        <v>432</v>
      </c>
      <c r="AN62" s="131" t="s">
        <v>356</v>
      </c>
      <c r="AO62" s="131" t="s">
        <v>357</v>
      </c>
      <c r="AP62" s="131" t="s">
        <v>358</v>
      </c>
      <c r="AQ62" s="131" t="s">
        <v>359</v>
      </c>
      <c r="AR62" s="131"/>
      <c r="AS62" s="131" t="s">
        <v>360</v>
      </c>
      <c r="AT62" s="131"/>
      <c r="AV62" s="139"/>
    </row>
    <row r="63" ht="36.9" customHeight="1" spans="2:48">
      <c r="B63" s="67" t="s">
        <v>361</v>
      </c>
      <c r="C63" s="80" t="s">
        <v>414</v>
      </c>
      <c r="D63" s="80"/>
      <c r="E63" s="68" t="s">
        <v>10</v>
      </c>
      <c r="F63" s="82">
        <v>55572</v>
      </c>
      <c r="G63" s="67" t="s">
        <v>361</v>
      </c>
      <c r="H63" s="80" t="s">
        <v>414</v>
      </c>
      <c r="I63" s="80"/>
      <c r="J63" s="68" t="s">
        <v>10</v>
      </c>
      <c r="K63" s="91">
        <v>56722</v>
      </c>
      <c r="L63" s="90" t="s">
        <v>361</v>
      </c>
      <c r="M63" s="68" t="s">
        <v>389</v>
      </c>
      <c r="N63" s="68" t="s">
        <v>362</v>
      </c>
      <c r="O63" s="68" t="s">
        <v>10</v>
      </c>
      <c r="P63" s="91">
        <v>55472.3</v>
      </c>
      <c r="Q63" s="90" t="s">
        <v>361</v>
      </c>
      <c r="R63" s="80" t="s">
        <v>431</v>
      </c>
      <c r="S63" s="80"/>
      <c r="T63" s="68" t="s">
        <v>10</v>
      </c>
      <c r="U63" s="91">
        <v>53254.35</v>
      </c>
      <c r="V63" s="90" t="s">
        <v>361</v>
      </c>
      <c r="W63" s="68" t="s">
        <v>389</v>
      </c>
      <c r="X63" s="68" t="s">
        <v>362</v>
      </c>
      <c r="Y63" s="68" t="s">
        <v>10</v>
      </c>
      <c r="Z63" s="91">
        <v>46755</v>
      </c>
      <c r="AA63" s="111"/>
      <c r="AE63" s="131" t="s">
        <v>361</v>
      </c>
      <c r="AF63" s="131" t="s">
        <v>339</v>
      </c>
      <c r="AG63" s="131" t="s">
        <v>21</v>
      </c>
      <c r="AH63" s="131" t="s">
        <v>10</v>
      </c>
      <c r="AI63" s="134">
        <v>12998.7</v>
      </c>
      <c r="AJ63" s="131" t="s">
        <v>363</v>
      </c>
      <c r="AK63" s="135" t="s">
        <v>335</v>
      </c>
      <c r="AL63" s="110"/>
      <c r="AN63" s="131" t="s">
        <v>361</v>
      </c>
      <c r="AO63" s="131" t="s">
        <v>341</v>
      </c>
      <c r="AP63" s="131" t="s">
        <v>19</v>
      </c>
      <c r="AQ63" s="131" t="s">
        <v>10</v>
      </c>
      <c r="AR63" s="134">
        <v>30133</v>
      </c>
      <c r="AS63" s="131" t="s">
        <v>363</v>
      </c>
      <c r="AT63" s="135" t="s">
        <v>331</v>
      </c>
      <c r="AV63" s="139"/>
    </row>
    <row r="64" ht="36.9" customHeight="1" spans="2:48">
      <c r="B64" s="67" t="s">
        <v>364</v>
      </c>
      <c r="C64" s="80" t="s">
        <v>424</v>
      </c>
      <c r="D64" s="80"/>
      <c r="E64" s="68" t="s">
        <v>12</v>
      </c>
      <c r="F64" s="82">
        <v>217674.5</v>
      </c>
      <c r="G64" s="67" t="s">
        <v>364</v>
      </c>
      <c r="H64" s="80" t="s">
        <v>414</v>
      </c>
      <c r="I64" s="80"/>
      <c r="J64" s="68" t="s">
        <v>12</v>
      </c>
      <c r="K64" s="91">
        <v>195757.666666667</v>
      </c>
      <c r="L64" s="90" t="s">
        <v>364</v>
      </c>
      <c r="M64" s="68" t="s">
        <v>389</v>
      </c>
      <c r="N64" s="68" t="s">
        <v>362</v>
      </c>
      <c r="O64" s="68" t="s">
        <v>12</v>
      </c>
      <c r="P64" s="91">
        <v>184036.816666667</v>
      </c>
      <c r="Q64" s="90" t="s">
        <v>364</v>
      </c>
      <c r="R64" s="68" t="s">
        <v>389</v>
      </c>
      <c r="S64" s="68" t="s">
        <v>362</v>
      </c>
      <c r="T64" s="68" t="s">
        <v>12</v>
      </c>
      <c r="U64" s="91">
        <v>179563.175</v>
      </c>
      <c r="V64" s="90" t="s">
        <v>364</v>
      </c>
      <c r="W64" s="68" t="s">
        <v>389</v>
      </c>
      <c r="X64" s="68" t="s">
        <v>362</v>
      </c>
      <c r="Y64" s="68" t="s">
        <v>12</v>
      </c>
      <c r="Z64" s="91">
        <v>155299.5</v>
      </c>
      <c r="AA64" s="111"/>
      <c r="AE64" s="131" t="s">
        <v>364</v>
      </c>
      <c r="AF64" s="131" t="s">
        <v>339</v>
      </c>
      <c r="AG64" s="131" t="s">
        <v>21</v>
      </c>
      <c r="AH64" s="131" t="s">
        <v>12</v>
      </c>
      <c r="AI64" s="134">
        <v>53749.35</v>
      </c>
      <c r="AJ64" s="131" t="s">
        <v>390</v>
      </c>
      <c r="AK64" s="131"/>
      <c r="AL64" s="110"/>
      <c r="AN64" s="131" t="s">
        <v>364</v>
      </c>
      <c r="AO64" s="131" t="s">
        <v>341</v>
      </c>
      <c r="AP64" s="131" t="s">
        <v>19</v>
      </c>
      <c r="AQ64" s="131" t="s">
        <v>12</v>
      </c>
      <c r="AR64" s="134">
        <v>31141</v>
      </c>
      <c r="AS64" s="131" t="s">
        <v>433</v>
      </c>
      <c r="AT64" s="131"/>
      <c r="AV64" s="139"/>
    </row>
    <row r="65" ht="36.9" customHeight="1" spans="2:48">
      <c r="B65" s="67" t="s">
        <v>366</v>
      </c>
      <c r="C65" s="80" t="s">
        <v>424</v>
      </c>
      <c r="D65" s="80"/>
      <c r="E65" s="68" t="s">
        <v>13</v>
      </c>
      <c r="F65" s="82">
        <v>491327</v>
      </c>
      <c r="G65" s="67" t="s">
        <v>366</v>
      </c>
      <c r="H65" s="80" t="s">
        <v>414</v>
      </c>
      <c r="I65" s="80"/>
      <c r="J65" s="68" t="s">
        <v>13</v>
      </c>
      <c r="K65" s="91">
        <v>502112.333333333</v>
      </c>
      <c r="L65" s="90" t="s">
        <v>366</v>
      </c>
      <c r="M65" s="68" t="s">
        <v>389</v>
      </c>
      <c r="N65" s="68" t="s">
        <v>362</v>
      </c>
      <c r="O65" s="68" t="s">
        <v>13</v>
      </c>
      <c r="P65" s="91">
        <v>488946.083333331</v>
      </c>
      <c r="Q65" s="90" t="s">
        <v>366</v>
      </c>
      <c r="R65" s="68" t="s">
        <v>389</v>
      </c>
      <c r="S65" s="68" t="s">
        <v>362</v>
      </c>
      <c r="T65" s="68" t="s">
        <v>13</v>
      </c>
      <c r="U65" s="91">
        <v>428413.874999998</v>
      </c>
      <c r="V65" s="90" t="s">
        <v>366</v>
      </c>
      <c r="W65" s="68" t="s">
        <v>389</v>
      </c>
      <c r="X65" s="68" t="s">
        <v>362</v>
      </c>
      <c r="Y65" s="68" t="s">
        <v>13</v>
      </c>
      <c r="Z65" s="91">
        <v>421867.499999998</v>
      </c>
      <c r="AA65" s="111"/>
      <c r="AE65" s="131" t="s">
        <v>366</v>
      </c>
      <c r="AF65" s="131" t="s">
        <v>339</v>
      </c>
      <c r="AG65" s="131" t="s">
        <v>21</v>
      </c>
      <c r="AH65" s="131" t="s">
        <v>13</v>
      </c>
      <c r="AI65" s="134">
        <v>13092.75</v>
      </c>
      <c r="AJ65" s="131" t="s">
        <v>10</v>
      </c>
      <c r="AK65" s="136">
        <v>8577.35</v>
      </c>
      <c r="AL65" s="111"/>
      <c r="AN65" s="131" t="s">
        <v>366</v>
      </c>
      <c r="AO65" s="131" t="s">
        <v>341</v>
      </c>
      <c r="AP65" s="131" t="s">
        <v>19</v>
      </c>
      <c r="AQ65" s="131" t="s">
        <v>13</v>
      </c>
      <c r="AR65" s="134">
        <v>102395</v>
      </c>
      <c r="AS65" s="131" t="s">
        <v>10</v>
      </c>
      <c r="AT65" s="136">
        <v>17144.5</v>
      </c>
      <c r="AV65" s="44"/>
    </row>
    <row r="66" ht="36.9" customHeight="1" spans="2:48">
      <c r="B66" s="67" t="s">
        <v>367</v>
      </c>
      <c r="C66" s="80" t="s">
        <v>424</v>
      </c>
      <c r="D66" s="80"/>
      <c r="E66" s="68" t="s">
        <v>14</v>
      </c>
      <c r="F66" s="82">
        <v>297365.5</v>
      </c>
      <c r="G66" s="67" t="s">
        <v>367</v>
      </c>
      <c r="H66" s="80" t="s">
        <v>414</v>
      </c>
      <c r="I66" s="80"/>
      <c r="J66" s="68" t="s">
        <v>14</v>
      </c>
      <c r="K66" s="91">
        <v>285780.666666667</v>
      </c>
      <c r="L66" s="90" t="s">
        <v>367</v>
      </c>
      <c r="M66" s="68" t="s">
        <v>389</v>
      </c>
      <c r="N66" s="68" t="s">
        <v>362</v>
      </c>
      <c r="O66" s="68" t="s">
        <v>14</v>
      </c>
      <c r="P66" s="91">
        <v>283183.616666667</v>
      </c>
      <c r="Q66" s="90" t="s">
        <v>367</v>
      </c>
      <c r="R66" s="68" t="s">
        <v>389</v>
      </c>
      <c r="S66" s="68" t="s">
        <v>362</v>
      </c>
      <c r="T66" s="68" t="s">
        <v>14</v>
      </c>
      <c r="U66" s="91">
        <v>250198.275</v>
      </c>
      <c r="V66" s="90" t="s">
        <v>367</v>
      </c>
      <c r="W66" s="68" t="s">
        <v>335</v>
      </c>
      <c r="X66" s="68" t="s">
        <v>21</v>
      </c>
      <c r="Y66" s="68" t="s">
        <v>14</v>
      </c>
      <c r="Z66" s="91">
        <v>243840</v>
      </c>
      <c r="AA66" s="111"/>
      <c r="AE66" s="131" t="s">
        <v>367</v>
      </c>
      <c r="AF66" s="131" t="s">
        <v>339</v>
      </c>
      <c r="AG66" s="131" t="s">
        <v>21</v>
      </c>
      <c r="AH66" s="131" t="s">
        <v>14</v>
      </c>
      <c r="AI66" s="134">
        <v>12716.55</v>
      </c>
      <c r="AJ66" s="131" t="s">
        <v>12</v>
      </c>
      <c r="AK66" s="136">
        <v>31514.0083333333</v>
      </c>
      <c r="AL66" s="111"/>
      <c r="AN66" s="131" t="s">
        <v>367</v>
      </c>
      <c r="AO66" s="131" t="s">
        <v>343</v>
      </c>
      <c r="AP66" s="131" t="s">
        <v>19</v>
      </c>
      <c r="AQ66" s="131" t="s">
        <v>14</v>
      </c>
      <c r="AR66" s="134">
        <v>68009</v>
      </c>
      <c r="AS66" s="131" t="s">
        <v>12</v>
      </c>
      <c r="AT66" s="136">
        <v>20637.8333333333</v>
      </c>
      <c r="AV66" s="44"/>
    </row>
    <row r="67" ht="36.9" customHeight="1" spans="2:48">
      <c r="B67" s="67" t="s">
        <v>368</v>
      </c>
      <c r="C67" s="68" t="s">
        <v>338</v>
      </c>
      <c r="D67" s="68" t="s">
        <v>21</v>
      </c>
      <c r="E67" s="68" t="s">
        <v>15</v>
      </c>
      <c r="F67" s="82">
        <v>74478.5</v>
      </c>
      <c r="G67" s="67" t="s">
        <v>368</v>
      </c>
      <c r="H67" s="68" t="s">
        <v>335</v>
      </c>
      <c r="I67" s="68" t="s">
        <v>21</v>
      </c>
      <c r="J67" s="68" t="s">
        <v>15</v>
      </c>
      <c r="K67" s="91">
        <v>72522</v>
      </c>
      <c r="L67" s="90" t="s">
        <v>368</v>
      </c>
      <c r="M67" s="68" t="s">
        <v>335</v>
      </c>
      <c r="N67" s="68" t="s">
        <v>21</v>
      </c>
      <c r="O67" s="68" t="s">
        <v>15</v>
      </c>
      <c r="P67" s="91">
        <v>70579.6</v>
      </c>
      <c r="Q67" s="90" t="s">
        <v>368</v>
      </c>
      <c r="R67" s="68" t="s">
        <v>335</v>
      </c>
      <c r="S67" s="68" t="s">
        <v>21</v>
      </c>
      <c r="T67" s="68" t="s">
        <v>15</v>
      </c>
      <c r="U67" s="91">
        <v>63781.2</v>
      </c>
      <c r="V67" s="90" t="s">
        <v>368</v>
      </c>
      <c r="W67" s="68" t="s">
        <v>335</v>
      </c>
      <c r="X67" s="68" t="s">
        <v>21</v>
      </c>
      <c r="Y67" s="68" t="s">
        <v>15</v>
      </c>
      <c r="Z67" s="91">
        <v>60435</v>
      </c>
      <c r="AA67" s="111"/>
      <c r="AE67" s="131" t="s">
        <v>368</v>
      </c>
      <c r="AF67" s="131" t="s">
        <v>339</v>
      </c>
      <c r="AG67" s="131" t="s">
        <v>21</v>
      </c>
      <c r="AH67" s="131" t="s">
        <v>15</v>
      </c>
      <c r="AI67" s="134">
        <v>6692.4</v>
      </c>
      <c r="AJ67" s="131" t="s">
        <v>13</v>
      </c>
      <c r="AK67" s="136">
        <v>25296.0416666666</v>
      </c>
      <c r="AL67" s="111"/>
      <c r="AN67" s="131" t="s">
        <v>368</v>
      </c>
      <c r="AO67" s="131" t="s">
        <v>343</v>
      </c>
      <c r="AP67" s="131" t="s">
        <v>19</v>
      </c>
      <c r="AQ67" s="131" t="s">
        <v>15</v>
      </c>
      <c r="AR67" s="134">
        <v>33128</v>
      </c>
      <c r="AS67" s="131" t="s">
        <v>13</v>
      </c>
      <c r="AT67" s="136">
        <v>67093.1666666666</v>
      </c>
      <c r="AV67" s="44"/>
    </row>
    <row r="68" ht="36.9" customHeight="1" spans="2:48">
      <c r="B68" s="67" t="s">
        <v>369</v>
      </c>
      <c r="C68" s="68" t="s">
        <v>338</v>
      </c>
      <c r="D68" s="68" t="s">
        <v>21</v>
      </c>
      <c r="E68" s="68"/>
      <c r="F68" s="81"/>
      <c r="G68" s="67" t="s">
        <v>369</v>
      </c>
      <c r="H68" s="68" t="s">
        <v>335</v>
      </c>
      <c r="I68" s="68" t="s">
        <v>21</v>
      </c>
      <c r="J68" s="68"/>
      <c r="K68" s="89"/>
      <c r="L68" s="90" t="s">
        <v>369</v>
      </c>
      <c r="M68" s="68" t="s">
        <v>335</v>
      </c>
      <c r="N68" s="68" t="s">
        <v>21</v>
      </c>
      <c r="O68" s="68"/>
      <c r="P68" s="89"/>
      <c r="Q68" s="90" t="s">
        <v>369</v>
      </c>
      <c r="R68" s="68" t="s">
        <v>335</v>
      </c>
      <c r="S68" s="68" t="s">
        <v>21</v>
      </c>
      <c r="T68" s="68"/>
      <c r="U68" s="89"/>
      <c r="V68" s="90" t="s">
        <v>369</v>
      </c>
      <c r="W68" s="68" t="s">
        <v>335</v>
      </c>
      <c r="X68" s="68" t="s">
        <v>21</v>
      </c>
      <c r="Y68" s="68"/>
      <c r="Z68" s="89"/>
      <c r="AA68" s="110"/>
      <c r="AE68" s="131" t="s">
        <v>369</v>
      </c>
      <c r="AF68" s="131" t="s">
        <v>339</v>
      </c>
      <c r="AG68" s="131" t="s">
        <v>21</v>
      </c>
      <c r="AH68" s="131"/>
      <c r="AI68" s="131"/>
      <c r="AJ68" s="131" t="s">
        <v>14</v>
      </c>
      <c r="AK68" s="136">
        <v>17195.6083333333</v>
      </c>
      <c r="AL68" s="111"/>
      <c r="AN68" s="131" t="s">
        <v>369</v>
      </c>
      <c r="AO68" s="131" t="s">
        <v>342</v>
      </c>
      <c r="AP68" s="131" t="s">
        <v>26</v>
      </c>
      <c r="AQ68" s="131"/>
      <c r="AR68" s="131"/>
      <c r="AS68" s="131" t="s">
        <v>14</v>
      </c>
      <c r="AT68" s="136">
        <v>44841.8333333333</v>
      </c>
      <c r="AV68" s="44"/>
    </row>
    <row r="69" ht="36.9" customHeight="1" spans="2:48">
      <c r="B69" s="67" t="s">
        <v>370</v>
      </c>
      <c r="C69" s="68" t="s">
        <v>338</v>
      </c>
      <c r="D69" s="68" t="s">
        <v>21</v>
      </c>
      <c r="E69" s="68"/>
      <c r="F69" s="81"/>
      <c r="G69" s="67" t="s">
        <v>370</v>
      </c>
      <c r="H69" s="68" t="s">
        <v>335</v>
      </c>
      <c r="I69" s="68" t="s">
        <v>21</v>
      </c>
      <c r="J69" s="68"/>
      <c r="K69" s="89"/>
      <c r="L69" s="90" t="s">
        <v>370</v>
      </c>
      <c r="M69" s="68" t="s">
        <v>335</v>
      </c>
      <c r="N69" s="68" t="s">
        <v>21</v>
      </c>
      <c r="O69" s="68"/>
      <c r="P69" s="89"/>
      <c r="Q69" s="90" t="s">
        <v>370</v>
      </c>
      <c r="R69" s="68" t="s">
        <v>335</v>
      </c>
      <c r="S69" s="68" t="s">
        <v>21</v>
      </c>
      <c r="T69" s="68"/>
      <c r="U69" s="89"/>
      <c r="V69" s="90" t="s">
        <v>370</v>
      </c>
      <c r="W69" s="68" t="s">
        <v>335</v>
      </c>
      <c r="X69" s="68" t="s">
        <v>21</v>
      </c>
      <c r="Y69" s="68"/>
      <c r="Z69" s="89"/>
      <c r="AA69" s="110"/>
      <c r="AE69" s="131" t="s">
        <v>370</v>
      </c>
      <c r="AF69" s="131" t="s">
        <v>339</v>
      </c>
      <c r="AG69" s="131" t="s">
        <v>21</v>
      </c>
      <c r="AH69" s="131"/>
      <c r="AI69" s="131"/>
      <c r="AJ69" s="131" t="s">
        <v>15</v>
      </c>
      <c r="AK69" s="136">
        <v>6032.2</v>
      </c>
      <c r="AL69" s="111"/>
      <c r="AN69" s="131" t="s">
        <v>370</v>
      </c>
      <c r="AO69" s="131" t="s">
        <v>342</v>
      </c>
      <c r="AP69" s="131" t="s">
        <v>26</v>
      </c>
      <c r="AQ69" s="131"/>
      <c r="AR69" s="131"/>
      <c r="AS69" s="131" t="s">
        <v>15</v>
      </c>
      <c r="AT69" s="136">
        <v>19250</v>
      </c>
      <c r="AV69" s="44"/>
    </row>
    <row r="70" ht="36.9" customHeight="1" spans="2:48">
      <c r="B70" s="67" t="s">
        <v>371</v>
      </c>
      <c r="C70" s="68" t="s">
        <v>338</v>
      </c>
      <c r="D70" s="68" t="s">
        <v>21</v>
      </c>
      <c r="E70" s="68"/>
      <c r="F70" s="81"/>
      <c r="G70" s="67" t="s">
        <v>371</v>
      </c>
      <c r="H70" s="68" t="s">
        <v>335</v>
      </c>
      <c r="I70" s="68" t="s">
        <v>21</v>
      </c>
      <c r="J70" s="68"/>
      <c r="K70" s="89"/>
      <c r="L70" s="90" t="s">
        <v>371</v>
      </c>
      <c r="M70" s="68" t="s">
        <v>335</v>
      </c>
      <c r="N70" s="68" t="s">
        <v>21</v>
      </c>
      <c r="O70" s="68"/>
      <c r="P70" s="89"/>
      <c r="Q70" s="90" t="s">
        <v>371</v>
      </c>
      <c r="R70" s="68" t="s">
        <v>335</v>
      </c>
      <c r="S70" s="68" t="s">
        <v>21</v>
      </c>
      <c r="T70" s="68"/>
      <c r="U70" s="89"/>
      <c r="V70" s="90" t="s">
        <v>371</v>
      </c>
      <c r="W70" s="68" t="s">
        <v>335</v>
      </c>
      <c r="X70" s="68" t="s">
        <v>21</v>
      </c>
      <c r="Y70" s="68"/>
      <c r="Z70" s="89"/>
      <c r="AA70" s="110"/>
      <c r="AE70" s="131" t="s">
        <v>371</v>
      </c>
      <c r="AF70" s="131" t="s">
        <v>339</v>
      </c>
      <c r="AG70" s="131" t="s">
        <v>21</v>
      </c>
      <c r="AH70" s="131"/>
      <c r="AI70" s="131"/>
      <c r="AJ70" s="131"/>
      <c r="AK70" s="131"/>
      <c r="AL70" s="110"/>
      <c r="AN70" s="131" t="s">
        <v>371</v>
      </c>
      <c r="AO70" s="131" t="s">
        <v>434</v>
      </c>
      <c r="AP70" s="131" t="s">
        <v>26</v>
      </c>
      <c r="AQ70" s="131"/>
      <c r="AR70" s="131"/>
      <c r="AS70" s="131"/>
      <c r="AT70" s="131"/>
      <c r="AU70" s="110"/>
      <c r="AV70" s="139"/>
    </row>
    <row r="71" ht="36.9" customHeight="1" spans="2:48">
      <c r="B71" s="72" t="s">
        <v>372</v>
      </c>
      <c r="C71" s="73" t="s">
        <v>338</v>
      </c>
      <c r="D71" s="73" t="s">
        <v>21</v>
      </c>
      <c r="E71" s="73"/>
      <c r="F71" s="104"/>
      <c r="G71" s="69" t="s">
        <v>372</v>
      </c>
      <c r="H71" s="70" t="s">
        <v>335</v>
      </c>
      <c r="I71" s="70" t="s">
        <v>21</v>
      </c>
      <c r="J71" s="70"/>
      <c r="K71" s="141"/>
      <c r="L71" s="142" t="s">
        <v>372</v>
      </c>
      <c r="M71" s="70" t="s">
        <v>339</v>
      </c>
      <c r="N71" s="70" t="s">
        <v>21</v>
      </c>
      <c r="O71" s="70"/>
      <c r="P71" s="141"/>
      <c r="Q71" s="142" t="s">
        <v>372</v>
      </c>
      <c r="R71" s="70" t="s">
        <v>335</v>
      </c>
      <c r="S71" s="70" t="s">
        <v>21</v>
      </c>
      <c r="T71" s="70"/>
      <c r="U71" s="141"/>
      <c r="V71" s="142" t="s">
        <v>372</v>
      </c>
      <c r="W71" s="70" t="s">
        <v>335</v>
      </c>
      <c r="X71" s="70" t="s">
        <v>21</v>
      </c>
      <c r="Y71" s="70"/>
      <c r="Z71" s="141"/>
      <c r="AA71" s="110"/>
      <c r="AE71" s="131" t="s">
        <v>372</v>
      </c>
      <c r="AF71" s="131" t="s">
        <v>339</v>
      </c>
      <c r="AG71" s="131" t="s">
        <v>21</v>
      </c>
      <c r="AH71" s="131"/>
      <c r="AI71" s="131"/>
      <c r="AJ71" s="131"/>
      <c r="AK71" s="131"/>
      <c r="AL71" s="110"/>
      <c r="AN71" s="131" t="s">
        <v>372</v>
      </c>
      <c r="AO71" s="131" t="s">
        <v>434</v>
      </c>
      <c r="AP71" s="131" t="s">
        <v>26</v>
      </c>
      <c r="AQ71" s="131"/>
      <c r="AR71" s="131"/>
      <c r="AS71" s="131"/>
      <c r="AT71" s="131"/>
      <c r="AU71" s="110"/>
      <c r="AV71" s="139"/>
    </row>
    <row r="72" ht="51.05" customHeight="1" spans="2:26">
      <c r="B72" s="105" t="s">
        <v>435</v>
      </c>
      <c r="C72" s="105"/>
      <c r="D72" s="105"/>
      <c r="E72" s="105"/>
      <c r="F72" s="105"/>
      <c r="G72" s="140" t="s">
        <v>436</v>
      </c>
      <c r="H72" s="140"/>
      <c r="I72" s="140"/>
      <c r="J72" s="140"/>
      <c r="K72" s="140"/>
      <c r="L72" s="140" t="s">
        <v>437</v>
      </c>
      <c r="M72" s="140"/>
      <c r="N72" s="140"/>
      <c r="O72" s="140"/>
      <c r="P72" s="140"/>
      <c r="Q72" s="140" t="s">
        <v>438</v>
      </c>
      <c r="R72" s="140"/>
      <c r="S72" s="140"/>
      <c r="T72" s="140"/>
      <c r="U72" s="144"/>
      <c r="V72" s="145" t="s">
        <v>439</v>
      </c>
      <c r="W72" s="145"/>
      <c r="X72" s="145"/>
      <c r="Y72" s="145"/>
      <c r="Z72" s="145"/>
    </row>
    <row r="73" ht="38.95" customHeight="1" spans="2:26">
      <c r="B73" s="61" t="s">
        <v>376</v>
      </c>
      <c r="C73" s="62"/>
      <c r="D73" s="62"/>
      <c r="E73" s="62"/>
      <c r="F73" s="84"/>
      <c r="G73" s="61" t="s">
        <v>377</v>
      </c>
      <c r="H73" s="62"/>
      <c r="I73" s="62"/>
      <c r="J73" s="62"/>
      <c r="K73" s="84"/>
      <c r="L73" s="61" t="s">
        <v>378</v>
      </c>
      <c r="M73" s="62"/>
      <c r="N73" s="62"/>
      <c r="O73" s="143" t="s">
        <v>440</v>
      </c>
      <c r="P73" s="143"/>
      <c r="Q73" s="61" t="s">
        <v>379</v>
      </c>
      <c r="R73" s="62"/>
      <c r="S73" s="62"/>
      <c r="T73" s="143" t="s">
        <v>440</v>
      </c>
      <c r="U73" s="143"/>
      <c r="V73" s="61" t="s">
        <v>380</v>
      </c>
      <c r="W73" s="62"/>
      <c r="X73" s="62"/>
      <c r="Y73" s="143" t="s">
        <v>440</v>
      </c>
      <c r="Z73" s="143"/>
    </row>
    <row r="74" ht="38.95" customHeight="1" spans="2:26">
      <c r="B74" s="63" t="s">
        <v>441</v>
      </c>
      <c r="C74" s="64" t="s">
        <v>382</v>
      </c>
      <c r="D74" s="76">
        <v>298000</v>
      </c>
      <c r="E74" s="76">
        <v>215000</v>
      </c>
      <c r="F74" s="101">
        <v>215000</v>
      </c>
      <c r="G74" s="63" t="s">
        <v>441</v>
      </c>
      <c r="H74" s="64" t="s">
        <v>382</v>
      </c>
      <c r="I74" s="76">
        <v>270000</v>
      </c>
      <c r="J74" s="76">
        <v>210000</v>
      </c>
      <c r="K74" s="101">
        <v>210000</v>
      </c>
      <c r="L74" s="63" t="s">
        <v>441</v>
      </c>
      <c r="M74" s="64" t="s">
        <v>382</v>
      </c>
      <c r="N74" s="76">
        <v>295000</v>
      </c>
      <c r="O74" s="76">
        <v>184000</v>
      </c>
      <c r="P74" s="101">
        <v>195000</v>
      </c>
      <c r="Q74" s="63" t="s">
        <v>441</v>
      </c>
      <c r="R74" s="64" t="s">
        <v>382</v>
      </c>
      <c r="S74" s="76">
        <v>255000</v>
      </c>
      <c r="T74" s="76">
        <v>172000</v>
      </c>
      <c r="U74" s="94">
        <v>183000</v>
      </c>
      <c r="V74" s="63" t="s">
        <v>441</v>
      </c>
      <c r="W74" s="75" t="s">
        <v>382</v>
      </c>
      <c r="X74" s="146">
        <v>202000</v>
      </c>
      <c r="Y74" s="146">
        <v>170000</v>
      </c>
      <c r="Z74" s="101">
        <v>190000</v>
      </c>
    </row>
    <row r="75" ht="85.8" customHeight="1" spans="2:26">
      <c r="B75" s="66" t="s">
        <v>442</v>
      </c>
      <c r="C75" s="60"/>
      <c r="D75" s="60"/>
      <c r="E75" s="60"/>
      <c r="F75" s="88"/>
      <c r="G75" s="66" t="s">
        <v>442</v>
      </c>
      <c r="H75" s="60"/>
      <c r="I75" s="60"/>
      <c r="J75" s="60"/>
      <c r="K75" s="88"/>
      <c r="L75" s="66" t="s">
        <v>443</v>
      </c>
      <c r="M75" s="60"/>
      <c r="N75" s="60"/>
      <c r="O75" s="60"/>
      <c r="P75" s="88"/>
      <c r="Q75" s="66" t="s">
        <v>444</v>
      </c>
      <c r="R75" s="60"/>
      <c r="S75" s="60"/>
      <c r="T75" s="60"/>
      <c r="U75" s="60"/>
      <c r="V75" s="147" t="s">
        <v>445</v>
      </c>
      <c r="W75" s="148"/>
      <c r="X75" s="148"/>
      <c r="Y75" s="148"/>
      <c r="Z75" s="163"/>
    </row>
    <row r="76" ht="36.6" customHeight="1" spans="2:57">
      <c r="B76" s="67"/>
      <c r="C76" s="68"/>
      <c r="D76" s="68"/>
      <c r="E76" s="68"/>
      <c r="F76" s="89"/>
      <c r="G76" s="67"/>
      <c r="H76" s="68"/>
      <c r="I76" s="68"/>
      <c r="J76" s="68"/>
      <c r="K76" s="89"/>
      <c r="L76" s="67"/>
      <c r="M76" s="68"/>
      <c r="N76" s="68"/>
      <c r="O76" s="68"/>
      <c r="P76" s="89"/>
      <c r="Q76" s="67"/>
      <c r="R76" s="68"/>
      <c r="S76" s="68"/>
      <c r="T76" s="68"/>
      <c r="U76" s="81"/>
      <c r="V76" s="67" t="s">
        <v>356</v>
      </c>
      <c r="W76" s="68" t="s">
        <v>357</v>
      </c>
      <c r="X76" s="68" t="s">
        <v>358</v>
      </c>
      <c r="Y76" s="89" t="s">
        <v>359</v>
      </c>
      <c r="Z76" s="89"/>
      <c r="AA76" s="110"/>
      <c r="AD76" s="138" t="s">
        <v>446</v>
      </c>
      <c r="AE76" s="131" t="s">
        <v>356</v>
      </c>
      <c r="AF76" s="131" t="s">
        <v>357</v>
      </c>
      <c r="AG76" s="131" t="s">
        <v>358</v>
      </c>
      <c r="AH76" s="131" t="s">
        <v>359</v>
      </c>
      <c r="AI76" s="131"/>
      <c r="AJ76" s="131" t="s">
        <v>360</v>
      </c>
      <c r="AK76" s="131"/>
      <c r="AM76" s="177" t="s">
        <v>447</v>
      </c>
      <c r="AN76" s="131" t="s">
        <v>356</v>
      </c>
      <c r="AO76" s="131" t="s">
        <v>357</v>
      </c>
      <c r="AP76" s="131" t="s">
        <v>358</v>
      </c>
      <c r="AQ76" s="131" t="s">
        <v>359</v>
      </c>
      <c r="AR76" s="131"/>
      <c r="AS76" s="176" t="s">
        <v>360</v>
      </c>
      <c r="AT76" s="176"/>
      <c r="AU76" s="110"/>
      <c r="AX76" s="68" t="s">
        <v>356</v>
      </c>
      <c r="AY76" s="68" t="s">
        <v>357</v>
      </c>
      <c r="AZ76" s="68" t="s">
        <v>358</v>
      </c>
      <c r="BA76" s="68" t="s">
        <v>359</v>
      </c>
      <c r="BB76" s="68"/>
      <c r="BC76" s="68" t="s">
        <v>360</v>
      </c>
      <c r="BD76" s="68"/>
      <c r="BE76" s="110"/>
    </row>
    <row r="77" ht="36.6" customHeight="1" spans="2:57">
      <c r="B77" s="67"/>
      <c r="C77" s="80"/>
      <c r="D77" s="80"/>
      <c r="E77" s="68"/>
      <c r="F77" s="91"/>
      <c r="G77" s="67"/>
      <c r="H77" s="80"/>
      <c r="I77" s="80"/>
      <c r="J77" s="68"/>
      <c r="K77" s="91"/>
      <c r="L77" s="67"/>
      <c r="M77" s="80"/>
      <c r="N77" s="80"/>
      <c r="O77" s="68"/>
      <c r="P77" s="91"/>
      <c r="Q77" s="67"/>
      <c r="R77" s="80"/>
      <c r="S77" s="80"/>
      <c r="T77" s="68"/>
      <c r="U77" s="82"/>
      <c r="V77" s="67" t="s">
        <v>361</v>
      </c>
      <c r="W77" s="80" t="s">
        <v>432</v>
      </c>
      <c r="X77" s="80"/>
      <c r="Y77" s="68" t="s">
        <v>10</v>
      </c>
      <c r="Z77" s="91">
        <v>171445</v>
      </c>
      <c r="AA77" s="111"/>
      <c r="AE77" s="131" t="s">
        <v>361</v>
      </c>
      <c r="AF77" s="131" t="s">
        <v>334</v>
      </c>
      <c r="AG77" s="131" t="s">
        <v>19</v>
      </c>
      <c r="AH77" s="131" t="s">
        <v>10</v>
      </c>
      <c r="AI77" s="134">
        <v>32850</v>
      </c>
      <c r="AJ77" s="131" t="s">
        <v>363</v>
      </c>
      <c r="AK77" s="135" t="s">
        <v>334</v>
      </c>
      <c r="AM77" s="110"/>
      <c r="AN77" s="131" t="s">
        <v>361</v>
      </c>
      <c r="AO77" s="131" t="s">
        <v>331</v>
      </c>
      <c r="AP77" s="131" t="s">
        <v>19</v>
      </c>
      <c r="AQ77" s="131" t="s">
        <v>10</v>
      </c>
      <c r="AR77" s="134">
        <v>30732</v>
      </c>
      <c r="AS77" s="131" t="s">
        <v>363</v>
      </c>
      <c r="AT77" s="135" t="s">
        <v>333</v>
      </c>
      <c r="AU77" s="110"/>
      <c r="AX77" s="68" t="s">
        <v>361</v>
      </c>
      <c r="AY77" s="68" t="s">
        <v>331</v>
      </c>
      <c r="AZ77" s="68" t="s">
        <v>19</v>
      </c>
      <c r="BA77" s="68" t="s">
        <v>10</v>
      </c>
      <c r="BB77" s="102">
        <v>30732</v>
      </c>
      <c r="BC77" s="68" t="s">
        <v>363</v>
      </c>
      <c r="BD77" s="178" t="s">
        <v>334</v>
      </c>
      <c r="BE77" s="110"/>
    </row>
    <row r="78" ht="36.6" customHeight="1" spans="2:57">
      <c r="B78" s="67"/>
      <c r="C78" s="80"/>
      <c r="D78" s="80"/>
      <c r="E78" s="68"/>
      <c r="F78" s="91"/>
      <c r="G78" s="67"/>
      <c r="H78" s="80"/>
      <c r="I78" s="80"/>
      <c r="J78" s="68"/>
      <c r="K78" s="91"/>
      <c r="L78" s="67"/>
      <c r="M78" s="80"/>
      <c r="N78" s="80"/>
      <c r="O78" s="68"/>
      <c r="P78" s="91"/>
      <c r="Q78" s="67"/>
      <c r="R78" s="80"/>
      <c r="S78" s="80"/>
      <c r="T78" s="68"/>
      <c r="U78" s="82"/>
      <c r="V78" s="67" t="s">
        <v>364</v>
      </c>
      <c r="W78" s="80" t="s">
        <v>432</v>
      </c>
      <c r="X78" s="80"/>
      <c r="Y78" s="68" t="s">
        <v>12</v>
      </c>
      <c r="Z78" s="91">
        <v>206378.333333333</v>
      </c>
      <c r="AA78" s="111"/>
      <c r="AE78" s="131" t="s">
        <v>364</v>
      </c>
      <c r="AF78" s="131" t="s">
        <v>334</v>
      </c>
      <c r="AG78" s="131" t="s">
        <v>19</v>
      </c>
      <c r="AH78" s="131" t="s">
        <v>12</v>
      </c>
      <c r="AI78" s="134">
        <v>49248</v>
      </c>
      <c r="AJ78" s="131" t="s">
        <v>448</v>
      </c>
      <c r="AK78" s="131"/>
      <c r="AM78" s="110"/>
      <c r="AN78" s="131" t="s">
        <v>364</v>
      </c>
      <c r="AO78" s="131" t="s">
        <v>331</v>
      </c>
      <c r="AP78" s="131" t="s">
        <v>19</v>
      </c>
      <c r="AQ78" s="131" t="s">
        <v>12</v>
      </c>
      <c r="AR78" s="134">
        <v>40384.0000000001</v>
      </c>
      <c r="AS78" s="131" t="s">
        <v>433</v>
      </c>
      <c r="AT78" s="131"/>
      <c r="AU78" s="110"/>
      <c r="AX78" s="68" t="s">
        <v>364</v>
      </c>
      <c r="AY78" s="68" t="s">
        <v>331</v>
      </c>
      <c r="AZ78" s="68" t="s">
        <v>19</v>
      </c>
      <c r="BA78" s="68" t="s">
        <v>12</v>
      </c>
      <c r="BB78" s="102">
        <v>40384.0000000001</v>
      </c>
      <c r="BC78" s="68" t="s">
        <v>390</v>
      </c>
      <c r="BD78" s="68"/>
      <c r="BE78" s="110"/>
    </row>
    <row r="79" ht="36.6" customHeight="1" spans="2:57">
      <c r="B79" s="67"/>
      <c r="C79" s="80"/>
      <c r="D79" s="80"/>
      <c r="E79" s="68"/>
      <c r="F79" s="91"/>
      <c r="G79" s="67"/>
      <c r="H79" s="80"/>
      <c r="I79" s="80"/>
      <c r="J79" s="68"/>
      <c r="K79" s="91"/>
      <c r="L79" s="67"/>
      <c r="M79" s="80"/>
      <c r="N79" s="80"/>
      <c r="O79" s="68"/>
      <c r="P79" s="91"/>
      <c r="Q79" s="67"/>
      <c r="R79" s="80"/>
      <c r="S79" s="80"/>
      <c r="T79" s="68"/>
      <c r="U79" s="82"/>
      <c r="V79" s="67" t="s">
        <v>366</v>
      </c>
      <c r="W79" s="80" t="s">
        <v>432</v>
      </c>
      <c r="X79" s="80"/>
      <c r="Y79" s="68" t="s">
        <v>13</v>
      </c>
      <c r="Z79" s="91">
        <v>670931.666666666</v>
      </c>
      <c r="AA79" s="111"/>
      <c r="AE79" s="131" t="s">
        <v>366</v>
      </c>
      <c r="AF79" s="131" t="s">
        <v>334</v>
      </c>
      <c r="AG79" s="131" t="s">
        <v>19</v>
      </c>
      <c r="AH79" s="131" t="s">
        <v>13</v>
      </c>
      <c r="AI79" s="134">
        <v>137250</v>
      </c>
      <c r="AJ79" s="131" t="s">
        <v>10</v>
      </c>
      <c r="AK79" s="136">
        <v>18471</v>
      </c>
      <c r="AM79" s="111"/>
      <c r="AN79" s="131" t="s">
        <v>366</v>
      </c>
      <c r="AO79" s="131" t="s">
        <v>331</v>
      </c>
      <c r="AP79" s="131" t="s">
        <v>19</v>
      </c>
      <c r="AQ79" s="131" t="s">
        <v>13</v>
      </c>
      <c r="AR79" s="134">
        <v>143061</v>
      </c>
      <c r="AS79" s="131" t="s">
        <v>10</v>
      </c>
      <c r="AT79" s="136">
        <v>17472</v>
      </c>
      <c r="AU79" s="111"/>
      <c r="AX79" s="68" t="s">
        <v>366</v>
      </c>
      <c r="AY79" s="68" t="s">
        <v>331</v>
      </c>
      <c r="AZ79" s="68" t="s">
        <v>19</v>
      </c>
      <c r="BA79" s="68" t="s">
        <v>13</v>
      </c>
      <c r="BB79" s="102">
        <v>143061</v>
      </c>
      <c r="BC79" s="68" t="s">
        <v>10</v>
      </c>
      <c r="BD79" s="179">
        <v>17412</v>
      </c>
      <c r="BE79" s="111"/>
    </row>
    <row r="80" ht="36.6" customHeight="1" spans="2:57">
      <c r="B80" s="67"/>
      <c r="C80" s="80"/>
      <c r="D80" s="80"/>
      <c r="E80" s="68"/>
      <c r="F80" s="91"/>
      <c r="G80" s="67"/>
      <c r="H80" s="80"/>
      <c r="I80" s="80"/>
      <c r="J80" s="68"/>
      <c r="K80" s="91"/>
      <c r="L80" s="67"/>
      <c r="M80" s="80"/>
      <c r="N80" s="80"/>
      <c r="O80" s="68"/>
      <c r="P80" s="91"/>
      <c r="Q80" s="67"/>
      <c r="R80" s="80"/>
      <c r="S80" s="80"/>
      <c r="T80" s="68"/>
      <c r="U80" s="82"/>
      <c r="V80" s="67" t="s">
        <v>367</v>
      </c>
      <c r="W80" s="80" t="s">
        <v>432</v>
      </c>
      <c r="X80" s="80"/>
      <c r="Y80" s="68" t="s">
        <v>14</v>
      </c>
      <c r="Z80" s="91">
        <v>448418.333333333</v>
      </c>
      <c r="AA80" s="111"/>
      <c r="AE80" s="131" t="s">
        <v>367</v>
      </c>
      <c r="AF80" s="131" t="s">
        <v>334</v>
      </c>
      <c r="AG80" s="131" t="s">
        <v>19</v>
      </c>
      <c r="AH80" s="131" t="s">
        <v>14</v>
      </c>
      <c r="AI80" s="134">
        <v>100242</v>
      </c>
      <c r="AJ80" s="131" t="s">
        <v>12</v>
      </c>
      <c r="AK80" s="136">
        <v>30096</v>
      </c>
      <c r="AM80" s="111"/>
      <c r="AN80" s="131" t="s">
        <v>367</v>
      </c>
      <c r="AO80" s="131" t="s">
        <v>331</v>
      </c>
      <c r="AP80" s="131" t="s">
        <v>19</v>
      </c>
      <c r="AQ80" s="131" t="s">
        <v>14</v>
      </c>
      <c r="AR80" s="134">
        <v>97536.0000000001</v>
      </c>
      <c r="AS80" s="131" t="s">
        <v>12</v>
      </c>
      <c r="AT80" s="136">
        <v>25734</v>
      </c>
      <c r="AU80" s="111"/>
      <c r="AX80" s="68" t="s">
        <v>367</v>
      </c>
      <c r="AY80" s="68" t="s">
        <v>331</v>
      </c>
      <c r="AZ80" s="68" t="s">
        <v>19</v>
      </c>
      <c r="BA80" s="68" t="s">
        <v>14</v>
      </c>
      <c r="BB80" s="102">
        <v>97536.0000000001</v>
      </c>
      <c r="BC80" s="68" t="s">
        <v>12</v>
      </c>
      <c r="BD80" s="179">
        <v>26688.0000000001</v>
      </c>
      <c r="BE80" s="111"/>
    </row>
    <row r="81" ht="36.6" customHeight="1" spans="2:57">
      <c r="B81" s="67"/>
      <c r="C81" s="68"/>
      <c r="D81" s="68"/>
      <c r="E81" s="68"/>
      <c r="F81" s="91"/>
      <c r="G81" s="67"/>
      <c r="H81" s="68"/>
      <c r="I81" s="68"/>
      <c r="J81" s="68"/>
      <c r="K81" s="91"/>
      <c r="L81" s="67"/>
      <c r="M81" s="68"/>
      <c r="N81" s="68"/>
      <c r="O81" s="68"/>
      <c r="P81" s="91"/>
      <c r="Q81" s="67"/>
      <c r="R81" s="68"/>
      <c r="S81" s="68"/>
      <c r="T81" s="68"/>
      <c r="U81" s="82"/>
      <c r="V81" s="67" t="s">
        <v>368</v>
      </c>
      <c r="W81" s="80" t="s">
        <v>432</v>
      </c>
      <c r="X81" s="80"/>
      <c r="Y81" s="68" t="s">
        <v>15</v>
      </c>
      <c r="Z81" s="91">
        <v>192500</v>
      </c>
      <c r="AA81" s="111"/>
      <c r="AE81" s="131" t="s">
        <v>368</v>
      </c>
      <c r="AF81" s="131" t="s">
        <v>334</v>
      </c>
      <c r="AG81" s="131" t="s">
        <v>19</v>
      </c>
      <c r="AH81" s="131" t="s">
        <v>15</v>
      </c>
      <c r="AI81" s="134">
        <v>32193</v>
      </c>
      <c r="AJ81" s="131" t="s">
        <v>13</v>
      </c>
      <c r="AK81" s="136">
        <v>83875</v>
      </c>
      <c r="AM81" s="111"/>
      <c r="AN81" s="131" t="s">
        <v>368</v>
      </c>
      <c r="AO81" s="131" t="s">
        <v>331</v>
      </c>
      <c r="AP81" s="131" t="s">
        <v>19</v>
      </c>
      <c r="AQ81" s="131" t="s">
        <v>15</v>
      </c>
      <c r="AR81" s="134">
        <v>31374</v>
      </c>
      <c r="AS81" s="131" t="s">
        <v>13</v>
      </c>
      <c r="AT81" s="136">
        <v>87238.5</v>
      </c>
      <c r="AU81" s="111"/>
      <c r="AX81" s="68" t="s">
        <v>368</v>
      </c>
      <c r="AY81" s="68" t="s">
        <v>331</v>
      </c>
      <c r="AZ81" s="68" t="s">
        <v>19</v>
      </c>
      <c r="BA81" s="68" t="s">
        <v>15</v>
      </c>
      <c r="BB81" s="102">
        <v>31374</v>
      </c>
      <c r="BC81" s="68" t="s">
        <v>13</v>
      </c>
      <c r="BD81" s="179">
        <v>86780.5</v>
      </c>
      <c r="BE81" s="111"/>
    </row>
    <row r="82" ht="36.6" customHeight="1" spans="2:57">
      <c r="B82" s="67"/>
      <c r="C82" s="68"/>
      <c r="D82" s="68"/>
      <c r="E82" s="68"/>
      <c r="F82" s="89"/>
      <c r="G82" s="67"/>
      <c r="H82" s="68"/>
      <c r="I82" s="68"/>
      <c r="J82" s="68"/>
      <c r="K82" s="89"/>
      <c r="L82" s="67"/>
      <c r="M82" s="68"/>
      <c r="N82" s="68"/>
      <c r="O82" s="68"/>
      <c r="P82" s="89"/>
      <c r="Q82" s="67"/>
      <c r="R82" s="68"/>
      <c r="S82" s="68"/>
      <c r="T82" s="68"/>
      <c r="U82" s="81"/>
      <c r="V82" s="67" t="s">
        <v>369</v>
      </c>
      <c r="W82" s="80" t="s">
        <v>432</v>
      </c>
      <c r="X82" s="80"/>
      <c r="Y82" s="68"/>
      <c r="Z82" s="89"/>
      <c r="AA82" s="110"/>
      <c r="AE82" s="131" t="s">
        <v>369</v>
      </c>
      <c r="AF82" s="131" t="s">
        <v>334</v>
      </c>
      <c r="AG82" s="131" t="s">
        <v>19</v>
      </c>
      <c r="AH82" s="131"/>
      <c r="AI82" s="131"/>
      <c r="AJ82" s="131" t="s">
        <v>14</v>
      </c>
      <c r="AK82" s="136">
        <v>61259</v>
      </c>
      <c r="AM82" s="111"/>
      <c r="AN82" s="131" t="s">
        <v>369</v>
      </c>
      <c r="AO82" s="131" t="s">
        <v>331</v>
      </c>
      <c r="AP82" s="131" t="s">
        <v>26</v>
      </c>
      <c r="AQ82" s="131"/>
      <c r="AR82" s="131"/>
      <c r="AS82" s="131" t="s">
        <v>14</v>
      </c>
      <c r="AT82" s="136">
        <v>59295.0000000001</v>
      </c>
      <c r="AU82" s="111"/>
      <c r="AX82" s="68" t="s">
        <v>369</v>
      </c>
      <c r="AY82" s="68" t="s">
        <v>331</v>
      </c>
      <c r="AZ82" s="68" t="s">
        <v>26</v>
      </c>
      <c r="BA82" s="68"/>
      <c r="BB82" s="68"/>
      <c r="BC82" s="68" t="s">
        <v>14</v>
      </c>
      <c r="BD82" s="179">
        <v>59906.0000000001</v>
      </c>
      <c r="BE82" s="111"/>
    </row>
    <row r="83" ht="36.6" customHeight="1" spans="2:57">
      <c r="B83" s="67"/>
      <c r="C83" s="68"/>
      <c r="D83" s="68"/>
      <c r="E83" s="68"/>
      <c r="F83" s="89"/>
      <c r="G83" s="67"/>
      <c r="H83" s="68"/>
      <c r="I83" s="68"/>
      <c r="J83" s="68"/>
      <c r="K83" s="89"/>
      <c r="L83" s="67"/>
      <c r="M83" s="68"/>
      <c r="N83" s="68"/>
      <c r="O83" s="68"/>
      <c r="P83" s="89"/>
      <c r="Q83" s="67"/>
      <c r="R83" s="68"/>
      <c r="S83" s="68"/>
      <c r="T83" s="68"/>
      <c r="U83" s="81"/>
      <c r="V83" s="67" t="s">
        <v>370</v>
      </c>
      <c r="W83" s="80" t="s">
        <v>432</v>
      </c>
      <c r="X83" s="80"/>
      <c r="Y83" s="68"/>
      <c r="Z83" s="89"/>
      <c r="AA83" s="110"/>
      <c r="AE83" s="131" t="s">
        <v>370</v>
      </c>
      <c r="AF83" s="131" t="s">
        <v>334</v>
      </c>
      <c r="AG83" s="131" t="s">
        <v>26</v>
      </c>
      <c r="AH83" s="131"/>
      <c r="AI83" s="131"/>
      <c r="AJ83" s="131" t="s">
        <v>15</v>
      </c>
      <c r="AK83" s="136">
        <v>19527.5</v>
      </c>
      <c r="AM83" s="111"/>
      <c r="AN83" s="131" t="s">
        <v>370</v>
      </c>
      <c r="AO83" s="131" t="s">
        <v>331</v>
      </c>
      <c r="AP83" s="131" t="s">
        <v>26</v>
      </c>
      <c r="AQ83" s="131"/>
      <c r="AR83" s="131"/>
      <c r="AS83" s="131" t="s">
        <v>15</v>
      </c>
      <c r="AT83" s="136">
        <v>18373</v>
      </c>
      <c r="AU83" s="111"/>
      <c r="AX83" s="68" t="s">
        <v>370</v>
      </c>
      <c r="AY83" s="68" t="s">
        <v>331</v>
      </c>
      <c r="AZ83" s="68" t="s">
        <v>26</v>
      </c>
      <c r="BA83" s="68"/>
      <c r="BB83" s="68"/>
      <c r="BC83" s="68" t="s">
        <v>15</v>
      </c>
      <c r="BD83" s="179">
        <v>18464</v>
      </c>
      <c r="BE83" s="111"/>
    </row>
    <row r="84" ht="36.6" customHeight="1" spans="2:57">
      <c r="B84" s="67"/>
      <c r="C84" s="68"/>
      <c r="D84" s="68"/>
      <c r="E84" s="68"/>
      <c r="F84" s="89"/>
      <c r="G84" s="67"/>
      <c r="H84" s="68"/>
      <c r="I84" s="68"/>
      <c r="J84" s="68"/>
      <c r="K84" s="89"/>
      <c r="L84" s="67"/>
      <c r="M84" s="68"/>
      <c r="N84" s="68"/>
      <c r="O84" s="68"/>
      <c r="P84" s="89"/>
      <c r="Q84" s="67"/>
      <c r="R84" s="68"/>
      <c r="S84" s="68"/>
      <c r="T84" s="68"/>
      <c r="U84" s="81"/>
      <c r="V84" s="67" t="s">
        <v>371</v>
      </c>
      <c r="W84" s="80" t="s">
        <v>432</v>
      </c>
      <c r="X84" s="80"/>
      <c r="Y84" s="68"/>
      <c r="Z84" s="89"/>
      <c r="AA84" s="110"/>
      <c r="AE84" s="131" t="s">
        <v>371</v>
      </c>
      <c r="AF84" s="131" t="s">
        <v>334</v>
      </c>
      <c r="AG84" s="131" t="s">
        <v>26</v>
      </c>
      <c r="AH84" s="131"/>
      <c r="AI84" s="131"/>
      <c r="AJ84" s="131"/>
      <c r="AK84" s="131"/>
      <c r="AL84" s="110"/>
      <c r="AM84" s="110"/>
      <c r="AN84" s="131" t="s">
        <v>371</v>
      </c>
      <c r="AO84" s="131" t="s">
        <v>331</v>
      </c>
      <c r="AP84" s="131" t="s">
        <v>26</v>
      </c>
      <c r="AQ84" s="131"/>
      <c r="AR84" s="131"/>
      <c r="AS84" s="131"/>
      <c r="AT84" s="131"/>
      <c r="AU84" s="110"/>
      <c r="AX84" s="68" t="s">
        <v>371</v>
      </c>
      <c r="AY84" s="68" t="s">
        <v>331</v>
      </c>
      <c r="AZ84" s="68" t="s">
        <v>26</v>
      </c>
      <c r="BA84" s="68"/>
      <c r="BB84" s="68"/>
      <c r="BC84" s="68"/>
      <c r="BD84" s="68"/>
      <c r="BE84" s="110"/>
    </row>
    <row r="85" ht="36.6" customHeight="1" spans="2:57">
      <c r="B85" s="69"/>
      <c r="C85" s="70"/>
      <c r="D85" s="70"/>
      <c r="E85" s="70"/>
      <c r="F85" s="141"/>
      <c r="G85" s="69"/>
      <c r="H85" s="70"/>
      <c r="I85" s="70"/>
      <c r="J85" s="70"/>
      <c r="K85" s="141"/>
      <c r="L85" s="69"/>
      <c r="M85" s="70"/>
      <c r="N85" s="70"/>
      <c r="O85" s="70"/>
      <c r="P85" s="141"/>
      <c r="Q85" s="69"/>
      <c r="R85" s="70"/>
      <c r="S85" s="70"/>
      <c r="T85" s="70"/>
      <c r="U85" s="83"/>
      <c r="V85" s="67" t="s">
        <v>372</v>
      </c>
      <c r="W85" s="80" t="s">
        <v>432</v>
      </c>
      <c r="X85" s="80"/>
      <c r="Y85" s="68"/>
      <c r="Z85" s="89"/>
      <c r="AA85" s="110"/>
      <c r="AE85" s="131" t="s">
        <v>372</v>
      </c>
      <c r="AF85" s="131" t="s">
        <v>334</v>
      </c>
      <c r="AG85" s="131" t="s">
        <v>26</v>
      </c>
      <c r="AH85" s="131"/>
      <c r="AI85" s="131"/>
      <c r="AJ85" s="131"/>
      <c r="AK85" s="131"/>
      <c r="AL85" s="110"/>
      <c r="AM85" s="110"/>
      <c r="AN85" s="131" t="s">
        <v>372</v>
      </c>
      <c r="AO85" s="131" t="s">
        <v>331</v>
      </c>
      <c r="AP85" s="131" t="s">
        <v>21</v>
      </c>
      <c r="AQ85" s="131"/>
      <c r="AR85" s="131"/>
      <c r="AS85" s="131"/>
      <c r="AT85" s="131"/>
      <c r="AU85" s="110"/>
      <c r="AX85" s="68" t="s">
        <v>372</v>
      </c>
      <c r="AY85" s="68" t="s">
        <v>331</v>
      </c>
      <c r="AZ85" s="68" t="s">
        <v>21</v>
      </c>
      <c r="BA85" s="68"/>
      <c r="BB85" s="68"/>
      <c r="BC85" s="68"/>
      <c r="BD85" s="68"/>
      <c r="BE85" s="110"/>
    </row>
    <row r="86" ht="36.6" customHeight="1" spans="22:27">
      <c r="V86" s="69" t="s">
        <v>373</v>
      </c>
      <c r="W86" s="149" t="s">
        <v>432</v>
      </c>
      <c r="X86" s="149"/>
      <c r="Y86" s="70"/>
      <c r="Z86" s="141"/>
      <c r="AA86" s="110"/>
    </row>
    <row r="87" ht="28" customHeight="1"/>
    <row r="88" ht="38.7" customHeight="1" spans="22:26">
      <c r="V88" s="150" t="s">
        <v>380</v>
      </c>
      <c r="W88" s="151" t="s">
        <v>324</v>
      </c>
      <c r="X88" s="152"/>
      <c r="Y88" s="164" t="s">
        <v>440</v>
      </c>
      <c r="Z88" s="143"/>
    </row>
    <row r="89" ht="38.7" customHeight="1" spans="22:26">
      <c r="V89" s="153" t="s">
        <v>10</v>
      </c>
      <c r="W89" s="154" t="s">
        <v>12</v>
      </c>
      <c r="X89" s="154" t="s">
        <v>13</v>
      </c>
      <c r="Y89" s="154" t="s">
        <v>14</v>
      </c>
      <c r="Z89" s="165" t="s">
        <v>15</v>
      </c>
    </row>
    <row r="90" customFormat="1" ht="40.65" customHeight="1" spans="22:26">
      <c r="V90" s="155">
        <v>170000</v>
      </c>
      <c r="W90" s="156">
        <v>202000</v>
      </c>
      <c r="X90" s="156">
        <v>1000000</v>
      </c>
      <c r="Y90" s="156">
        <v>590000</v>
      </c>
      <c r="Z90" s="166">
        <v>200000</v>
      </c>
    </row>
    <row r="91" ht="62.85" customHeight="1" spans="22:26">
      <c r="V91" s="157" t="s">
        <v>449</v>
      </c>
      <c r="W91" s="158"/>
      <c r="X91" s="158"/>
      <c r="Y91" s="158"/>
      <c r="Z91" s="167"/>
    </row>
    <row r="92" ht="38.7" customHeight="1" spans="22:48">
      <c r="V92" s="159" t="s">
        <v>356</v>
      </c>
      <c r="W92" s="131" t="s">
        <v>357</v>
      </c>
      <c r="X92" s="131" t="s">
        <v>358</v>
      </c>
      <c r="Y92" s="131" t="s">
        <v>359</v>
      </c>
      <c r="Z92" s="168"/>
      <c r="AA92" s="110"/>
      <c r="AD92" s="138" t="s">
        <v>450</v>
      </c>
      <c r="AE92" s="131" t="s">
        <v>356</v>
      </c>
      <c r="AF92" s="131" t="s">
        <v>357</v>
      </c>
      <c r="AG92" s="131" t="s">
        <v>358</v>
      </c>
      <c r="AH92" s="131" t="s">
        <v>359</v>
      </c>
      <c r="AI92" s="172"/>
      <c r="AJ92" s="131" t="s">
        <v>360</v>
      </c>
      <c r="AK92" s="131"/>
      <c r="AM92" s="177" t="s">
        <v>451</v>
      </c>
      <c r="AN92" s="131" t="s">
        <v>356</v>
      </c>
      <c r="AO92" s="131" t="s">
        <v>357</v>
      </c>
      <c r="AP92" s="131" t="s">
        <v>358</v>
      </c>
      <c r="AQ92" s="131" t="s">
        <v>359</v>
      </c>
      <c r="AR92" s="131"/>
      <c r="AS92" s="131" t="s">
        <v>360</v>
      </c>
      <c r="AT92" s="131"/>
      <c r="AV92" s="139"/>
    </row>
    <row r="93" ht="38.7" customHeight="1" spans="22:48">
      <c r="V93" s="159" t="s">
        <v>361</v>
      </c>
      <c r="W93" s="160" t="s">
        <v>450</v>
      </c>
      <c r="X93" s="160" t="s">
        <v>362</v>
      </c>
      <c r="Y93" s="131" t="s">
        <v>10</v>
      </c>
      <c r="Z93" s="169">
        <v>174440</v>
      </c>
      <c r="AA93" s="111"/>
      <c r="AE93" s="131" t="s">
        <v>361</v>
      </c>
      <c r="AF93" s="131" t="s">
        <v>335</v>
      </c>
      <c r="AG93" s="131" t="s">
        <v>19</v>
      </c>
      <c r="AH93" s="131" t="s">
        <v>10</v>
      </c>
      <c r="AI93" s="173">
        <v>30732</v>
      </c>
      <c r="AJ93" s="174" t="s">
        <v>363</v>
      </c>
      <c r="AK93" s="135" t="s">
        <v>331</v>
      </c>
      <c r="AM93" s="110"/>
      <c r="AN93" s="131" t="s">
        <v>361</v>
      </c>
      <c r="AO93" s="131" t="s">
        <v>331</v>
      </c>
      <c r="AP93" s="131" t="s">
        <v>19</v>
      </c>
      <c r="AQ93" s="131" t="s">
        <v>10</v>
      </c>
      <c r="AR93" s="134">
        <v>30732</v>
      </c>
      <c r="AS93" s="131" t="s">
        <v>363</v>
      </c>
      <c r="AT93" s="135" t="s">
        <v>331</v>
      </c>
      <c r="AV93" s="139"/>
    </row>
    <row r="94" ht="38.7" customHeight="1" spans="22:48">
      <c r="V94" s="159" t="s">
        <v>364</v>
      </c>
      <c r="W94" s="160" t="s">
        <v>452</v>
      </c>
      <c r="X94" s="160" t="s">
        <v>362</v>
      </c>
      <c r="Y94" s="131" t="s">
        <v>12</v>
      </c>
      <c r="Z94" s="169">
        <v>205643.333333334</v>
      </c>
      <c r="AA94" s="111"/>
      <c r="AE94" s="131" t="s">
        <v>364</v>
      </c>
      <c r="AF94" s="131" t="s">
        <v>335</v>
      </c>
      <c r="AG94" s="131" t="s">
        <v>19</v>
      </c>
      <c r="AH94" s="131" t="s">
        <v>12</v>
      </c>
      <c r="AI94" s="173">
        <v>32952.0000000001</v>
      </c>
      <c r="AJ94" s="175" t="s">
        <v>448</v>
      </c>
      <c r="AK94" s="175"/>
      <c r="AM94" s="110"/>
      <c r="AN94" s="131" t="s">
        <v>364</v>
      </c>
      <c r="AO94" s="131" t="s">
        <v>331</v>
      </c>
      <c r="AP94" s="131" t="s">
        <v>19</v>
      </c>
      <c r="AQ94" s="131" t="s">
        <v>12</v>
      </c>
      <c r="AR94" s="134">
        <v>36795.0000000001</v>
      </c>
      <c r="AS94" s="131" t="s">
        <v>453</v>
      </c>
      <c r="AT94" s="131"/>
      <c r="AV94" s="139"/>
    </row>
    <row r="95" ht="38.7" customHeight="1" spans="22:48">
      <c r="V95" s="159" t="s">
        <v>366</v>
      </c>
      <c r="W95" s="160" t="s">
        <v>452</v>
      </c>
      <c r="X95" s="160" t="s">
        <v>362</v>
      </c>
      <c r="Y95" s="131" t="s">
        <v>13</v>
      </c>
      <c r="Z95" s="169">
        <v>1002691.66666666</v>
      </c>
      <c r="AA95" s="111"/>
      <c r="AE95" s="131" t="s">
        <v>366</v>
      </c>
      <c r="AF95" s="131" t="s">
        <v>335</v>
      </c>
      <c r="AG95" s="131" t="s">
        <v>19</v>
      </c>
      <c r="AH95" s="131" t="s">
        <v>13</v>
      </c>
      <c r="AI95" s="173">
        <v>168746.999999999</v>
      </c>
      <c r="AJ95" s="176" t="s">
        <v>10</v>
      </c>
      <c r="AK95" s="136">
        <v>17444</v>
      </c>
      <c r="AM95" s="111"/>
      <c r="AN95" s="131" t="s">
        <v>366</v>
      </c>
      <c r="AO95" s="131" t="s">
        <v>331</v>
      </c>
      <c r="AP95" s="131" t="s">
        <v>19</v>
      </c>
      <c r="AQ95" s="131" t="s">
        <v>13</v>
      </c>
      <c r="AR95" s="134">
        <v>143061</v>
      </c>
      <c r="AS95" s="131" t="s">
        <v>10</v>
      </c>
      <c r="AT95" s="136">
        <v>18100.18</v>
      </c>
      <c r="AV95" s="44"/>
    </row>
    <row r="96" ht="38.7" customHeight="1" spans="22:48">
      <c r="V96" s="159" t="s">
        <v>367</v>
      </c>
      <c r="W96" s="160" t="s">
        <v>452</v>
      </c>
      <c r="X96" s="160" t="s">
        <v>362</v>
      </c>
      <c r="Y96" s="131" t="s">
        <v>14</v>
      </c>
      <c r="Z96" s="169">
        <v>596053.333333334</v>
      </c>
      <c r="AA96" s="111"/>
      <c r="AE96" s="131" t="s">
        <v>367</v>
      </c>
      <c r="AF96" s="131" t="s">
        <v>335</v>
      </c>
      <c r="AG96" s="131" t="s">
        <v>19</v>
      </c>
      <c r="AH96" s="131" t="s">
        <v>14</v>
      </c>
      <c r="AI96" s="173">
        <v>97536.0000000001</v>
      </c>
      <c r="AJ96" s="176" t="s">
        <v>12</v>
      </c>
      <c r="AK96" s="136">
        <v>20564.3333333334</v>
      </c>
      <c r="AM96" s="111"/>
      <c r="AN96" s="131" t="s">
        <v>367</v>
      </c>
      <c r="AO96" s="131" t="s">
        <v>331</v>
      </c>
      <c r="AP96" s="131" t="s">
        <v>19</v>
      </c>
      <c r="AQ96" s="131" t="s">
        <v>14</v>
      </c>
      <c r="AR96" s="134">
        <v>97536.0000000001</v>
      </c>
      <c r="AS96" s="131" t="s">
        <v>12</v>
      </c>
      <c r="AT96" s="136">
        <v>22485.8333333334</v>
      </c>
      <c r="AV96" s="44"/>
    </row>
    <row r="97" ht="38.7" customHeight="1" spans="22:48">
      <c r="V97" s="159" t="s">
        <v>368</v>
      </c>
      <c r="W97" s="160" t="s">
        <v>452</v>
      </c>
      <c r="X97" s="160" t="s">
        <v>362</v>
      </c>
      <c r="Y97" s="131" t="s">
        <v>15</v>
      </c>
      <c r="Z97" s="169">
        <v>202280</v>
      </c>
      <c r="AA97" s="111"/>
      <c r="AE97" s="131" t="s">
        <v>368</v>
      </c>
      <c r="AF97" s="131" t="s">
        <v>335</v>
      </c>
      <c r="AG97" s="131" t="s">
        <v>19</v>
      </c>
      <c r="AH97" s="131" t="s">
        <v>15</v>
      </c>
      <c r="AI97" s="173">
        <v>33774</v>
      </c>
      <c r="AJ97" s="176" t="s">
        <v>13</v>
      </c>
      <c r="AK97" s="136">
        <v>100269.166666666</v>
      </c>
      <c r="AM97" s="111"/>
      <c r="AN97" s="131" t="s">
        <v>368</v>
      </c>
      <c r="AO97" s="131" t="s">
        <v>331</v>
      </c>
      <c r="AP97" s="131" t="s">
        <v>19</v>
      </c>
      <c r="AQ97" s="131" t="s">
        <v>15</v>
      </c>
      <c r="AR97" s="134">
        <v>33774</v>
      </c>
      <c r="AS97" s="131" t="s">
        <v>13</v>
      </c>
      <c r="AT97" s="136">
        <v>87426.1666666666</v>
      </c>
      <c r="AV97" s="44"/>
    </row>
    <row r="98" ht="38.7" customHeight="1" spans="22:48">
      <c r="V98" s="159" t="s">
        <v>369</v>
      </c>
      <c r="W98" s="160" t="s">
        <v>452</v>
      </c>
      <c r="X98" s="160" t="s">
        <v>362</v>
      </c>
      <c r="Y98" s="131"/>
      <c r="Z98" s="168"/>
      <c r="AA98" s="110"/>
      <c r="AE98" s="131" t="s">
        <v>369</v>
      </c>
      <c r="AF98" s="131" t="s">
        <v>335</v>
      </c>
      <c r="AG98" s="131" t="s">
        <v>26</v>
      </c>
      <c r="AH98" s="131"/>
      <c r="AI98" s="172"/>
      <c r="AJ98" s="176" t="s">
        <v>14</v>
      </c>
      <c r="AK98" s="136">
        <v>59605.3333333334</v>
      </c>
      <c r="AM98" s="111"/>
      <c r="AN98" s="131" t="s">
        <v>369</v>
      </c>
      <c r="AO98" s="131" t="s">
        <v>331</v>
      </c>
      <c r="AP98" s="131" t="s">
        <v>26</v>
      </c>
      <c r="AQ98" s="131"/>
      <c r="AR98" s="131"/>
      <c r="AS98" s="131" t="s">
        <v>14</v>
      </c>
      <c r="AT98" s="136">
        <v>59605.3333333334</v>
      </c>
      <c r="AV98" s="44"/>
    </row>
    <row r="99" ht="38.7" customHeight="1" spans="22:48">
      <c r="V99" s="159" t="s">
        <v>370</v>
      </c>
      <c r="W99" s="160" t="s">
        <v>452</v>
      </c>
      <c r="X99" s="160" t="s">
        <v>362</v>
      </c>
      <c r="Y99" s="131"/>
      <c r="Z99" s="168"/>
      <c r="AA99" s="110"/>
      <c r="AE99" s="131" t="s">
        <v>370</v>
      </c>
      <c r="AF99" s="131" t="s">
        <v>335</v>
      </c>
      <c r="AG99" s="131" t="s">
        <v>26</v>
      </c>
      <c r="AH99" s="131"/>
      <c r="AI99" s="172"/>
      <c r="AJ99" s="176" t="s">
        <v>15</v>
      </c>
      <c r="AK99" s="136">
        <v>20228</v>
      </c>
      <c r="AM99" s="111"/>
      <c r="AN99" s="131" t="s">
        <v>370</v>
      </c>
      <c r="AO99" s="131" t="s">
        <v>331</v>
      </c>
      <c r="AP99" s="131" t="s">
        <v>26</v>
      </c>
      <c r="AQ99" s="131"/>
      <c r="AR99" s="131"/>
      <c r="AS99" s="131" t="s">
        <v>15</v>
      </c>
      <c r="AT99" s="136">
        <v>19573</v>
      </c>
      <c r="AV99" s="44"/>
    </row>
    <row r="100" ht="38.7" customHeight="1" spans="22:48">
      <c r="V100" s="159" t="s">
        <v>371</v>
      </c>
      <c r="W100" s="160" t="s">
        <v>452</v>
      </c>
      <c r="X100" s="160" t="s">
        <v>362</v>
      </c>
      <c r="Y100" s="131"/>
      <c r="Z100" s="168"/>
      <c r="AA100" s="110"/>
      <c r="AE100" s="131" t="s">
        <v>371</v>
      </c>
      <c r="AF100" s="131" t="s">
        <v>335</v>
      </c>
      <c r="AG100" s="131" t="s">
        <v>26</v>
      </c>
      <c r="AH100" s="131"/>
      <c r="AI100" s="172"/>
      <c r="AJ100" s="131"/>
      <c r="AK100" s="131"/>
      <c r="AL100" s="110"/>
      <c r="AM100" s="110"/>
      <c r="AN100" s="131" t="s">
        <v>371</v>
      </c>
      <c r="AO100" s="131" t="s">
        <v>331</v>
      </c>
      <c r="AP100" s="131" t="s">
        <v>26</v>
      </c>
      <c r="AQ100" s="131"/>
      <c r="AR100" s="131"/>
      <c r="AS100" s="131"/>
      <c r="AT100" s="131"/>
      <c r="AU100" s="110"/>
      <c r="AV100" s="139"/>
    </row>
    <row r="101" ht="38.7" customHeight="1" spans="22:48">
      <c r="V101" s="159" t="s">
        <v>372</v>
      </c>
      <c r="W101" s="160" t="s">
        <v>452</v>
      </c>
      <c r="X101" s="160" t="s">
        <v>362</v>
      </c>
      <c r="Y101" s="131"/>
      <c r="Z101" s="168"/>
      <c r="AA101" s="110"/>
      <c r="AE101" s="131" t="s">
        <v>372</v>
      </c>
      <c r="AF101" s="131" t="s">
        <v>335</v>
      </c>
      <c r="AG101" s="131" t="s">
        <v>26</v>
      </c>
      <c r="AH101" s="131"/>
      <c r="AI101" s="172"/>
      <c r="AJ101" s="131"/>
      <c r="AK101" s="131"/>
      <c r="AL101" s="110"/>
      <c r="AM101" s="110"/>
      <c r="AN101" s="131" t="s">
        <v>372</v>
      </c>
      <c r="AO101" s="131" t="s">
        <v>331</v>
      </c>
      <c r="AP101" s="131" t="s">
        <v>26</v>
      </c>
      <c r="AQ101" s="131"/>
      <c r="AR101" s="131"/>
      <c r="AS101" s="131"/>
      <c r="AT101" s="131"/>
      <c r="AU101" s="110"/>
      <c r="AV101" s="139"/>
    </row>
    <row r="102" ht="38.7" customHeight="1" spans="22:27">
      <c r="V102" s="161" t="s">
        <v>373</v>
      </c>
      <c r="W102" s="162" t="s">
        <v>452</v>
      </c>
      <c r="X102" s="162" t="s">
        <v>362</v>
      </c>
      <c r="Y102" s="170"/>
      <c r="Z102" s="171"/>
      <c r="AA102" s="110"/>
    </row>
    <row r="103" ht="28" customHeight="1"/>
    <row r="104" ht="28" customHeight="1"/>
    <row r="105" ht="28" customHeight="1"/>
    <row r="106" ht="28" customHeight="1"/>
    <row r="107" ht="28" customHeight="1"/>
    <row r="108" ht="28" customHeight="1"/>
  </sheetData>
  <mergeCells count="171">
    <mergeCell ref="B2:H2"/>
    <mergeCell ref="I2:Q2"/>
    <mergeCell ref="B5:F5"/>
    <mergeCell ref="G5:K5"/>
    <mergeCell ref="L5:P5"/>
    <mergeCell ref="Q5:U5"/>
    <mergeCell ref="V5:Z5"/>
    <mergeCell ref="E6:F6"/>
    <mergeCell ref="J6:K6"/>
    <mergeCell ref="O6:P6"/>
    <mergeCell ref="T6:U6"/>
    <mergeCell ref="Y6:Z6"/>
    <mergeCell ref="AH6:AI6"/>
    <mergeCell ref="AJ6:AK6"/>
    <mergeCell ref="AJ8:AK8"/>
    <mergeCell ref="B16:F16"/>
    <mergeCell ref="G16:K16"/>
    <mergeCell ref="L16:P16"/>
    <mergeCell ref="Q16:U16"/>
    <mergeCell ref="V16:Z16"/>
    <mergeCell ref="B19:F19"/>
    <mergeCell ref="G19:K19"/>
    <mergeCell ref="L19:P19"/>
    <mergeCell ref="Q19:U19"/>
    <mergeCell ref="V19:Z19"/>
    <mergeCell ref="E20:F20"/>
    <mergeCell ref="J20:K20"/>
    <mergeCell ref="O20:P20"/>
    <mergeCell ref="T20:U20"/>
    <mergeCell ref="AH20:AI20"/>
    <mergeCell ref="AJ20:AK20"/>
    <mergeCell ref="C21:D21"/>
    <mergeCell ref="H21:I21"/>
    <mergeCell ref="M21:N21"/>
    <mergeCell ref="AJ22:AK22"/>
    <mergeCell ref="B30:F30"/>
    <mergeCell ref="G30:K30"/>
    <mergeCell ref="L30:P30"/>
    <mergeCell ref="Q30:U30"/>
    <mergeCell ref="V30:Z30"/>
    <mergeCell ref="B33:F33"/>
    <mergeCell ref="G33:K33"/>
    <mergeCell ref="L33:P33"/>
    <mergeCell ref="Q33:U33"/>
    <mergeCell ref="V33:Z33"/>
    <mergeCell ref="E34:F34"/>
    <mergeCell ref="J34:K34"/>
    <mergeCell ref="O34:P34"/>
    <mergeCell ref="T34:U34"/>
    <mergeCell ref="Y34:Z34"/>
    <mergeCell ref="AH34:AI34"/>
    <mergeCell ref="AJ34:AK34"/>
    <mergeCell ref="C35:D35"/>
    <mergeCell ref="H35:I35"/>
    <mergeCell ref="M35:N35"/>
    <mergeCell ref="R35:S35"/>
    <mergeCell ref="W35:X35"/>
    <mergeCell ref="C36:D36"/>
    <mergeCell ref="H36:I36"/>
    <mergeCell ref="M36:N36"/>
    <mergeCell ref="R36:S36"/>
    <mergeCell ref="W36:X36"/>
    <mergeCell ref="AJ36:AK36"/>
    <mergeCell ref="C37:D37"/>
    <mergeCell ref="H37:I37"/>
    <mergeCell ref="B44:F44"/>
    <mergeCell ref="G44:K44"/>
    <mergeCell ref="L44:P44"/>
    <mergeCell ref="Q44:U44"/>
    <mergeCell ref="V44:Z44"/>
    <mergeCell ref="F46:H46"/>
    <mergeCell ref="B47:H47"/>
    <mergeCell ref="E48:F48"/>
    <mergeCell ref="G48:H48"/>
    <mergeCell ref="AH48:AI48"/>
    <mergeCell ref="AJ48:AK48"/>
    <mergeCell ref="G50:H50"/>
    <mergeCell ref="AJ50:AK50"/>
    <mergeCell ref="B58:H58"/>
    <mergeCell ref="E59:F59"/>
    <mergeCell ref="J59:K59"/>
    <mergeCell ref="O59:P59"/>
    <mergeCell ref="T59:U59"/>
    <mergeCell ref="Y59:Z59"/>
    <mergeCell ref="B61:F61"/>
    <mergeCell ref="G61:K61"/>
    <mergeCell ref="L61:P61"/>
    <mergeCell ref="Q61:U61"/>
    <mergeCell ref="V61:Z61"/>
    <mergeCell ref="E62:F62"/>
    <mergeCell ref="J62:K62"/>
    <mergeCell ref="O62:P62"/>
    <mergeCell ref="T62:U62"/>
    <mergeCell ref="Y62:Z62"/>
    <mergeCell ref="AH62:AI62"/>
    <mergeCell ref="AJ62:AK62"/>
    <mergeCell ref="AQ62:AR62"/>
    <mergeCell ref="AS62:AT62"/>
    <mergeCell ref="C63:D63"/>
    <mergeCell ref="H63:I63"/>
    <mergeCell ref="M63:N63"/>
    <mergeCell ref="R63:S63"/>
    <mergeCell ref="W63:X63"/>
    <mergeCell ref="C64:D64"/>
    <mergeCell ref="H64:I64"/>
    <mergeCell ref="M64:N64"/>
    <mergeCell ref="R64:S64"/>
    <mergeCell ref="W64:X64"/>
    <mergeCell ref="AJ64:AK64"/>
    <mergeCell ref="AS64:AT64"/>
    <mergeCell ref="C65:D65"/>
    <mergeCell ref="H65:I65"/>
    <mergeCell ref="M65:N65"/>
    <mergeCell ref="R65:S65"/>
    <mergeCell ref="W65:X65"/>
    <mergeCell ref="C66:D66"/>
    <mergeCell ref="H66:I66"/>
    <mergeCell ref="M66:N66"/>
    <mergeCell ref="R66:S66"/>
    <mergeCell ref="B72:F72"/>
    <mergeCell ref="G72:K72"/>
    <mergeCell ref="L72:P72"/>
    <mergeCell ref="Q72:U72"/>
    <mergeCell ref="V72:Z72"/>
    <mergeCell ref="O73:P73"/>
    <mergeCell ref="T73:U73"/>
    <mergeCell ref="Y73:Z73"/>
    <mergeCell ref="B75:F75"/>
    <mergeCell ref="G75:K75"/>
    <mergeCell ref="L75:P75"/>
    <mergeCell ref="Q75:U75"/>
    <mergeCell ref="V75:Z75"/>
    <mergeCell ref="Y76:Z76"/>
    <mergeCell ref="AH76:AI76"/>
    <mergeCell ref="AJ76:AK76"/>
    <mergeCell ref="AQ76:AR76"/>
    <mergeCell ref="AS76:AT76"/>
    <mergeCell ref="BA76:BB76"/>
    <mergeCell ref="BC76:BD76"/>
    <mergeCell ref="W77:X77"/>
    <mergeCell ref="W78:X78"/>
    <mergeCell ref="AJ78:AK78"/>
    <mergeCell ref="AS78:AT78"/>
    <mergeCell ref="BC78:BD78"/>
    <mergeCell ref="W79:X79"/>
    <mergeCell ref="W80:X80"/>
    <mergeCell ref="W81:X81"/>
    <mergeCell ref="W82:X82"/>
    <mergeCell ref="W83:X83"/>
    <mergeCell ref="W84:X84"/>
    <mergeCell ref="W85:X85"/>
    <mergeCell ref="W86:X86"/>
    <mergeCell ref="Y88:Z88"/>
    <mergeCell ref="V91:Z91"/>
    <mergeCell ref="Y92:Z92"/>
    <mergeCell ref="AH92:AI92"/>
    <mergeCell ref="AJ92:AK92"/>
    <mergeCell ref="AQ92:AR92"/>
    <mergeCell ref="AS92:AT92"/>
    <mergeCell ref="W93:X93"/>
    <mergeCell ref="W94:X94"/>
    <mergeCell ref="AJ94:AK94"/>
    <mergeCell ref="AS94:AT94"/>
    <mergeCell ref="W95:X95"/>
    <mergeCell ref="W96:X96"/>
    <mergeCell ref="W97:X97"/>
    <mergeCell ref="W98:X98"/>
    <mergeCell ref="W99:X99"/>
    <mergeCell ref="W100:X100"/>
    <mergeCell ref="W101:X101"/>
    <mergeCell ref="W102:X10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E0201"/>
  </sheetPr>
  <dimension ref="A1:AC52"/>
  <sheetViews>
    <sheetView zoomScale="38" zoomScaleNormal="38" topLeftCell="E1" workbookViewId="0">
      <selection activeCell="I16" sqref="I16"/>
    </sheetView>
  </sheetViews>
  <sheetFormatPr defaultColWidth="10" defaultRowHeight="16.8"/>
  <cols>
    <col min="1" max="3" width="10" customWidth="1"/>
    <col min="4" max="4" width="14.8461538461538" customWidth="1"/>
    <col min="5" max="5" width="10" customWidth="1"/>
    <col min="6" max="6" width="9.60576923076923" customWidth="1"/>
    <col min="7" max="7" width="8.75" customWidth="1"/>
    <col min="8" max="12" width="15.5576923076923" customWidth="1"/>
    <col min="13" max="17" width="10" customWidth="1"/>
    <col min="18" max="18" width="10.7980769230769" customWidth="1"/>
    <col min="19" max="20" width="10" customWidth="1"/>
    <col min="21" max="21" width="11.2788461538462" customWidth="1"/>
    <col min="22" max="22" width="10" customWidth="1"/>
    <col min="23" max="23" width="10.4134615384615" customWidth="1"/>
    <col min="24" max="26" width="10" customWidth="1"/>
    <col min="27" max="27" width="11.2019230769231" customWidth="1"/>
    <col min="28" max="28" width="10" customWidth="1"/>
    <col min="29" max="29" width="13.125" customWidth="1"/>
    <col min="30" max="16384" width="10" customWidth="1"/>
  </cols>
  <sheetData>
    <row r="1" ht="28.85" customHeight="1" spans="6:12">
      <c r="F1" s="20" t="s">
        <v>365</v>
      </c>
      <c r="G1" s="20"/>
      <c r="H1" s="20" t="s">
        <v>454</v>
      </c>
      <c r="I1" s="20" t="s">
        <v>455</v>
      </c>
      <c r="J1" s="20" t="s">
        <v>456</v>
      </c>
      <c r="K1" s="20" t="s">
        <v>457</v>
      </c>
      <c r="L1" s="1" t="s">
        <v>458</v>
      </c>
    </row>
    <row r="2" ht="28.85" customHeight="1" spans="1:29">
      <c r="A2" s="1" t="s">
        <v>459</v>
      </c>
      <c r="B2" s="1"/>
      <c r="C2" s="1" t="s">
        <v>458</v>
      </c>
      <c r="D2" s="1"/>
      <c r="F2" s="21" t="s">
        <v>460</v>
      </c>
      <c r="G2" s="20" t="s">
        <v>10</v>
      </c>
      <c r="H2" s="22"/>
      <c r="I2" s="22"/>
      <c r="J2" s="20">
        <v>437</v>
      </c>
      <c r="K2" s="23">
        <v>0</v>
      </c>
      <c r="L2" s="17">
        <f>INT(SUMPRODUCT((宠物资质信息!$C$2:$G$2=G2)*(宠物资质信息!$C$3:$G$11)*(宠物资质信息!$B$3:$B$11=$F$2))*1.1/2)+INT(J2*K2/2)+IF(H2="有",1832,61)</f>
        <v>2077</v>
      </c>
      <c r="Q2" s="45"/>
      <c r="R2" s="45" t="str">
        <f t="shared" ref="R2:R7" si="0">H37</f>
        <v>自定义1</v>
      </c>
      <c r="S2" s="45" t="str">
        <f t="shared" ref="S2:S7" si="1">I37</f>
        <v>自定义2</v>
      </c>
      <c r="T2" s="45" t="str">
        <f t="shared" ref="T2:T7" si="2">J37</f>
        <v>自定义3</v>
      </c>
      <c r="U2" s="45" t="str">
        <f t="shared" ref="U2:U7" si="3">K37</f>
        <v>自定义4</v>
      </c>
      <c r="V2" s="45" t="str">
        <f t="shared" ref="V2:V7" si="4">L37</f>
        <v>自定义5</v>
      </c>
      <c r="W2" s="50" t="s">
        <v>460</v>
      </c>
      <c r="X2" s="50" t="s">
        <v>461</v>
      </c>
      <c r="Y2" s="50" t="s">
        <v>462</v>
      </c>
      <c r="Z2" s="50" t="s">
        <v>463</v>
      </c>
      <c r="AA2" s="50" t="s">
        <v>131</v>
      </c>
      <c r="AB2" s="55" t="s">
        <v>133</v>
      </c>
      <c r="AC2" s="50" t="s">
        <v>464</v>
      </c>
    </row>
    <row r="3" ht="28.85" customHeight="1" spans="1:29">
      <c r="A3" s="1" t="s">
        <v>361</v>
      </c>
      <c r="B3" s="2" t="s">
        <v>465</v>
      </c>
      <c r="C3" s="1" t="s">
        <v>10</v>
      </c>
      <c r="D3" s="3">
        <f>AC3</f>
        <v>180216</v>
      </c>
      <c r="F3" s="21"/>
      <c r="G3" s="20" t="s">
        <v>12</v>
      </c>
      <c r="H3" s="23" t="s">
        <v>466</v>
      </c>
      <c r="I3" s="23" t="s">
        <v>362</v>
      </c>
      <c r="J3" s="20">
        <v>652</v>
      </c>
      <c r="K3" s="23">
        <v>11</v>
      </c>
      <c r="L3" s="17">
        <f>INT(SUMPRODUCT((宠物资质信息!$C$2:$G$2=G3)*(宠物资质信息!$C$3:$G$11)*(宠物资质信息!$B$3:$B$11=$F$2))*1.1/2)+INT(J3*K3/2)+IF(H3="有",1834,611)+IF(I3="有",INT(J3*32*0.02),0)</f>
        <v>7237</v>
      </c>
      <c r="Q3" s="45" t="s">
        <v>10</v>
      </c>
      <c r="R3" s="46">
        <f t="shared" si="0"/>
        <v>17144.5</v>
      </c>
      <c r="S3" s="46">
        <f t="shared" si="1"/>
        <v>18055</v>
      </c>
      <c r="T3" s="46">
        <f t="shared" si="2"/>
        <v>15938.6</v>
      </c>
      <c r="U3" s="46">
        <f t="shared" si="3"/>
        <v>32855.15</v>
      </c>
      <c r="V3" s="46">
        <f t="shared" si="4"/>
        <v>180216</v>
      </c>
      <c r="W3" s="50">
        <f>L2</f>
        <v>2077</v>
      </c>
      <c r="X3" s="50">
        <f>L8</f>
        <v>2153</v>
      </c>
      <c r="Y3" s="50">
        <f>L14</f>
        <v>2991</v>
      </c>
      <c r="Z3" s="50">
        <f>L20</f>
        <v>1573</v>
      </c>
      <c r="AA3" s="50">
        <f>L26</f>
        <v>1444</v>
      </c>
      <c r="AB3" s="55">
        <f>L32</f>
        <v>2010</v>
      </c>
      <c r="AC3" s="50">
        <f>SUMPRODUCT((R3:AB3)*($R$8:$AB$8))</f>
        <v>180216</v>
      </c>
    </row>
    <row r="4" ht="28.85" customHeight="1" spans="1:29">
      <c r="A4" s="1" t="s">
        <v>364</v>
      </c>
      <c r="B4" s="2" t="s">
        <v>467</v>
      </c>
      <c r="C4" s="1" t="s">
        <v>12</v>
      </c>
      <c r="D4" s="3">
        <f>AC4</f>
        <v>285372</v>
      </c>
      <c r="F4" s="21"/>
      <c r="G4" s="20" t="s">
        <v>13</v>
      </c>
      <c r="H4" s="23" t="s">
        <v>466</v>
      </c>
      <c r="I4" s="23" t="s">
        <v>466</v>
      </c>
      <c r="J4" s="20">
        <v>583</v>
      </c>
      <c r="K4" s="23">
        <v>0</v>
      </c>
      <c r="L4" s="17">
        <f>INT(SUMPRODUCT((宠物资质信息!$C$2:$G$2=G4)*(宠物资质信息!$C$3:$G$11)*(宠物资质信息!$B$3:$B$11=$F$2))*1.1/2)+INT(J4*K4/2)+IF(H4="有",13740,4580)+IF(I4="有",INT(J4*32*0.02*7.5),0)</f>
        <v>18691</v>
      </c>
      <c r="Q4" s="45" t="s">
        <v>12</v>
      </c>
      <c r="R4" s="46">
        <f t="shared" si="0"/>
        <v>20637.8333333333</v>
      </c>
      <c r="S4" s="46">
        <f t="shared" si="1"/>
        <v>21925.5</v>
      </c>
      <c r="T4" s="46">
        <f t="shared" si="2"/>
        <v>12034.2583333333</v>
      </c>
      <c r="U4" s="46">
        <f t="shared" si="3"/>
        <v>25368.35</v>
      </c>
      <c r="V4" s="46">
        <f t="shared" si="4"/>
        <v>285372</v>
      </c>
      <c r="W4" s="50">
        <f>L3</f>
        <v>7237</v>
      </c>
      <c r="X4" s="50">
        <f>L9</f>
        <v>7009</v>
      </c>
      <c r="Y4" s="50">
        <f>L15</f>
        <v>3708</v>
      </c>
      <c r="Z4" s="50">
        <f>L21</f>
        <v>8242</v>
      </c>
      <c r="AA4" s="50">
        <f>L27</f>
        <v>5969</v>
      </c>
      <c r="AB4" s="55">
        <f>L33</f>
        <v>2186</v>
      </c>
      <c r="AC4" s="50">
        <f>SUMPRODUCT((R4:AB4)*($R$8:$AB$8))</f>
        <v>285372</v>
      </c>
    </row>
    <row r="5" ht="28.85" customHeight="1" spans="1:29">
      <c r="A5" s="1" t="s">
        <v>366</v>
      </c>
      <c r="B5" s="2" t="s">
        <v>467</v>
      </c>
      <c r="C5" s="1" t="s">
        <v>13</v>
      </c>
      <c r="D5" s="3">
        <f>AC5</f>
        <v>275000</v>
      </c>
      <c r="F5" s="21"/>
      <c r="G5" s="20" t="s">
        <v>14</v>
      </c>
      <c r="H5" s="23" t="s">
        <v>466</v>
      </c>
      <c r="I5" s="23" t="s">
        <v>362</v>
      </c>
      <c r="J5" s="20">
        <v>430</v>
      </c>
      <c r="K5" s="23">
        <v>0</v>
      </c>
      <c r="L5" s="17">
        <f>INT(SUMPRODUCT((宠物资质信息!$C$2:$G$2=G5)*(宠物资质信息!$C$3:$G$11)*(宠物资质信息!$B$3:$B$11=$F$2))*1.1/2)+INT(J5*K5/2)+IF(H5="有",9160,3053)+IF(I5="有",INT(J5*32*0.02*5),0)</f>
        <v>10832</v>
      </c>
      <c r="Q5" s="45" t="s">
        <v>13</v>
      </c>
      <c r="R5" s="46">
        <f t="shared" si="0"/>
        <v>67093.1666666666</v>
      </c>
      <c r="S5" s="46">
        <f t="shared" si="1"/>
        <v>82200</v>
      </c>
      <c r="T5" s="46">
        <f t="shared" si="2"/>
        <v>24110.5166666666</v>
      </c>
      <c r="U5" s="46">
        <f t="shared" si="3"/>
        <v>70158.75</v>
      </c>
      <c r="V5" s="46">
        <f t="shared" si="4"/>
        <v>275000</v>
      </c>
      <c r="W5" s="50">
        <f>L4</f>
        <v>18691</v>
      </c>
      <c r="X5" s="50">
        <f>L10</f>
        <v>18670</v>
      </c>
      <c r="Y5" s="50">
        <f>L16</f>
        <v>19173</v>
      </c>
      <c r="Z5" s="50">
        <f>L22</f>
        <v>7605</v>
      </c>
      <c r="AA5" s="50">
        <f>L28</f>
        <v>1454</v>
      </c>
      <c r="AB5" s="55">
        <f>L34</f>
        <v>2065</v>
      </c>
      <c r="AC5" s="50">
        <f>SUMPRODUCT((R5:AB5)*($R$8:$AB$8))</f>
        <v>275000</v>
      </c>
    </row>
    <row r="6" ht="28.85" customHeight="1" spans="1:29">
      <c r="A6" s="1" t="s">
        <v>367</v>
      </c>
      <c r="B6" s="2" t="s">
        <v>467</v>
      </c>
      <c r="C6" s="1" t="s">
        <v>14</v>
      </c>
      <c r="D6" s="3">
        <f>AC6</f>
        <v>120000</v>
      </c>
      <c r="F6" s="21"/>
      <c r="G6" s="20" t="s">
        <v>15</v>
      </c>
      <c r="H6" s="23" t="s">
        <v>466</v>
      </c>
      <c r="I6" s="23" t="s">
        <v>362</v>
      </c>
      <c r="J6" s="20">
        <v>436</v>
      </c>
      <c r="K6" s="23">
        <v>0</v>
      </c>
      <c r="L6" s="17">
        <f>INT(SUMPRODUCT((宠物资质信息!$C$2:$G$2=G6)*(宠物资质信息!$C$3:$G$11)*(宠物资质信息!$B$3:$B$11=$F$2))*1.1/2)+INT(J6*K6/2)+IF(H6="有",1834,611)+IF(I6="有",INT(J6*32*0.02),0)</f>
        <v>2686</v>
      </c>
      <c r="Q6" s="45" t="s">
        <v>14</v>
      </c>
      <c r="R6" s="46">
        <f t="shared" si="0"/>
        <v>44841.8333333333</v>
      </c>
      <c r="S6" s="46">
        <f t="shared" si="1"/>
        <v>51691.5</v>
      </c>
      <c r="T6" s="46">
        <f t="shared" si="2"/>
        <v>14171.1583333333</v>
      </c>
      <c r="U6" s="46">
        <f t="shared" si="3"/>
        <v>41683</v>
      </c>
      <c r="V6" s="46">
        <f t="shared" si="4"/>
        <v>120000</v>
      </c>
      <c r="W6" s="50">
        <f>L5</f>
        <v>10832</v>
      </c>
      <c r="X6" s="50">
        <f>L11</f>
        <v>11004</v>
      </c>
      <c r="Y6" s="50">
        <f>L17</f>
        <v>10687</v>
      </c>
      <c r="Z6" s="50">
        <f>L23</f>
        <v>4939</v>
      </c>
      <c r="AA6" s="50">
        <f>L29</f>
        <v>1412</v>
      </c>
      <c r="AB6" s="55">
        <f>L35</f>
        <v>740</v>
      </c>
      <c r="AC6" s="50">
        <f>SUMPRODUCT((R6:AB6)*($R$8:$AB$8))</f>
        <v>120000</v>
      </c>
    </row>
    <row r="7" ht="28.85" customHeight="1" spans="1:29">
      <c r="A7" s="1" t="s">
        <v>368</v>
      </c>
      <c r="B7" s="2" t="s">
        <v>467</v>
      </c>
      <c r="C7" s="1" t="s">
        <v>15</v>
      </c>
      <c r="D7" s="3">
        <f>AC7</f>
        <v>188119</v>
      </c>
      <c r="F7" s="20" t="s">
        <v>365</v>
      </c>
      <c r="G7" s="20"/>
      <c r="H7" s="20" t="s">
        <v>454</v>
      </c>
      <c r="I7" s="20" t="s">
        <v>455</v>
      </c>
      <c r="J7" s="20" t="s">
        <v>456</v>
      </c>
      <c r="K7" s="20" t="s">
        <v>457</v>
      </c>
      <c r="L7" s="1" t="s">
        <v>458</v>
      </c>
      <c r="Q7" s="47" t="s">
        <v>15</v>
      </c>
      <c r="R7" s="48">
        <f t="shared" si="0"/>
        <v>19250</v>
      </c>
      <c r="S7" s="48">
        <f t="shared" si="1"/>
        <v>18833.5</v>
      </c>
      <c r="T7" s="48">
        <f t="shared" si="2"/>
        <v>16054.075</v>
      </c>
      <c r="U7" s="48">
        <f t="shared" si="3"/>
        <v>33255.5</v>
      </c>
      <c r="V7" s="48">
        <f t="shared" si="4"/>
        <v>188119</v>
      </c>
      <c r="W7" s="49">
        <f>L6</f>
        <v>2686</v>
      </c>
      <c r="X7" s="49">
        <f>L12</f>
        <v>2686</v>
      </c>
      <c r="Y7" s="49">
        <f>L18</f>
        <v>3776</v>
      </c>
      <c r="Z7" s="49">
        <f>L24</f>
        <v>1554</v>
      </c>
      <c r="AA7" s="49">
        <f>L30</f>
        <v>743</v>
      </c>
      <c r="AB7" s="51">
        <f>L36</f>
        <v>1637</v>
      </c>
      <c r="AC7" s="50">
        <f>SUMPRODUCT((R7:AB7)*($R$8:$AB$8))</f>
        <v>188119</v>
      </c>
    </row>
    <row r="8" ht="28.85" customHeight="1" spans="1:29">
      <c r="A8" s="1" t="s">
        <v>369</v>
      </c>
      <c r="B8" s="2" t="s">
        <v>467</v>
      </c>
      <c r="C8" s="4" t="s">
        <v>468</v>
      </c>
      <c r="D8" s="4"/>
      <c r="F8" s="21" t="s">
        <v>461</v>
      </c>
      <c r="G8" s="20" t="s">
        <v>10</v>
      </c>
      <c r="H8" s="22"/>
      <c r="I8" s="22"/>
      <c r="J8" s="20">
        <v>437</v>
      </c>
      <c r="K8" s="23">
        <v>0</v>
      </c>
      <c r="L8" s="17">
        <f>INT(SUMPRODUCT((宠物资质信息!$C$2:$G$2=G8)*(宠物资质信息!$C$3:$G$11)*(宠物资质信息!$B$3:$B$11=$F$8))*1.1/2)+INT(J8*K8/2)+IF(H8="有",1832,61)</f>
        <v>2153</v>
      </c>
      <c r="Q8" s="49" t="s">
        <v>469</v>
      </c>
      <c r="R8" s="49">
        <f>COUNTIF($B$3:$B$12,R$2)</f>
        <v>0</v>
      </c>
      <c r="S8" s="49">
        <f>COUNTIF($B$3:$B$12,S$2)</f>
        <v>0</v>
      </c>
      <c r="T8" s="49">
        <f>COUNTIF($B$3:$B$12,T$2)</f>
        <v>0</v>
      </c>
      <c r="U8" s="49">
        <f>COUNTIF($B$3:$B$12,U$2)</f>
        <v>0</v>
      </c>
      <c r="V8" s="49">
        <f>COUNTIF($B$3:$B$12,V$2)</f>
        <v>1</v>
      </c>
      <c r="W8" s="49">
        <f>COUNTIF($B$3:$B$12,W$2)</f>
        <v>0</v>
      </c>
      <c r="X8" s="49">
        <f>COUNTIF($B$3:$B$12,X$2)</f>
        <v>0</v>
      </c>
      <c r="Y8" s="49">
        <f>COUNTIF($B$3:$B$12,Y$2)</f>
        <v>0</v>
      </c>
      <c r="Z8" s="49">
        <f>COUNTIF($B$3:$B$12,Z$2)</f>
        <v>0</v>
      </c>
      <c r="AA8" s="49">
        <f>COUNTIF($B$3:$B$12,AA$2)</f>
        <v>0</v>
      </c>
      <c r="AB8" s="51">
        <f>COUNTIF($B$3:$B$12,AB$2)</f>
        <v>0</v>
      </c>
      <c r="AC8" s="49"/>
    </row>
    <row r="9" ht="28.85" customHeight="1" spans="1:29">
      <c r="A9" s="1" t="s">
        <v>370</v>
      </c>
      <c r="B9" s="2" t="s">
        <v>467</v>
      </c>
      <c r="C9" s="4"/>
      <c r="D9" s="4"/>
      <c r="F9" s="21"/>
      <c r="G9" s="20" t="s">
        <v>12</v>
      </c>
      <c r="H9" s="23" t="s">
        <v>466</v>
      </c>
      <c r="I9" s="23"/>
      <c r="J9" s="20">
        <v>652</v>
      </c>
      <c r="K9" s="23">
        <v>11</v>
      </c>
      <c r="L9" s="17">
        <f>INT(SUMPRODUCT((宠物资质信息!$C$2:$G$2=G9)*(宠物资质信息!$C$3:$G$11)*(宠物资质信息!$B$3:$B$11=$F$8))*1.1/2)+INT(J9*K9/2)+IF(H9="有",1834,611)+IF(I9="有",INT(J9*32*0.02),0)</f>
        <v>7009</v>
      </c>
      <c r="Q9" s="50"/>
      <c r="R9" s="50" t="s">
        <v>470</v>
      </c>
      <c r="S9" s="50" t="s">
        <v>85</v>
      </c>
      <c r="T9" s="50" t="s">
        <v>471</v>
      </c>
      <c r="U9" s="50" t="s">
        <v>472</v>
      </c>
      <c r="V9" s="50" t="s">
        <v>473</v>
      </c>
      <c r="W9" s="50" t="s">
        <v>474</v>
      </c>
      <c r="X9" s="50" t="s">
        <v>74</v>
      </c>
      <c r="Y9" s="50" t="s">
        <v>96</v>
      </c>
      <c r="Z9" s="50" t="s">
        <v>94</v>
      </c>
      <c r="AA9" s="50" t="s">
        <v>475</v>
      </c>
      <c r="AB9" s="50" t="s">
        <v>476</v>
      </c>
      <c r="AC9" s="50" t="s">
        <v>317</v>
      </c>
    </row>
    <row r="10" ht="28.85" customHeight="1" spans="1:29">
      <c r="A10" s="1" t="s">
        <v>371</v>
      </c>
      <c r="B10" s="2" t="s">
        <v>467</v>
      </c>
      <c r="C10" s="4"/>
      <c r="D10" s="4"/>
      <c r="F10" s="21"/>
      <c r="G10" s="20" t="s">
        <v>13</v>
      </c>
      <c r="H10" s="23" t="s">
        <v>466</v>
      </c>
      <c r="I10" s="23" t="s">
        <v>466</v>
      </c>
      <c r="J10" s="20">
        <v>583</v>
      </c>
      <c r="K10" s="23">
        <v>0</v>
      </c>
      <c r="L10" s="17">
        <f>INT(SUMPRODUCT((宠物资质信息!$C$2:$G$2=G10)*(宠物资质信息!$C$3:$G$11)*(宠物资质信息!$B$3:$B$11=$F$8))*1.1/2)+INT(J10*K10/2)+IF(H10="有",13740,4580)+IF(I10="有",INT(J10*32*0.02*7.5),0)</f>
        <v>18670</v>
      </c>
      <c r="Q10" s="50" t="s">
        <v>19</v>
      </c>
      <c r="R10" s="50">
        <f>D16</f>
        <v>4375</v>
      </c>
      <c r="S10" s="50">
        <f>D3</f>
        <v>180216</v>
      </c>
      <c r="T10" s="50">
        <f>IF($D$37="通常",1,IF($D$37="北极宠",3.2,1.5))</f>
        <v>1</v>
      </c>
      <c r="U10" s="57">
        <v>27.77</v>
      </c>
      <c r="V10" s="50" t="e">
        <f>VLOOKUP(Q10,$Q$39:$U$43,5)</f>
        <v>#N/A</v>
      </c>
      <c r="W10" s="50">
        <f>COUNTIF($D$25,Q10)*0.1</f>
        <v>0</v>
      </c>
      <c r="X10" s="50">
        <v>0.1</v>
      </c>
      <c r="Y10" s="50">
        <f>SUMPRODUCT(($R$16:$V$16=D21)*($R$17:$V$20)*($Q$17:$Q$20=Q10))</f>
        <v>0</v>
      </c>
      <c r="Z10" s="50">
        <f>X22</f>
        <v>0</v>
      </c>
      <c r="AA10" s="50">
        <f>R10*1.1*T10+S10*1.2*T10</f>
        <v>221071.7</v>
      </c>
      <c r="AB10" s="50">
        <f>S10+R10</f>
        <v>184591</v>
      </c>
      <c r="AC10" s="50" t="e">
        <f>INT(AA10/U10*V10*(1+W10+X10+Y10+Z10))</f>
        <v>#N/A</v>
      </c>
    </row>
    <row r="11" ht="28.85" customHeight="1" spans="1:29">
      <c r="A11" s="1" t="s">
        <v>372</v>
      </c>
      <c r="B11" s="2" t="s">
        <v>467</v>
      </c>
      <c r="C11" s="4"/>
      <c r="D11" s="4"/>
      <c r="F11" s="21"/>
      <c r="G11" s="20" t="s">
        <v>14</v>
      </c>
      <c r="H11" s="23" t="s">
        <v>466</v>
      </c>
      <c r="I11" s="23"/>
      <c r="J11" s="20">
        <v>430</v>
      </c>
      <c r="K11" s="23">
        <v>0</v>
      </c>
      <c r="L11" s="17">
        <f>INT(SUMPRODUCT((宠物资质信息!$C$2:$G$2=G11)*(宠物资质信息!$C$3:$G$11)*(宠物资质信息!$B$3:$B$11=$F$8))*1.1/2)+INT(J11*K11/2)+IF(H11="有",9160,3053)+IF(I11="有",INT(J11*32*0.02*5),0)</f>
        <v>11004</v>
      </c>
      <c r="Q11" s="50" t="s">
        <v>21</v>
      </c>
      <c r="R11" s="50">
        <f>D17</f>
        <v>12000</v>
      </c>
      <c r="S11" s="50">
        <f>D4</f>
        <v>285372</v>
      </c>
      <c r="T11" s="50">
        <f>IF($D$37="通常",1,IF($D$37="北极宠",3.2,1.5))</f>
        <v>1</v>
      </c>
      <c r="U11" s="57">
        <v>277.77</v>
      </c>
      <c r="V11" s="50" t="e">
        <f>VLOOKUP(Q11,$Q$39:$U$43,5)</f>
        <v>#N/A</v>
      </c>
      <c r="W11" s="50">
        <f>COUNTIF($D$25,Q11)*0.1</f>
        <v>0</v>
      </c>
      <c r="X11" s="50">
        <v>0.1</v>
      </c>
      <c r="Y11" s="50">
        <f>SUMPRODUCT(($R$16:$V$16=D22)*($R$17:$V$20)*($Q$17:$Q$20=Q11))</f>
        <v>0</v>
      </c>
      <c r="Z11" s="50">
        <f>X23</f>
        <v>0</v>
      </c>
      <c r="AA11" s="50">
        <f>R11*1.1*T11+S11*1.2*T11</f>
        <v>355646.4</v>
      </c>
      <c r="AB11" s="50">
        <f>S11+R11</f>
        <v>297372</v>
      </c>
      <c r="AC11" s="50" t="e">
        <f>INT(AA11/U11*V11*(1+W11+X11+Y11+Z11))</f>
        <v>#N/A</v>
      </c>
    </row>
    <row r="12" ht="28.85" customHeight="1" spans="1:29">
      <c r="A12" s="5" t="s">
        <v>373</v>
      </c>
      <c r="B12" s="2" t="s">
        <v>467</v>
      </c>
      <c r="C12" s="4"/>
      <c r="D12" s="4"/>
      <c r="F12" s="21"/>
      <c r="G12" s="20" t="s">
        <v>15</v>
      </c>
      <c r="H12" s="23" t="s">
        <v>466</v>
      </c>
      <c r="I12" s="23"/>
      <c r="J12" s="20">
        <v>436</v>
      </c>
      <c r="K12" s="23">
        <v>0</v>
      </c>
      <c r="L12" s="17">
        <f>INT(SUMPRODUCT((宠物资质信息!$C$2:$G$2=G12)*(宠物资质信息!$C$3:$G$11)*(宠物资质信息!$B$3:$B$11=$F$8))*1.1/2)+INT(J12*K12/2)+IF(H12="有",1834,611)+IF(I12="有",INT(J12*32*0.02),0)</f>
        <v>2686</v>
      </c>
      <c r="Q12" s="50" t="s">
        <v>22</v>
      </c>
      <c r="R12" s="50">
        <f>D18</f>
        <v>5250</v>
      </c>
      <c r="S12" s="50">
        <f>D5</f>
        <v>275000</v>
      </c>
      <c r="T12" s="50">
        <f>IF($D$37="通常",1,IF($D$37="北极宠",3.2,1.5))</f>
        <v>1</v>
      </c>
      <c r="U12" s="57">
        <v>2081.51</v>
      </c>
      <c r="V12" s="50" t="e">
        <f>VLOOKUP(Q12,$Q$39:$U$43,5)</f>
        <v>#N/A</v>
      </c>
      <c r="W12" s="50">
        <f>COUNTIF($D$25,Q12)*0.1</f>
        <v>0.1</v>
      </c>
      <c r="X12" s="50">
        <v>0</v>
      </c>
      <c r="Y12" s="50">
        <f>SUMPRODUCT(($R$16:$V$16=D23)*($R$17:$V$20)*($Q$17:$Q$20=Q12))</f>
        <v>0.4</v>
      </c>
      <c r="Z12" s="50">
        <f>X24</f>
        <v>0.62</v>
      </c>
      <c r="AA12" s="50">
        <f>R12*1.1*T12+S12*1.2*T12</f>
        <v>335775</v>
      </c>
      <c r="AB12" s="50">
        <f>S12+R12</f>
        <v>280250</v>
      </c>
      <c r="AC12" s="50" t="e">
        <f>INT(AA12/U12*V12*(1+W12+X12+Y12+Z12))</f>
        <v>#N/A</v>
      </c>
    </row>
    <row r="13" ht="28.85" customHeight="1" spans="1:29">
      <c r="A13" s="1" t="s">
        <v>82</v>
      </c>
      <c r="B13" s="1" t="s">
        <v>477</v>
      </c>
      <c r="C13" s="1"/>
      <c r="D13" s="6">
        <v>100</v>
      </c>
      <c r="F13" s="20" t="s">
        <v>365</v>
      </c>
      <c r="G13" s="24" t="s">
        <v>6</v>
      </c>
      <c r="H13" s="20" t="s">
        <v>454</v>
      </c>
      <c r="I13" s="20" t="s">
        <v>455</v>
      </c>
      <c r="J13" s="20" t="s">
        <v>456</v>
      </c>
      <c r="K13" s="20" t="s">
        <v>457</v>
      </c>
      <c r="L13" s="1" t="s">
        <v>458</v>
      </c>
      <c r="Q13" s="50" t="s">
        <v>23</v>
      </c>
      <c r="R13" s="50">
        <f>D19</f>
        <v>5236</v>
      </c>
      <c r="S13" s="50">
        <f>D6</f>
        <v>120000</v>
      </c>
      <c r="T13" s="50">
        <f>IF($D$37="通常",1,IF($D$37="北极宠",3.2,1.5))</f>
        <v>1</v>
      </c>
      <c r="U13" s="57">
        <v>1388.73</v>
      </c>
      <c r="V13" s="50" t="e">
        <f>VLOOKUP(Q13,$Q$39:$U$43,5)</f>
        <v>#N/A</v>
      </c>
      <c r="W13" s="50">
        <f>COUNTIF($D$25,Q13)*0.1</f>
        <v>0</v>
      </c>
      <c r="X13" s="50">
        <v>0.1</v>
      </c>
      <c r="Y13" s="50">
        <f>SUMPRODUCT(($R$16:$V$16=D24)*($R$17:$V$20)*($Q$17:$Q$20=Q13))</f>
        <v>0.6</v>
      </c>
      <c r="Z13" s="50">
        <f>X25</f>
        <v>0.46</v>
      </c>
      <c r="AA13" s="50">
        <f>R13*1.1*T13+S13*1.2*T13</f>
        <v>149759.6</v>
      </c>
      <c r="AB13" s="50">
        <f>S13+R13</f>
        <v>125236</v>
      </c>
      <c r="AC13" s="50" t="e">
        <f>INT(AA13/U13*V13*(1+W13+X13+Y13+Z13))</f>
        <v>#N/A</v>
      </c>
    </row>
    <row r="14" ht="28.85" customHeight="1" spans="1:29">
      <c r="A14" s="1"/>
      <c r="B14" s="1" t="s">
        <v>309</v>
      </c>
      <c r="C14" s="1"/>
      <c r="D14" s="6">
        <v>2</v>
      </c>
      <c r="F14" s="21" t="s">
        <v>462</v>
      </c>
      <c r="G14" s="20" t="s">
        <v>10</v>
      </c>
      <c r="H14" s="22"/>
      <c r="I14" s="22"/>
      <c r="J14" s="20">
        <v>437</v>
      </c>
      <c r="K14" s="23">
        <v>6</v>
      </c>
      <c r="L14" s="17">
        <f>INT(SUMPRODUCT((宠物资质信息!$C$2:$G$2=G14)*(宠物资质信息!$C$3:$G$11)*(宠物资质信息!$B$3:$B$11=$G$13))*1.1/2)+INT(J14*K14/2)+IF(H14="有",1832,61)</f>
        <v>2991</v>
      </c>
      <c r="Q14" s="50" t="s">
        <v>26</v>
      </c>
      <c r="R14" s="50">
        <f>D20</f>
        <v>1747</v>
      </c>
      <c r="S14" s="50">
        <f>D7</f>
        <v>188119</v>
      </c>
      <c r="T14" s="50">
        <f>IF($D$37="通常",1,IF($D$37="北极宠",3.2,1.5))</f>
        <v>1</v>
      </c>
      <c r="U14" s="57">
        <v>277.77</v>
      </c>
      <c r="V14" s="50" t="e">
        <f>VLOOKUP(Q14,$Q$39:$U$43,5)</f>
        <v>#N/A</v>
      </c>
      <c r="W14" s="50">
        <f>COUNTIF($D$25,Q14)*0.1</f>
        <v>0</v>
      </c>
      <c r="X14" s="50">
        <v>0.3</v>
      </c>
      <c r="Y14" s="50">
        <v>0</v>
      </c>
      <c r="Z14" s="50">
        <f>X26</f>
        <v>0</v>
      </c>
      <c r="AA14" s="50">
        <f>R14*1.1*T14+S14*1.2*T14</f>
        <v>227664.5</v>
      </c>
      <c r="AB14" s="50">
        <f>S14+R14</f>
        <v>189866</v>
      </c>
      <c r="AC14" s="50" t="e">
        <f>INT(AA14/U14*V14*(1+W14+X14+Y14+Z14))+INT(AB14*T27*(1+X14+W14+Y14+Z14))</f>
        <v>#N/A</v>
      </c>
    </row>
    <row r="15" ht="28.85" customHeight="1" spans="1:12">
      <c r="A15" s="1"/>
      <c r="B15" s="1" t="s">
        <v>308</v>
      </c>
      <c r="C15" s="1"/>
      <c r="D15" s="6">
        <v>100</v>
      </c>
      <c r="F15" s="21"/>
      <c r="G15" s="20" t="s">
        <v>12</v>
      </c>
      <c r="H15" s="23" t="s">
        <v>466</v>
      </c>
      <c r="I15" s="23" t="s">
        <v>362</v>
      </c>
      <c r="J15" s="20">
        <v>652</v>
      </c>
      <c r="K15" s="23">
        <v>0</v>
      </c>
      <c r="L15" s="17">
        <f>INT(SUMPRODUCT((宠物资质信息!$C$2:$G$2=G15)*(宠物资质信息!$C$3:$G$11)*(宠物资质信息!$B$3:$B$11=$G$13))*1.1/2)+INT(J15*K15/2)+IF(H15="有",1834,611)+IF(I15="有",INT(J15*32*0.02),0)</f>
        <v>3708</v>
      </c>
    </row>
    <row r="16" ht="28.85" customHeight="1" spans="1:27">
      <c r="A16" s="1"/>
      <c r="B16" s="1" t="s">
        <v>84</v>
      </c>
      <c r="C16" s="1" t="s">
        <v>10</v>
      </c>
      <c r="D16" s="7">
        <v>4375</v>
      </c>
      <c r="F16" s="21"/>
      <c r="G16" s="20" t="s">
        <v>13</v>
      </c>
      <c r="H16" s="23" t="s">
        <v>466</v>
      </c>
      <c r="I16" s="23" t="s">
        <v>466</v>
      </c>
      <c r="J16" s="20">
        <v>583</v>
      </c>
      <c r="K16" s="23">
        <v>0</v>
      </c>
      <c r="L16" s="17">
        <f>INT(SUMPRODUCT((宠物资质信息!$C$2:$G$2=G16)*(宠物资质信息!$C$3:$G$11)*(宠物资质信息!$B$3:$B$11=$G$13))*1.1/2)+INT(J16*K16/2)+IF(H16="有",13740,4580)+IF(I16="有",INT(J16*32*0.02*7.5),0)</f>
        <v>19173</v>
      </c>
      <c r="Q16" s="50" t="s">
        <v>96</v>
      </c>
      <c r="R16" s="50" t="s">
        <v>478</v>
      </c>
      <c r="S16" s="50" t="s">
        <v>479</v>
      </c>
      <c r="T16" s="50" t="s">
        <v>480</v>
      </c>
      <c r="U16" s="50" t="s">
        <v>481</v>
      </c>
      <c r="V16" s="50" t="s">
        <v>482</v>
      </c>
      <c r="AA16">
        <f>AA10/1.2</f>
        <v>184226.416666667</v>
      </c>
    </row>
    <row r="17" ht="28.85" customHeight="1" spans="1:27">
      <c r="A17" s="1"/>
      <c r="B17" s="1"/>
      <c r="C17" s="1" t="s">
        <v>12</v>
      </c>
      <c r="D17" s="7">
        <v>12000</v>
      </c>
      <c r="F17" s="21"/>
      <c r="G17" s="20" t="s">
        <v>14</v>
      </c>
      <c r="H17" s="23" t="s">
        <v>466</v>
      </c>
      <c r="I17" s="23" t="s">
        <v>362</v>
      </c>
      <c r="J17" s="20">
        <v>430</v>
      </c>
      <c r="K17" s="23">
        <v>0</v>
      </c>
      <c r="L17" s="17">
        <f>INT(SUMPRODUCT((宠物资质信息!$C$2:$G$2=G17)*(宠物资质信息!$C$3:$G$11)*(宠物资质信息!$B$3:$B$11=$G$13))*1.1/2)+INT(J17*K17/2)+IF(H17="有",9160,3053)+IF(I17="有",INT(J17*32*0.02*5),0)</f>
        <v>10687</v>
      </c>
      <c r="Q17" s="50" t="s">
        <v>19</v>
      </c>
      <c r="R17" s="50">
        <v>0.15</v>
      </c>
      <c r="S17" s="50">
        <v>0.25</v>
      </c>
      <c r="T17" s="50">
        <v>0.3</v>
      </c>
      <c r="U17" s="50"/>
      <c r="V17" s="50">
        <v>0.8</v>
      </c>
      <c r="AA17">
        <f>AA11/1.2</f>
        <v>296372</v>
      </c>
    </row>
    <row r="18" ht="28.85" customHeight="1" spans="1:27">
      <c r="A18" s="1"/>
      <c r="B18" s="1"/>
      <c r="C18" s="1" t="s">
        <v>13</v>
      </c>
      <c r="D18" s="7">
        <v>5250</v>
      </c>
      <c r="F18" s="21"/>
      <c r="G18" s="20" t="s">
        <v>15</v>
      </c>
      <c r="H18" s="23" t="s">
        <v>466</v>
      </c>
      <c r="I18" s="23" t="s">
        <v>362</v>
      </c>
      <c r="J18" s="20">
        <v>436</v>
      </c>
      <c r="K18" s="23">
        <v>5</v>
      </c>
      <c r="L18" s="17">
        <f>INT(SUMPRODUCT((宠物资质信息!$C$2:$G$2=G18)*(宠物资质信息!$C$3:$G$11)*(宠物资质信息!$B$3:$B$11=$G$13))*1.1/2)+INT(J18*K18/2)+IF(H18="有",1834,611)+IF(I18="有",INT(J18*32*0.02),0)</f>
        <v>3776</v>
      </c>
      <c r="Q18" s="50" t="s">
        <v>21</v>
      </c>
      <c r="R18" s="50">
        <v>0.15</v>
      </c>
      <c r="S18" s="50">
        <v>0.25</v>
      </c>
      <c r="T18" s="50">
        <v>0.3</v>
      </c>
      <c r="U18" s="50"/>
      <c r="V18" s="50">
        <v>0.6</v>
      </c>
      <c r="AA18">
        <f>AA12/1.2</f>
        <v>279812.5</v>
      </c>
    </row>
    <row r="19" ht="28.85" customHeight="1" spans="1:27">
      <c r="A19" s="1"/>
      <c r="B19" s="1"/>
      <c r="C19" s="1" t="s">
        <v>14</v>
      </c>
      <c r="D19" s="7">
        <v>5236</v>
      </c>
      <c r="F19" s="20" t="s">
        <v>365</v>
      </c>
      <c r="G19" s="24" t="s">
        <v>483</v>
      </c>
      <c r="H19" s="20" t="s">
        <v>454</v>
      </c>
      <c r="I19" s="20" t="s">
        <v>455</v>
      </c>
      <c r="J19" s="20" t="s">
        <v>456</v>
      </c>
      <c r="K19" s="20" t="s">
        <v>457</v>
      </c>
      <c r="L19" s="1" t="s">
        <v>458</v>
      </c>
      <c r="Q19" s="50" t="s">
        <v>22</v>
      </c>
      <c r="R19" s="50">
        <v>0.1</v>
      </c>
      <c r="S19" s="50">
        <v>0.15</v>
      </c>
      <c r="T19" s="50">
        <v>0.2</v>
      </c>
      <c r="U19" s="50"/>
      <c r="V19" s="50">
        <v>0.4</v>
      </c>
      <c r="AA19">
        <f>AA13/1.2</f>
        <v>124799.666666667</v>
      </c>
    </row>
    <row r="20" ht="28.85" customHeight="1" spans="1:27">
      <c r="A20" s="1"/>
      <c r="B20" s="1"/>
      <c r="C20" s="1" t="s">
        <v>15</v>
      </c>
      <c r="D20" s="7">
        <v>1747</v>
      </c>
      <c r="F20" s="21" t="s">
        <v>463</v>
      </c>
      <c r="G20" s="20" t="s">
        <v>10</v>
      </c>
      <c r="H20" s="22"/>
      <c r="I20" s="22"/>
      <c r="J20" s="20">
        <v>437</v>
      </c>
      <c r="K20" s="23">
        <v>0</v>
      </c>
      <c r="L20" s="17">
        <f>INT(SUMPRODUCT((宠物资质信息!$C$2:$G$2=G20)*(宠物资质信息!$C$3:$G$11)*(宠物资质信息!$B$3:$B$11=$G$19))*1.1/2)+INT(J20*K20/2)+IF(H20="有",1832,61)</f>
        <v>1573</v>
      </c>
      <c r="Q20" s="49" t="s">
        <v>23</v>
      </c>
      <c r="R20" s="49">
        <v>0.15</v>
      </c>
      <c r="S20" s="49">
        <v>0.25</v>
      </c>
      <c r="T20" s="49">
        <v>0.3</v>
      </c>
      <c r="U20" s="49"/>
      <c r="V20" s="49">
        <v>0.6</v>
      </c>
      <c r="AA20">
        <f>AA14/1.2</f>
        <v>189720.416666667</v>
      </c>
    </row>
    <row r="21" ht="28.85" customHeight="1" spans="1:24">
      <c r="A21" s="1"/>
      <c r="B21" s="1" t="s">
        <v>96</v>
      </c>
      <c r="C21" s="1" t="s">
        <v>19</v>
      </c>
      <c r="D21" s="6" t="s">
        <v>467</v>
      </c>
      <c r="F21" s="21"/>
      <c r="G21" s="20" t="s">
        <v>12</v>
      </c>
      <c r="H21" s="23" t="s">
        <v>466</v>
      </c>
      <c r="I21" s="23" t="s">
        <v>466</v>
      </c>
      <c r="J21" s="20">
        <v>652</v>
      </c>
      <c r="K21" s="23">
        <v>12</v>
      </c>
      <c r="L21" s="17">
        <f>INT(SUMPRODUCT((宠物资质信息!$C$2:$G$2=G21)*(宠物资质信息!$C$3:$G$11)*(宠物资质信息!$B$3:$B$11=$G$19))*1.1/2)+INT(J21*K21/2)+IF(H21="有",1834,611)+IF(I21="有",INT(J21*32*0.02),0)</f>
        <v>8242</v>
      </c>
      <c r="Q21" s="50" t="s">
        <v>94</v>
      </c>
      <c r="R21" s="50">
        <v>1</v>
      </c>
      <c r="S21" s="50">
        <v>2</v>
      </c>
      <c r="T21" s="50">
        <v>3</v>
      </c>
      <c r="U21" s="50">
        <v>4</v>
      </c>
      <c r="V21" s="50">
        <v>5</v>
      </c>
      <c r="W21" s="50" t="s">
        <v>484</v>
      </c>
      <c r="X21" s="50" t="s">
        <v>485</v>
      </c>
    </row>
    <row r="22" ht="28.85" customHeight="1" spans="1:24">
      <c r="A22" s="1"/>
      <c r="B22" s="1"/>
      <c r="C22" s="1" t="s">
        <v>21</v>
      </c>
      <c r="D22" s="6" t="s">
        <v>467</v>
      </c>
      <c r="F22" s="21"/>
      <c r="G22" s="20" t="s">
        <v>13</v>
      </c>
      <c r="H22" s="23" t="s">
        <v>467</v>
      </c>
      <c r="I22" s="23" t="s">
        <v>362</v>
      </c>
      <c r="J22" s="20">
        <v>583</v>
      </c>
      <c r="K22" s="23">
        <v>0</v>
      </c>
      <c r="L22" s="17">
        <f>INT(SUMPRODUCT((宠物资质信息!$C$2:$G$2=G22)*(宠物资质信息!$C$3:$G$11)*(宠物资质信息!$B$3:$B$11=$G$19))*1.1/2)+INT(J22*K22/2)+IF(H22="有",13740,4580)+IF(I22="有",INT(J22*32*0.02*7.5),0)</f>
        <v>7605</v>
      </c>
      <c r="Q22" s="50" t="s">
        <v>486</v>
      </c>
      <c r="R22" s="50">
        <v>0.26</v>
      </c>
      <c r="S22" s="50">
        <v>0.16</v>
      </c>
      <c r="T22" s="50">
        <v>0.16</v>
      </c>
      <c r="U22" s="50">
        <v>0.16</v>
      </c>
      <c r="V22" s="50">
        <v>0.12</v>
      </c>
      <c r="W22" s="50">
        <f>COUNTIF($D$26:$D$30,Q22)</f>
        <v>0</v>
      </c>
      <c r="X22" s="50">
        <f>SUMPRODUCT(($R$21:$V$21&lt;=W22)*(R22:V22))</f>
        <v>0</v>
      </c>
    </row>
    <row r="23" ht="28.85" customHeight="1" spans="1:24">
      <c r="A23" s="1"/>
      <c r="B23" s="1"/>
      <c r="C23" s="1" t="s">
        <v>22</v>
      </c>
      <c r="D23" s="6" t="s">
        <v>482</v>
      </c>
      <c r="F23" s="21"/>
      <c r="G23" s="20" t="s">
        <v>14</v>
      </c>
      <c r="H23" s="23" t="s">
        <v>467</v>
      </c>
      <c r="I23" s="23" t="s">
        <v>362</v>
      </c>
      <c r="J23" s="20">
        <v>430</v>
      </c>
      <c r="K23" s="23">
        <v>0</v>
      </c>
      <c r="L23" s="17">
        <f>INT(SUMPRODUCT((宠物资质信息!$C$2:$G$2=G23)*(宠物资质信息!$C$3:$G$11)*(宠物资质信息!$B$3:$B$11=$G$19))*1.1/2)+INT(J23*K23/2)+IF(H23="有",9160,3053)+IF(I23="有",INT(J23*32*0.02*5),0)</f>
        <v>4939</v>
      </c>
      <c r="Q23" s="50" t="s">
        <v>487</v>
      </c>
      <c r="R23" s="50">
        <v>0.26</v>
      </c>
      <c r="S23" s="50">
        <v>0.2</v>
      </c>
      <c r="T23" s="50">
        <v>0.16</v>
      </c>
      <c r="U23" s="50">
        <v>0.16</v>
      </c>
      <c r="V23" s="50">
        <v>0.16</v>
      </c>
      <c r="W23" s="50">
        <f>COUNTIF($D$26:$D$30,Q23)</f>
        <v>0</v>
      </c>
      <c r="X23" s="50">
        <f>SUMPRODUCT(($R$21:$V$21&lt;=W23)*(R23:V23))</f>
        <v>0</v>
      </c>
    </row>
    <row r="24" ht="28.85" customHeight="1" spans="1:24">
      <c r="A24" s="1"/>
      <c r="B24" s="1"/>
      <c r="C24" s="1" t="s">
        <v>23</v>
      </c>
      <c r="D24" s="8" t="s">
        <v>482</v>
      </c>
      <c r="F24" s="21"/>
      <c r="G24" s="20" t="s">
        <v>15</v>
      </c>
      <c r="H24" s="23" t="s">
        <v>467</v>
      </c>
      <c r="I24" s="23" t="s">
        <v>362</v>
      </c>
      <c r="J24" s="20">
        <v>436</v>
      </c>
      <c r="K24" s="23">
        <v>0</v>
      </c>
      <c r="L24" s="17">
        <f>INT(SUMPRODUCT((宠物资质信息!$C$2:$G$2=G24)*(宠物资质信息!$C$3:$G$11)*(宠物资质信息!$B$3:$B$11=$G$19))*1.1/2)+INT(J24*K24/2)+IF(H24="有",1834,611)+IF(I24="有",INT(J24*32*0.02),0)</f>
        <v>1554</v>
      </c>
      <c r="Q24" s="50" t="s">
        <v>488</v>
      </c>
      <c r="R24" s="50">
        <v>0.26</v>
      </c>
      <c r="S24" s="50">
        <v>0.2</v>
      </c>
      <c r="T24" s="50">
        <v>0.16</v>
      </c>
      <c r="U24" s="50">
        <v>0.16</v>
      </c>
      <c r="V24" s="50">
        <v>0.16</v>
      </c>
      <c r="W24" s="50">
        <f>COUNTIF($D$26:$D$30,Q24)</f>
        <v>3</v>
      </c>
      <c r="X24" s="50">
        <f>SUMPRODUCT(($R$21:$V$21&lt;=W24)*(R24:V24))+IF(W25&gt;2,0.06,0)</f>
        <v>0.62</v>
      </c>
    </row>
    <row r="25" ht="28.85" customHeight="1" spans="1:24">
      <c r="A25" s="1"/>
      <c r="B25" s="1" t="s">
        <v>489</v>
      </c>
      <c r="C25" s="9"/>
      <c r="D25" s="10" t="s">
        <v>22</v>
      </c>
      <c r="F25" s="20" t="s">
        <v>365</v>
      </c>
      <c r="G25" s="20"/>
      <c r="H25" s="20" t="s">
        <v>454</v>
      </c>
      <c r="I25" s="20" t="s">
        <v>455</v>
      </c>
      <c r="J25" s="20" t="s">
        <v>456</v>
      </c>
      <c r="K25" s="20" t="s">
        <v>457</v>
      </c>
      <c r="L25" s="1" t="s">
        <v>458</v>
      </c>
      <c r="Q25" s="50" t="s">
        <v>490</v>
      </c>
      <c r="R25" s="50">
        <v>0.26</v>
      </c>
      <c r="S25" s="50">
        <v>0.2</v>
      </c>
      <c r="T25" s="50">
        <v>0.16</v>
      </c>
      <c r="U25" s="50">
        <v>0.16</v>
      </c>
      <c r="V25" s="50">
        <v>0.16</v>
      </c>
      <c r="W25" s="50">
        <f>COUNTIF($D$26:$D$30,Q25)</f>
        <v>2</v>
      </c>
      <c r="X25" s="50">
        <f>SUMPRODUCT(($R$21:$V$21&lt;=W25)*(R25:V25))</f>
        <v>0.46</v>
      </c>
    </row>
    <row r="26" ht="28.85" customHeight="1" spans="1:24">
      <c r="A26" s="1"/>
      <c r="B26" s="1" t="s">
        <v>94</v>
      </c>
      <c r="C26" s="1" t="s">
        <v>491</v>
      </c>
      <c r="D26" s="11" t="s">
        <v>488</v>
      </c>
      <c r="F26" s="21" t="s">
        <v>131</v>
      </c>
      <c r="G26" s="20" t="s">
        <v>10</v>
      </c>
      <c r="H26" s="22"/>
      <c r="I26" s="22"/>
      <c r="J26" s="20">
        <v>437</v>
      </c>
      <c r="K26" s="23">
        <v>0</v>
      </c>
      <c r="L26" s="17">
        <f>INT(SUMPRODUCT((宠物资质信息!$C$2:$G$2=G26)*(宠物资质信息!$C$3:$G$13)*(宠物资质信息!$B$3:$B$13=$F$26))*1.1/2)+INT(J26*K26/2)</f>
        <v>1444</v>
      </c>
      <c r="Q26" s="49" t="s">
        <v>492</v>
      </c>
      <c r="R26" s="49">
        <v>0.36</v>
      </c>
      <c r="S26" s="49">
        <v>0.26</v>
      </c>
      <c r="T26" s="49">
        <v>0.22</v>
      </c>
      <c r="U26" s="50">
        <v>0.16</v>
      </c>
      <c r="V26" s="50">
        <v>0.12</v>
      </c>
      <c r="W26" s="50">
        <f>COUNTIF($D$26:$D$30,Q26)</f>
        <v>0</v>
      </c>
      <c r="X26" s="50">
        <f>SUMPRODUCT(($R$21:$V$21&lt;=W26)*(R26:V26))+IF(W22&gt;1,0.08,0)</f>
        <v>0</v>
      </c>
    </row>
    <row r="27" ht="28.85" customHeight="1" spans="1:20">
      <c r="A27" s="1"/>
      <c r="B27" s="1"/>
      <c r="C27" s="1" t="s">
        <v>493</v>
      </c>
      <c r="D27" s="6" t="s">
        <v>488</v>
      </c>
      <c r="F27" s="21"/>
      <c r="G27" s="20" t="s">
        <v>12</v>
      </c>
      <c r="H27" s="22"/>
      <c r="I27" s="22"/>
      <c r="J27" s="20">
        <v>652</v>
      </c>
      <c r="K27" s="23">
        <v>11</v>
      </c>
      <c r="L27" s="17">
        <f>INT(SUMPRODUCT((宠物资质信息!$C$2:$G$2=G27)*(宠物资质信息!$C$3:$G$13)*(宠物资质信息!$B$3:$B$13=$F$26))*1.1/2)+INT(J27*K27/2)</f>
        <v>5969</v>
      </c>
      <c r="Q27" s="49" t="s">
        <v>494</v>
      </c>
      <c r="R27" s="49">
        <f>D31</f>
        <v>11648</v>
      </c>
      <c r="S27" s="49">
        <f>0.18/10000</f>
        <v>1.8e-5</v>
      </c>
      <c r="T27" s="49">
        <f>R27*S27</f>
        <v>0.209664</v>
      </c>
    </row>
    <row r="28" ht="28.85" customHeight="1" spans="1:28">
      <c r="A28" s="1"/>
      <c r="B28" s="1"/>
      <c r="C28" s="1" t="s">
        <v>495</v>
      </c>
      <c r="D28" s="6" t="s">
        <v>488</v>
      </c>
      <c r="F28" s="21"/>
      <c r="G28" s="20" t="s">
        <v>13</v>
      </c>
      <c r="H28" s="22"/>
      <c r="I28" s="22"/>
      <c r="J28" s="20">
        <v>583</v>
      </c>
      <c r="K28" s="23">
        <v>0</v>
      </c>
      <c r="L28" s="17">
        <f>INT(SUMPRODUCT((宠物资质信息!$C$2:$G$2=G28)*(宠物资质信息!$C$3:$G$13)*(宠物资质信息!$B$3:$B$13=$F$26))*1.1/2)+INT(J28*K28/2)</f>
        <v>1454</v>
      </c>
      <c r="Q28" s="50" t="s">
        <v>473</v>
      </c>
      <c r="R28" s="50" t="s">
        <v>314</v>
      </c>
      <c r="S28" s="50" t="s">
        <v>496</v>
      </c>
      <c r="T28" s="51" t="s">
        <v>101</v>
      </c>
      <c r="U28" s="50">
        <f>(IF(D14=2,(198+70+INT(D13/5)*2),IF(D14=1,(198+10+INT(D13/5)*2),(D13-1)*2))+D15)*IF(E37="北极宠bug",2,1)</f>
        <v>408</v>
      </c>
      <c r="V28" s="58"/>
      <c r="W28" s="50" t="e">
        <f>SUM(V10:V14)</f>
        <v>#N/A</v>
      </c>
      <c r="X28" s="58"/>
      <c r="Y28" s="58"/>
      <c r="Z28" s="58"/>
      <c r="AA28" s="58"/>
      <c r="AB28" s="58"/>
    </row>
    <row r="29" ht="28.85" customHeight="1" spans="1:28">
      <c r="A29" s="1"/>
      <c r="B29" s="1"/>
      <c r="C29" s="1" t="s">
        <v>497</v>
      </c>
      <c r="D29" s="6" t="s">
        <v>490</v>
      </c>
      <c r="F29" s="21"/>
      <c r="G29" s="20" t="s">
        <v>14</v>
      </c>
      <c r="H29" s="22"/>
      <c r="I29" s="22"/>
      <c r="J29" s="20">
        <v>430</v>
      </c>
      <c r="K29" s="23">
        <v>0</v>
      </c>
      <c r="L29" s="17">
        <f>INT(SUMPRODUCT((宠物资质信息!$C$2:$G$2=G29)*(宠物资质信息!$C$3:$G$13)*(宠物资质信息!$B$3:$B$13=$F$26))*1.1/2)+INT(J29*K29/2)</f>
        <v>1412</v>
      </c>
      <c r="Q29" s="52" t="s">
        <v>19</v>
      </c>
      <c r="R29" s="52">
        <f>$D$13-1</f>
        <v>99</v>
      </c>
      <c r="S29" s="53">
        <f>$D$15*3/4</f>
        <v>75</v>
      </c>
      <c r="T29" s="54">
        <f>R29+S29</f>
        <v>174</v>
      </c>
      <c r="U29" s="50">
        <f>R29+S29+$U$28</f>
        <v>582</v>
      </c>
      <c r="V29" s="59"/>
      <c r="W29" s="50">
        <f>SUM(T29:T33)+U28</f>
        <v>1203</v>
      </c>
      <c r="X29" s="59"/>
      <c r="Y29" s="58"/>
      <c r="Z29" s="59"/>
      <c r="AA29" s="58"/>
      <c r="AB29" s="58"/>
    </row>
    <row r="30" ht="28.85" customHeight="1" spans="1:28">
      <c r="A30" s="1"/>
      <c r="B30" s="1"/>
      <c r="C30" s="1" t="s">
        <v>498</v>
      </c>
      <c r="D30" s="6" t="s">
        <v>490</v>
      </c>
      <c r="F30" s="21"/>
      <c r="G30" s="20" t="s">
        <v>15</v>
      </c>
      <c r="H30" s="22"/>
      <c r="I30" s="22"/>
      <c r="J30" s="20">
        <v>436</v>
      </c>
      <c r="K30" s="23">
        <v>0</v>
      </c>
      <c r="L30" s="17">
        <f>INT(SUMPRODUCT((宠物资质信息!$C$2:$G$2=G30)*(宠物资质信息!$C$3:$G$13)*(宠物资质信息!$B$3:$B$13=$F$26))*1.1/2)+INT(J30*K30/2)</f>
        <v>743</v>
      </c>
      <c r="Q30" s="50" t="s">
        <v>21</v>
      </c>
      <c r="R30" s="50">
        <f>$D$13-1</f>
        <v>99</v>
      </c>
      <c r="S30" s="55">
        <f>$D$15*3/4</f>
        <v>75</v>
      </c>
      <c r="T30" s="54">
        <f>R30+S30</f>
        <v>174</v>
      </c>
      <c r="U30" s="50">
        <f>R30+S30+$U$28</f>
        <v>582</v>
      </c>
      <c r="V30" s="59"/>
      <c r="W30" s="50" t="e">
        <f>W29-W28</f>
        <v>#N/A</v>
      </c>
      <c r="X30" s="59"/>
      <c r="Y30" s="58"/>
      <c r="Z30" s="59"/>
      <c r="AA30" s="58"/>
      <c r="AB30" s="58"/>
    </row>
    <row r="31" ht="28.85" customHeight="1" spans="1:28">
      <c r="A31" s="1"/>
      <c r="B31" s="1" t="s">
        <v>499</v>
      </c>
      <c r="C31" s="1"/>
      <c r="D31" s="6">
        <v>11648</v>
      </c>
      <c r="F31" s="20" t="s">
        <v>365</v>
      </c>
      <c r="G31" s="20"/>
      <c r="H31" s="20" t="s">
        <v>454</v>
      </c>
      <c r="I31" s="20" t="s">
        <v>455</v>
      </c>
      <c r="J31" s="20" t="s">
        <v>456</v>
      </c>
      <c r="K31" s="20" t="s">
        <v>457</v>
      </c>
      <c r="L31" s="1" t="s">
        <v>458</v>
      </c>
      <c r="Q31" s="50" t="s">
        <v>22</v>
      </c>
      <c r="R31" s="50">
        <f>$D$13-1</f>
        <v>99</v>
      </c>
      <c r="S31" s="55">
        <f>$D$15*3/4</f>
        <v>75</v>
      </c>
      <c r="T31" s="54">
        <f>R31+S31</f>
        <v>174</v>
      </c>
      <c r="U31" s="50">
        <f>R31+S31+$U$28</f>
        <v>582</v>
      </c>
      <c r="V31" s="59"/>
      <c r="W31" s="58"/>
      <c r="X31" s="59"/>
      <c r="Y31" s="58"/>
      <c r="Z31" s="59"/>
      <c r="AA31" s="58"/>
      <c r="AB31" s="58"/>
    </row>
    <row r="32" ht="28.85" customHeight="1" spans="1:28">
      <c r="A32" s="1"/>
      <c r="B32" s="12" t="s">
        <v>500</v>
      </c>
      <c r="C32" s="13" t="s">
        <v>501</v>
      </c>
      <c r="D32" s="14" t="s">
        <v>22</v>
      </c>
      <c r="E32" s="17">
        <f>U39</f>
        <v>293</v>
      </c>
      <c r="F32" s="25" t="s">
        <v>133</v>
      </c>
      <c r="G32" s="20" t="s">
        <v>10</v>
      </c>
      <c r="H32" s="22"/>
      <c r="I32" s="22"/>
      <c r="J32" s="20">
        <v>437</v>
      </c>
      <c r="K32" s="23">
        <v>0</v>
      </c>
      <c r="L32" s="17">
        <f>INT(SUMPRODUCT((宠物资质信息!$C$2:$G$2=G32)*(宠物资质信息!$C$3:$G$13)*(宠物资质信息!$B$3:$B$13=$F$32))*1.1/2)+INT(J32*K32/2)</f>
        <v>2010</v>
      </c>
      <c r="Q32" s="50" t="s">
        <v>23</v>
      </c>
      <c r="R32" s="50">
        <f>$D$13-1</f>
        <v>99</v>
      </c>
      <c r="S32" s="55">
        <f>$D$15*3/4</f>
        <v>75</v>
      </c>
      <c r="T32" s="54">
        <f>R32+S32</f>
        <v>174</v>
      </c>
      <c r="U32" s="50">
        <f>R32+S32+$U$28</f>
        <v>582</v>
      </c>
      <c r="V32" s="59"/>
      <c r="W32" s="58"/>
      <c r="X32" s="59"/>
      <c r="Y32" s="58"/>
      <c r="Z32" s="59"/>
      <c r="AA32" s="58"/>
      <c r="AB32" s="58"/>
    </row>
    <row r="33" ht="28.85" customHeight="1" spans="1:28">
      <c r="A33" s="1"/>
      <c r="B33" s="12"/>
      <c r="C33" s="13" t="s">
        <v>502</v>
      </c>
      <c r="D33" s="14" t="s">
        <v>23</v>
      </c>
      <c r="E33" s="17" t="e">
        <f>U40</f>
        <v>#N/A</v>
      </c>
      <c r="F33" s="25"/>
      <c r="G33" s="20" t="s">
        <v>12</v>
      </c>
      <c r="H33" s="22"/>
      <c r="I33" s="22"/>
      <c r="J33" s="20">
        <v>652</v>
      </c>
      <c r="K33" s="23">
        <v>1</v>
      </c>
      <c r="L33" s="17">
        <f>INT(SUMPRODUCT((宠物资质信息!$C$2:$G$2=G33)*(宠物资质信息!$C$3:$G$13)*(宠物资质信息!$B$3:$B$13=$F$32))*1.1/2)+INT(J33*K33/2)</f>
        <v>2186</v>
      </c>
      <c r="Q33" s="49" t="s">
        <v>26</v>
      </c>
      <c r="R33" s="49">
        <f>$D$13-1</f>
        <v>99</v>
      </c>
      <c r="S33" s="51">
        <v>0</v>
      </c>
      <c r="T33" s="56">
        <f>R33+S33</f>
        <v>99</v>
      </c>
      <c r="U33" s="49">
        <f>R33+S33+$U$28</f>
        <v>507</v>
      </c>
      <c r="V33" s="59"/>
      <c r="W33" s="58"/>
      <c r="X33" s="59"/>
      <c r="Y33" s="58"/>
      <c r="Z33" s="59"/>
      <c r="AA33" s="58"/>
      <c r="AB33" s="58"/>
    </row>
    <row r="34" ht="28.85" customHeight="1" spans="1:23">
      <c r="A34" s="1"/>
      <c r="B34" s="12"/>
      <c r="C34" s="13" t="s">
        <v>503</v>
      </c>
      <c r="D34" s="14" t="s">
        <v>21</v>
      </c>
      <c r="E34" s="17" t="e">
        <f>U41</f>
        <v>#N/A</v>
      </c>
      <c r="F34" s="25"/>
      <c r="G34" s="20" t="s">
        <v>13</v>
      </c>
      <c r="H34" s="22"/>
      <c r="I34" s="22"/>
      <c r="J34" s="20">
        <v>583</v>
      </c>
      <c r="K34" s="23">
        <v>3</v>
      </c>
      <c r="L34" s="17">
        <f>INT(SUMPRODUCT((宠物资质信息!$C$2:$G$2=G34)*(宠物资质信息!$C$3:$G$13)*(宠物资质信息!$B$3:$B$13=$F$32))*1.1/2)+INT(J34*K34/2)</f>
        <v>2065</v>
      </c>
      <c r="Q34" s="50" t="s">
        <v>19</v>
      </c>
      <c r="R34" s="50">
        <f>D43</f>
        <v>5000000</v>
      </c>
      <c r="S34" s="50">
        <f>W10+X10+Y10+Z10+1</f>
        <v>1.1</v>
      </c>
      <c r="T34" s="50">
        <f>AA10</f>
        <v>221071.7</v>
      </c>
      <c r="U34" s="50">
        <f>AB10</f>
        <v>184591</v>
      </c>
      <c r="V34" s="50">
        <f>U10</f>
        <v>27.77</v>
      </c>
      <c r="W34" s="50">
        <f>ROUNDUP((R34/S34*V34/T34),0)</f>
        <v>571</v>
      </c>
    </row>
    <row r="35" ht="28.85" customHeight="1" spans="1:23">
      <c r="A35" s="1"/>
      <c r="B35" s="12"/>
      <c r="C35" s="13" t="s">
        <v>504</v>
      </c>
      <c r="D35" s="14" t="s">
        <v>19</v>
      </c>
      <c r="E35" s="17" t="e">
        <f>U42</f>
        <v>#N/A</v>
      </c>
      <c r="F35" s="25"/>
      <c r="G35" s="20" t="s">
        <v>14</v>
      </c>
      <c r="H35" s="22"/>
      <c r="I35" s="22"/>
      <c r="J35" s="20">
        <v>430</v>
      </c>
      <c r="K35" s="23">
        <v>0</v>
      </c>
      <c r="L35" s="17">
        <f>INT(SUMPRODUCT((宠物资质信息!$C$2:$G$2=G35)*(宠物资质信息!$C$3:$G$13)*(宠物资质信息!$B$3:$B$13=$F$32))*1.1/2)+INT(J35*K35/2)</f>
        <v>740</v>
      </c>
      <c r="Q35" s="50" t="s">
        <v>21</v>
      </c>
      <c r="R35" s="50">
        <f>D44</f>
        <v>500000</v>
      </c>
      <c r="S35" s="50">
        <f>W11+X11+Y11+Z11+1</f>
        <v>1.1</v>
      </c>
      <c r="T35" s="50">
        <f>AA11</f>
        <v>355646.4</v>
      </c>
      <c r="U35" s="50">
        <f>AB11</f>
        <v>297372</v>
      </c>
      <c r="V35" s="50">
        <f>U11</f>
        <v>277.77</v>
      </c>
      <c r="W35" s="50">
        <f>ROUNDUP((R35/S35*V35/T35),0)</f>
        <v>356</v>
      </c>
    </row>
    <row r="36" ht="28.85" customHeight="1" spans="1:23">
      <c r="A36" s="1"/>
      <c r="B36" s="12"/>
      <c r="C36" s="13" t="s">
        <v>505</v>
      </c>
      <c r="D36" s="14" t="s">
        <v>26</v>
      </c>
      <c r="E36" s="17" t="e">
        <f>U43</f>
        <v>#N/A</v>
      </c>
      <c r="F36" s="26"/>
      <c r="G36" s="27" t="s">
        <v>15</v>
      </c>
      <c r="H36" s="28"/>
      <c r="I36" s="28"/>
      <c r="J36" s="27">
        <v>436</v>
      </c>
      <c r="K36" s="39">
        <v>0</v>
      </c>
      <c r="L36" s="40">
        <f>INT(SUMPRODUCT((宠物资质信息!$C$2:$G$2=G36)*(宠物资质信息!$C$3:$G$13)*(宠物资质信息!$B$3:$B$13=$F$32))*1.1/2)+INT(J36*K36/2)</f>
        <v>1637</v>
      </c>
      <c r="Q36" s="50" t="s">
        <v>22</v>
      </c>
      <c r="R36" s="50">
        <f>D45</f>
        <v>100000</v>
      </c>
      <c r="S36" s="50">
        <f>W12+X12+Y12+Z12+1</f>
        <v>2.12</v>
      </c>
      <c r="T36" s="50">
        <f>AA12</f>
        <v>335775</v>
      </c>
      <c r="U36" s="50">
        <f>AB12</f>
        <v>280250</v>
      </c>
      <c r="V36" s="50">
        <f>U12</f>
        <v>2081.51</v>
      </c>
      <c r="W36" s="50">
        <f>ROUNDUP((R36/S36*V36/T36),0)</f>
        <v>293</v>
      </c>
    </row>
    <row r="37" ht="28.85" customHeight="1" spans="1:23">
      <c r="A37" s="5"/>
      <c r="B37" s="5" t="s">
        <v>506</v>
      </c>
      <c r="C37" s="5"/>
      <c r="D37" s="15" t="s">
        <v>507</v>
      </c>
      <c r="E37" s="29" t="s">
        <v>467</v>
      </c>
      <c r="F37" s="30" t="s">
        <v>508</v>
      </c>
      <c r="G37" s="31"/>
      <c r="H37" s="32" t="s">
        <v>344</v>
      </c>
      <c r="I37" s="32" t="s">
        <v>345</v>
      </c>
      <c r="J37" s="32" t="s">
        <v>346</v>
      </c>
      <c r="K37" s="32" t="s">
        <v>509</v>
      </c>
      <c r="L37" s="32" t="s">
        <v>465</v>
      </c>
      <c r="Q37" s="50" t="s">
        <v>23</v>
      </c>
      <c r="R37" s="50">
        <f>D46</f>
        <v>100000</v>
      </c>
      <c r="S37" s="50">
        <f>W13+X13+Y13+Z13+1</f>
        <v>2.16</v>
      </c>
      <c r="T37" s="50">
        <f>AA13</f>
        <v>149759.6</v>
      </c>
      <c r="U37" s="50">
        <f>AB13</f>
        <v>125236</v>
      </c>
      <c r="V37" s="50">
        <f>U13</f>
        <v>1388.73</v>
      </c>
      <c r="W37" s="50">
        <f>ROUNDUP((R37/S37*V37/T37),0)</f>
        <v>430</v>
      </c>
    </row>
    <row r="38" ht="25.65" customHeight="1" spans="1:23">
      <c r="A38" s="16" t="s">
        <v>113</v>
      </c>
      <c r="B38" s="16"/>
      <c r="C38" s="17" t="s">
        <v>19</v>
      </c>
      <c r="D38" s="17" t="e">
        <f>AC10</f>
        <v>#N/A</v>
      </c>
      <c r="F38" s="33"/>
      <c r="G38" s="34" t="s">
        <v>10</v>
      </c>
      <c r="H38" s="35">
        <f>从零开始做资参考!AT65</f>
        <v>17144.5</v>
      </c>
      <c r="I38" s="35">
        <f>提资计算表!I23</f>
        <v>18055</v>
      </c>
      <c r="J38" s="41">
        <v>15938.6</v>
      </c>
      <c r="K38" s="41">
        <f>提资计算表!O16</f>
        <v>32855.15</v>
      </c>
      <c r="L38" s="42">
        <v>180216</v>
      </c>
      <c r="M38" s="44"/>
      <c r="Q38" s="49" t="s">
        <v>26</v>
      </c>
      <c r="R38" s="50">
        <f>D47</f>
        <v>500000</v>
      </c>
      <c r="S38" s="49">
        <f>W14+X14+Y14+Z14+1</f>
        <v>1.3</v>
      </c>
      <c r="T38" s="49">
        <f>AA14</f>
        <v>227664.5</v>
      </c>
      <c r="U38" s="49">
        <f>AB14</f>
        <v>189866</v>
      </c>
      <c r="V38" s="50">
        <f>U14</f>
        <v>277.77</v>
      </c>
      <c r="W38" s="50">
        <f>ROUNDUP((R38-(T27*U38)*S38)/S38*V38/T38,0)</f>
        <v>421</v>
      </c>
    </row>
    <row r="39" ht="25.65" customHeight="1" spans="1:21">
      <c r="A39" s="16"/>
      <c r="B39" s="16"/>
      <c r="C39" s="17" t="s">
        <v>21</v>
      </c>
      <c r="D39" s="17" t="e">
        <f>AC11</f>
        <v>#N/A</v>
      </c>
      <c r="F39" s="33"/>
      <c r="G39" s="34" t="s">
        <v>12</v>
      </c>
      <c r="H39" s="35">
        <f>从零开始做资参考!AT66</f>
        <v>20637.8333333333</v>
      </c>
      <c r="I39" s="35">
        <f>提资计算表!I24</f>
        <v>21925.5</v>
      </c>
      <c r="J39" s="41">
        <v>12034.2583333333</v>
      </c>
      <c r="K39" s="41">
        <f>提资计算表!O17</f>
        <v>25368.35</v>
      </c>
      <c r="L39" s="42">
        <v>285372</v>
      </c>
      <c r="M39" s="44"/>
      <c r="Q39" s="50" t="str">
        <f>D32</f>
        <v>速度</v>
      </c>
      <c r="R39" s="50">
        <f>VLOOKUP(Q39,$Q$34:$W$38,7)</f>
        <v>293</v>
      </c>
      <c r="S39" s="50">
        <f>VLOOKUP(Q39,$Q$29:$T$33,4)</f>
        <v>174</v>
      </c>
      <c r="T39" s="50">
        <f>MAX(0,(S39+$U$28-R39))</f>
        <v>289</v>
      </c>
      <c r="U39" s="50">
        <f>VLOOKUP(Q39,$Q$29:$T$33,4)+$U$28-T39</f>
        <v>293</v>
      </c>
    </row>
    <row r="40" ht="25.65" customHeight="1" spans="1:21">
      <c r="A40" s="16"/>
      <c r="B40" s="16"/>
      <c r="C40" s="17" t="s">
        <v>22</v>
      </c>
      <c r="D40" s="17" t="e">
        <f>AC12</f>
        <v>#N/A</v>
      </c>
      <c r="F40" s="33"/>
      <c r="G40" s="34" t="s">
        <v>13</v>
      </c>
      <c r="H40" s="35">
        <f>从零开始做资参考!AT67</f>
        <v>67093.1666666666</v>
      </c>
      <c r="I40" s="35">
        <f>提资计算表!I25</f>
        <v>82200</v>
      </c>
      <c r="J40" s="41">
        <v>24110.5166666666</v>
      </c>
      <c r="K40" s="41">
        <f>提资计算表!O18</f>
        <v>70158.75</v>
      </c>
      <c r="L40" s="42">
        <v>275000</v>
      </c>
      <c r="M40" s="44"/>
      <c r="Q40" s="50" t="str">
        <f>D33</f>
        <v>法力</v>
      </c>
      <c r="R40" s="50" t="e">
        <f>VLOOKUP(Q40,$Q$34:$W$38,7)</f>
        <v>#N/A</v>
      </c>
      <c r="S40" s="50" t="e">
        <f>VLOOKUP(Q40,$Q$29:$T$33,4)</f>
        <v>#N/A</v>
      </c>
      <c r="T40" s="50" t="e">
        <f>MAX(0,(T39+S40-R40))</f>
        <v>#N/A</v>
      </c>
      <c r="U40" s="50" t="e">
        <f>VLOOKUP(Q40,$Q$29:$T$33,4)+T39-T40</f>
        <v>#N/A</v>
      </c>
    </row>
    <row r="41" ht="25.65" customHeight="1" spans="1:21">
      <c r="A41" s="16"/>
      <c r="B41" s="16"/>
      <c r="C41" s="17" t="s">
        <v>23</v>
      </c>
      <c r="D41" s="17" t="e">
        <f>AC13</f>
        <v>#N/A</v>
      </c>
      <c r="F41" s="33"/>
      <c r="G41" s="34" t="s">
        <v>14</v>
      </c>
      <c r="H41" s="35">
        <f>从零开始做资参考!AT68</f>
        <v>44841.8333333333</v>
      </c>
      <c r="I41" s="35">
        <f>提资计算表!I26</f>
        <v>51691.5</v>
      </c>
      <c r="J41" s="41">
        <v>14171.1583333333</v>
      </c>
      <c r="K41" s="41">
        <f>提资计算表!O19</f>
        <v>41683</v>
      </c>
      <c r="L41" s="42">
        <v>120000</v>
      </c>
      <c r="M41" s="44"/>
      <c r="Q41" s="50" t="str">
        <f>D34</f>
        <v>攻击</v>
      </c>
      <c r="R41" s="50" t="e">
        <f>VLOOKUP(Q41,$Q$34:$W$38,7)</f>
        <v>#N/A</v>
      </c>
      <c r="S41" s="50" t="e">
        <f>VLOOKUP(Q41,$Q$29:$T$33,4)</f>
        <v>#N/A</v>
      </c>
      <c r="T41" s="50" t="e">
        <f>MAX(0,(T40+S41-R41))</f>
        <v>#N/A</v>
      </c>
      <c r="U41" s="50" t="e">
        <f>VLOOKUP(Q41,$Q$29:$T$33,4)+T40-T41</f>
        <v>#N/A</v>
      </c>
    </row>
    <row r="42" ht="25.65" customHeight="1" spans="1:21">
      <c r="A42" s="16"/>
      <c r="B42" s="16"/>
      <c r="C42" s="17" t="s">
        <v>26</v>
      </c>
      <c r="D42" s="17" t="e">
        <f>AC14</f>
        <v>#N/A</v>
      </c>
      <c r="F42" s="36"/>
      <c r="G42" s="37" t="s">
        <v>15</v>
      </c>
      <c r="H42" s="35">
        <f>从零开始做资参考!AT69</f>
        <v>19250</v>
      </c>
      <c r="I42" s="35">
        <f>提资计算表!I27</f>
        <v>18833.5</v>
      </c>
      <c r="J42" s="43">
        <v>16054.075</v>
      </c>
      <c r="K42" s="41">
        <f>提资计算表!O20</f>
        <v>33255.5</v>
      </c>
      <c r="L42" s="42">
        <v>188119</v>
      </c>
      <c r="M42" s="44"/>
      <c r="Q42" s="50" t="str">
        <f>D35</f>
        <v>生命</v>
      </c>
      <c r="R42" s="50">
        <f>VLOOKUP(Q42,$Q$34:$W$38,7)</f>
        <v>571</v>
      </c>
      <c r="S42" s="50">
        <f>VLOOKUP(Q42,$Q$29:$T$33,4)</f>
        <v>174</v>
      </c>
      <c r="T42" s="50" t="e">
        <f>MAX(0,(T41+S42-R42))</f>
        <v>#N/A</v>
      </c>
      <c r="U42" s="50" t="e">
        <f>VLOOKUP(Q42,$Q$29:$T$33,4)+T41-T42</f>
        <v>#N/A</v>
      </c>
    </row>
    <row r="43" ht="25.65" customHeight="1" spans="1:21">
      <c r="A43" s="18" t="s">
        <v>510</v>
      </c>
      <c r="B43" s="18"/>
      <c r="C43" s="19" t="s">
        <v>19</v>
      </c>
      <c r="D43" s="19">
        <v>5000000</v>
      </c>
      <c r="F43" s="1" t="s">
        <v>511</v>
      </c>
      <c r="G43" s="1"/>
      <c r="H43" s="38" t="s">
        <v>389</v>
      </c>
      <c r="I43" s="38" t="s">
        <v>512</v>
      </c>
      <c r="J43" s="38" t="s">
        <v>513</v>
      </c>
      <c r="K43" s="38" t="s">
        <v>432</v>
      </c>
      <c r="L43" s="38"/>
      <c r="Q43" s="50" t="str">
        <f>D36</f>
        <v>防御</v>
      </c>
      <c r="R43" s="50" t="e">
        <f>VLOOKUP(Q43,$Q$34:$W$38,7)</f>
        <v>#N/A</v>
      </c>
      <c r="S43" s="50" t="e">
        <f>VLOOKUP(Q43,$Q$29:$T$33,4)</f>
        <v>#N/A</v>
      </c>
      <c r="T43" s="50" t="e">
        <f>MAX(0,(T42+S43-R43))</f>
        <v>#N/A</v>
      </c>
      <c r="U43" s="50" t="e">
        <f>VLOOKUP(Q43,$Q$29:$T$33,4)+T42-T43</f>
        <v>#N/A</v>
      </c>
    </row>
    <row r="44" ht="25.65" customHeight="1" spans="1:4">
      <c r="A44" s="18"/>
      <c r="B44" s="18"/>
      <c r="C44" s="19" t="s">
        <v>21</v>
      </c>
      <c r="D44" s="19">
        <v>500000</v>
      </c>
    </row>
    <row r="45" ht="25.65" customHeight="1" spans="1:4">
      <c r="A45" s="18"/>
      <c r="B45" s="18"/>
      <c r="C45" s="19" t="s">
        <v>22</v>
      </c>
      <c r="D45" s="19">
        <v>100000</v>
      </c>
    </row>
    <row r="46" ht="25.65" customHeight="1" spans="1:4">
      <c r="A46" s="18"/>
      <c r="B46" s="18"/>
      <c r="C46" s="19" t="s">
        <v>23</v>
      </c>
      <c r="D46" s="19">
        <v>100000</v>
      </c>
    </row>
    <row r="47" ht="25.65" customHeight="1" spans="1:4">
      <c r="A47" s="18"/>
      <c r="B47" s="18"/>
      <c r="C47" s="19" t="s">
        <v>26</v>
      </c>
      <c r="D47" s="19">
        <v>500000</v>
      </c>
    </row>
    <row r="48" ht="25.65" customHeight="1" spans="10:11">
      <c r="J48" s="44"/>
      <c r="K48" s="44"/>
    </row>
    <row r="49" ht="25.65" customHeight="1" spans="10:11">
      <c r="J49" s="44"/>
      <c r="K49" s="44"/>
    </row>
    <row r="50" ht="25.65" customHeight="1" spans="10:11">
      <c r="J50" s="44"/>
      <c r="K50" s="44"/>
    </row>
    <row r="51" ht="25.65" customHeight="1" spans="10:11">
      <c r="J51" s="44"/>
      <c r="K51" s="44"/>
    </row>
    <row r="52" spans="10:11">
      <c r="J52" s="44"/>
      <c r="K52" s="44"/>
    </row>
  </sheetData>
  <mergeCells count="28">
    <mergeCell ref="F1:G1"/>
    <mergeCell ref="A2:B2"/>
    <mergeCell ref="C2:D2"/>
    <mergeCell ref="F7:G7"/>
    <mergeCell ref="B13:C13"/>
    <mergeCell ref="B14:C14"/>
    <mergeCell ref="B15:C15"/>
    <mergeCell ref="B25:C25"/>
    <mergeCell ref="F25:G25"/>
    <mergeCell ref="B31:C31"/>
    <mergeCell ref="F31:G31"/>
    <mergeCell ref="B37:C37"/>
    <mergeCell ref="F43:G43"/>
    <mergeCell ref="A13:A37"/>
    <mergeCell ref="B16:B20"/>
    <mergeCell ref="B21:B24"/>
    <mergeCell ref="B26:B30"/>
    <mergeCell ref="B32:B36"/>
    <mergeCell ref="F2:F6"/>
    <mergeCell ref="F8:F12"/>
    <mergeCell ref="F14:F18"/>
    <mergeCell ref="F20:F24"/>
    <mergeCell ref="F26:F30"/>
    <mergeCell ref="F32:F36"/>
    <mergeCell ref="F37:F42"/>
    <mergeCell ref="A43:B47"/>
    <mergeCell ref="A38:B42"/>
    <mergeCell ref="C8:D12"/>
  </mergeCells>
  <conditionalFormatting sqref="D32:D36">
    <cfRule type="duplicateValues" dxfId="1" priority="1"/>
  </conditionalFormatting>
  <conditionalFormatting sqref="K2:K6">
    <cfRule type="cellIs" dxfId="2" priority="12" operator="greaterThan">
      <formula>0</formula>
    </cfRule>
  </conditionalFormatting>
  <conditionalFormatting sqref="K8:K12">
    <cfRule type="cellIs" dxfId="2" priority="11" operator="greaterThan">
      <formula>0</formula>
    </cfRule>
  </conditionalFormatting>
  <conditionalFormatting sqref="K14:K18">
    <cfRule type="cellIs" dxfId="2" priority="10" operator="greaterThan">
      <formula>0</formula>
    </cfRule>
  </conditionalFormatting>
  <conditionalFormatting sqref="K20:K24">
    <cfRule type="cellIs" dxfId="2" priority="9" operator="greaterThan">
      <formula>0</formula>
    </cfRule>
  </conditionalFormatting>
  <conditionalFormatting sqref="K26:K30">
    <cfRule type="cellIs" dxfId="2" priority="8" operator="greaterThan">
      <formula>0</formula>
    </cfRule>
  </conditionalFormatting>
  <conditionalFormatting sqref="K32:K36">
    <cfRule type="cellIs" dxfId="2" priority="7" operator="greaterThan">
      <formula>0</formula>
    </cfRule>
  </conditionalFormatting>
  <conditionalFormatting sqref="H3:I6">
    <cfRule type="containsText" dxfId="3" priority="6" operator="between" text="有">
      <formula>NOT(ISERROR(SEARCH("有",H3)))</formula>
    </cfRule>
  </conditionalFormatting>
  <conditionalFormatting sqref="H9:I12">
    <cfRule type="containsText" dxfId="3" priority="5" operator="between" text="有">
      <formula>NOT(ISERROR(SEARCH("有",H9)))</formula>
    </cfRule>
  </conditionalFormatting>
  <conditionalFormatting sqref="H15:I18">
    <cfRule type="containsText" dxfId="3" priority="4" operator="between" text="有">
      <formula>NOT(ISERROR(SEARCH("有",H15)))</formula>
    </cfRule>
  </conditionalFormatting>
  <conditionalFormatting sqref="H21:I24">
    <cfRule type="containsText" dxfId="3" priority="3" operator="between" text="有">
      <formula>NOT(ISERROR(SEARCH("有",H21)))</formula>
    </cfRule>
  </conditionalFormatting>
  <dataValidations count="15">
    <dataValidation type="list" allowBlank="1" showInputMessage="1" showErrorMessage="1" sqref="B3 B4 B5 B6 B7 B8 B9 B10 B11 B12">
      <formula1>"四合a类,四合b类,ss圣宠,珍奇宠物,八四光年,熊猫武圣,自定义1,自定义2,自定义3,自定义4,自定义5,无"</formula1>
    </dataValidation>
    <dataValidation type="whole" operator="between" allowBlank="1" showInputMessage="1" showErrorMessage="1" sqref="K6 K12 K18 K24 K30 K36 K2:K5 K8:K11 K14:K17 K20:K23 K26:K29 K32:K35">
      <formula1>0</formula1>
      <formula2>14</formula2>
    </dataValidation>
    <dataValidation type="whole" operator="between" allowBlank="1" showInputMessage="1" showErrorMessage="1" sqref="D13">
      <formula1>1</formula1>
      <formula2>100</formula2>
    </dataValidation>
    <dataValidation type="list" allowBlank="1" showInputMessage="1" showErrorMessage="1" sqref="G13">
      <formula1>"深渊领主,机械兽神,多头蛇怪,暗影死神"</formula1>
    </dataValidation>
    <dataValidation type="whole" operator="between" allowBlank="1" showInputMessage="1" showErrorMessage="1" sqref="D14">
      <formula1>0</formula1>
      <formula2>2</formula2>
    </dataValidation>
    <dataValidation type="whole" operator="between" allowBlank="1" showInputMessage="1" showErrorMessage="1" sqref="D15">
      <formula1>0</formula1>
      <formula2>100</formula2>
    </dataValidation>
    <dataValidation type="list" allowBlank="1" showInputMessage="1" showErrorMessage="1" sqref="G19">
      <formula1>"恶魔武士,白色幻影,魅惑猫妖"</formula1>
    </dataValidation>
    <dataValidation type="list" allowBlank="1" showInputMessage="1" showErrorMessage="1" sqref="D25 D32:D36">
      <formula1>"生命,攻击,速度,法力,防御"</formula1>
    </dataValidation>
    <dataValidation type="whole" operator="between" allowBlank="1" showInputMessage="1" showErrorMessage="1" sqref="D31">
      <formula1>0</formula1>
      <formula2>15000</formula2>
    </dataValidation>
    <dataValidation type="list" allowBlank="1" showInputMessage="1" showErrorMessage="1" sqref="D37">
      <formula1>"通常,北极宠,坦克榴弹炮"</formula1>
    </dataValidation>
    <dataValidation type="list" allowBlank="1" showInputMessage="1" showErrorMessage="1" sqref="E37">
      <formula1>"北极宠bug,无"</formula1>
    </dataValidation>
    <dataValidation type="list" allowBlank="1" showInputMessage="1" showErrorMessage="1" sqref="D21:D24">
      <formula1>"B级,A级,神级,圣技,无"</formula1>
    </dataValidation>
    <dataValidation type="list" allowBlank="1" showInputMessage="1" showErrorMessage="1" sqref="D26:D30">
      <formula1>"生命贴,攻击贴,速度贴,法力贴,防御贴,其他"</formula1>
    </dataValidation>
    <dataValidation type="list" allowBlank="1" showInputMessage="1" showErrorMessage="1" sqref="H3:H6 H9:H12 H15:H18 H21:H24">
      <formula1>"有,无"</formula1>
    </dataValidation>
    <dataValidation type="list" allowBlank="1" showInputMessage="1" showErrorMessage="1" sqref="I3:I6 I9:I12 I15:I18 I21:I24">
      <formula1>"有, 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E0201"/>
  </sheetPr>
  <dimension ref="A2:G14"/>
  <sheetViews>
    <sheetView tabSelected="1" zoomScale="174" zoomScaleNormal="174" workbookViewId="0">
      <selection activeCell="C14" sqref="C14:G14"/>
    </sheetView>
  </sheetViews>
  <sheetFormatPr defaultColWidth="10" defaultRowHeight="16.8" outlineLevelCol="6"/>
  <cols>
    <col min="1" max="16384" width="10" customWidth="1"/>
  </cols>
  <sheetData>
    <row r="2" spans="1:7">
      <c r="A2" s="1" t="s">
        <v>514</v>
      </c>
      <c r="B2" s="1" t="s">
        <v>515</v>
      </c>
      <c r="C2" s="1" t="s">
        <v>10</v>
      </c>
      <c r="D2" s="1" t="s">
        <v>12</v>
      </c>
      <c r="E2" s="1" t="s">
        <v>13</v>
      </c>
      <c r="F2" s="1" t="s">
        <v>14</v>
      </c>
      <c r="G2" s="1" t="s">
        <v>15</v>
      </c>
    </row>
    <row r="3" spans="1:7">
      <c r="A3" s="1" t="s">
        <v>516</v>
      </c>
      <c r="B3" s="1" t="s">
        <v>5</v>
      </c>
      <c r="C3" s="1">
        <v>3719</v>
      </c>
      <c r="D3" s="1">
        <v>4183</v>
      </c>
      <c r="E3" s="1">
        <v>3562</v>
      </c>
      <c r="F3" s="1">
        <v>2472</v>
      </c>
      <c r="G3" s="1">
        <v>1550</v>
      </c>
    </row>
    <row r="4" spans="1:7">
      <c r="A4" s="1" t="s">
        <v>516</v>
      </c>
      <c r="B4" s="1" t="s">
        <v>6</v>
      </c>
      <c r="C4" s="1">
        <v>2944</v>
      </c>
      <c r="D4" s="1">
        <v>3408</v>
      </c>
      <c r="E4" s="1">
        <v>4791</v>
      </c>
      <c r="F4" s="1">
        <v>2777</v>
      </c>
      <c r="G4" s="1">
        <v>1550</v>
      </c>
    </row>
    <row r="5" spans="1:7">
      <c r="A5" s="1" t="s">
        <v>516</v>
      </c>
      <c r="B5" s="1" t="s">
        <v>7</v>
      </c>
      <c r="C5" s="1">
        <v>4340</v>
      </c>
      <c r="D5" s="1">
        <v>2322</v>
      </c>
      <c r="E5" s="1">
        <v>3395</v>
      </c>
      <c r="F5" s="1">
        <v>3875</v>
      </c>
      <c r="G5" s="1">
        <v>1550</v>
      </c>
    </row>
    <row r="6" spans="1:7">
      <c r="A6" s="1" t="s">
        <v>516</v>
      </c>
      <c r="B6" s="1" t="s">
        <v>137</v>
      </c>
      <c r="C6" s="1">
        <v>3099</v>
      </c>
      <c r="D6" s="1">
        <v>2633</v>
      </c>
      <c r="E6" s="1">
        <v>3250</v>
      </c>
      <c r="F6" s="1">
        <v>4958</v>
      </c>
      <c r="G6" s="1">
        <v>1550</v>
      </c>
    </row>
    <row r="7" spans="1:7">
      <c r="A7" s="1" t="s">
        <v>517</v>
      </c>
      <c r="B7" s="1" t="s">
        <v>9</v>
      </c>
      <c r="C7" s="1">
        <v>3609</v>
      </c>
      <c r="D7" s="1">
        <v>5841</v>
      </c>
      <c r="E7" s="1">
        <v>2750</v>
      </c>
      <c r="F7" s="1">
        <v>3597</v>
      </c>
      <c r="G7" s="1">
        <v>1716</v>
      </c>
    </row>
    <row r="8" spans="1:7">
      <c r="A8" s="1" t="s">
        <v>517</v>
      </c>
      <c r="B8" s="1" t="s">
        <v>518</v>
      </c>
      <c r="C8" s="1">
        <v>3781</v>
      </c>
      <c r="D8" s="1">
        <v>2919</v>
      </c>
      <c r="E8" s="1">
        <v>3083</v>
      </c>
      <c r="F8" s="1">
        <v>5666</v>
      </c>
      <c r="G8" s="1">
        <v>1716</v>
      </c>
    </row>
    <row r="9" spans="1:7">
      <c r="A9" s="1" t="s">
        <v>517</v>
      </c>
      <c r="B9" s="1" t="s">
        <v>483</v>
      </c>
      <c r="C9" s="1">
        <v>2750</v>
      </c>
      <c r="D9" s="1">
        <v>3780</v>
      </c>
      <c r="E9" s="1">
        <v>5500</v>
      </c>
      <c r="F9" s="1">
        <v>3430</v>
      </c>
      <c r="G9" s="1">
        <v>1716</v>
      </c>
    </row>
    <row r="10" spans="1:7">
      <c r="A10" s="1" t="s">
        <v>519</v>
      </c>
      <c r="B10" s="1" t="s">
        <v>460</v>
      </c>
      <c r="C10" s="1">
        <f>INT((C3+C4+C5)/3)</f>
        <v>3667</v>
      </c>
      <c r="D10" s="1">
        <f>INT((D3+D4+D5)/3)</f>
        <v>3304</v>
      </c>
      <c r="E10" s="1">
        <f>INT((E3+E4+E5)/3)</f>
        <v>3916</v>
      </c>
      <c r="F10" s="1">
        <f>INT((F3+F4+F5)/3)</f>
        <v>3041</v>
      </c>
      <c r="G10" s="1">
        <f>INT((G3+G4+G5)/3)</f>
        <v>1550</v>
      </c>
    </row>
    <row r="11" spans="1:7">
      <c r="A11" s="1" t="s">
        <v>519</v>
      </c>
      <c r="B11" s="1" t="s">
        <v>461</v>
      </c>
      <c r="C11" s="1">
        <f>INT((C3+C4*3+C5*5)/9)</f>
        <v>3805</v>
      </c>
      <c r="D11" s="1">
        <f>INT((D3+D4*3+D5*5)/9)</f>
        <v>2890</v>
      </c>
      <c r="E11" s="1">
        <f>INT((E3+E4*3+E5*5)/9)</f>
        <v>3878</v>
      </c>
      <c r="F11" s="1">
        <f>INT((F3+F4*3+F5*5)/9)</f>
        <v>3353</v>
      </c>
      <c r="G11" s="1">
        <f>INT((G3+G4*3+G5*5)/9)</f>
        <v>1550</v>
      </c>
    </row>
    <row r="12" spans="1:7">
      <c r="A12" s="1" t="s">
        <v>520</v>
      </c>
      <c r="B12" s="1" t="s">
        <v>131</v>
      </c>
      <c r="C12" s="1">
        <v>2626</v>
      </c>
      <c r="D12" s="1">
        <v>4333</v>
      </c>
      <c r="E12" s="1">
        <v>2645</v>
      </c>
      <c r="F12" s="1">
        <v>2569</v>
      </c>
      <c r="G12" s="1">
        <v>1352</v>
      </c>
    </row>
    <row r="13" spans="1:7">
      <c r="A13" s="1" t="s">
        <v>521</v>
      </c>
      <c r="B13" s="1" t="s">
        <v>133</v>
      </c>
      <c r="C13" s="1">
        <v>3656</v>
      </c>
      <c r="D13" s="1">
        <v>3383</v>
      </c>
      <c r="E13" s="1">
        <v>2166</v>
      </c>
      <c r="F13" s="1">
        <v>1347</v>
      </c>
      <c r="G13" s="1">
        <v>2977</v>
      </c>
    </row>
    <row r="14" spans="1:7">
      <c r="A14" t="s">
        <v>522</v>
      </c>
      <c r="B14" t="s">
        <v>523</v>
      </c>
      <c r="C14">
        <v>4375</v>
      </c>
      <c r="D14">
        <v>5247</v>
      </c>
      <c r="E14">
        <v>5250</v>
      </c>
      <c r="F14">
        <v>5236</v>
      </c>
      <c r="G14">
        <v>1747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资质数据</vt:lpstr>
      <vt:lpstr>宠物合成表</vt:lpstr>
      <vt:lpstr>贴纸效果</vt:lpstr>
      <vt:lpstr>满属性资质需求计算器</vt:lpstr>
      <vt:lpstr>提资计算表</vt:lpstr>
      <vt:lpstr>从零开始做资参考</vt:lpstr>
      <vt:lpstr>综合计算器</vt:lpstr>
      <vt:lpstr>宠物资质信息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22021211RC</dc:creator>
  <cp:lastModifiedBy>投我木瓜</cp:lastModifiedBy>
  <dcterms:created xsi:type="dcterms:W3CDTF">2024-09-10T02:03:00Z</dcterms:created>
  <dcterms:modified xsi:type="dcterms:W3CDTF">2026-06-18T00:24:52Z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ef2e413b363c4312930645fb774442c2_21</vt:lpwstr>
  </property>
  <property fmtid="{D5CDD505-2E9C-101B-9397-08002B2CF9AE}" pid="4" name="KSOProductBuildVer">
    <vt:lpwstr>2052-6.11.0.8885</vt:lpwstr>
  </property>
</Properties>
</file>