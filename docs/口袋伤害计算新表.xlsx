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<sst xmlns="http://schemas.openxmlformats.org/spreadsheetml/2006/main" count="39" uniqueCount="24">
  <si>
    <t>杰西卡徐</t>
  </si>
  <si>
    <t>面板</t>
  </si>
  <si>
    <t>技能倍数</t>
  </si>
  <si>
    <t>爆伤</t>
  </si>
  <si>
    <t>逆技能</t>
  </si>
  <si>
    <t>技能附加爆</t>
  </si>
  <si>
    <t>法宝天赋增伤</t>
  </si>
  <si>
    <t>元素是否克制</t>
  </si>
  <si>
    <t>无名麒麟</t>
  </si>
  <si>
    <t>防御面板</t>
  </si>
  <si>
    <t>守护</t>
  </si>
  <si>
    <t>抗爆</t>
  </si>
  <si>
    <t>技能抗性</t>
  </si>
  <si>
    <t>抗宠人</t>
  </si>
  <si>
    <t>法宝天赋减伤</t>
  </si>
  <si>
    <t>单体：进攻方元素克制</t>
  </si>
  <si>
    <t>单体：进攻方元素被克制</t>
  </si>
  <si>
    <t>人物抬手伤害</t>
  </si>
  <si>
    <t>分子</t>
  </si>
  <si>
    <t>分母</t>
  </si>
  <si>
    <t>减伤</t>
  </si>
  <si>
    <t>伤害</t>
  </si>
  <si>
    <t>群体：进攻方元素克制</t>
  </si>
  <si>
    <t>群体：进攻方元素被克制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</si>
</sst>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  <numFmt numFmtId="177" formatCode="0.00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14" borderId="9" applyNumberFormat="0" applyAlignment="0" applyProtection="0">
      <alignment vertical="center"/>
    </xf>
    <xf numFmtId="0" fontId="9" fillId="14" borderId="7" applyNumberFormat="0" applyAlignment="0" applyProtection="0">
      <alignment vertical="center"/>
    </xf>
    <xf numFmtId="0" fontId="13" fillId="21" borderId="10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7" fontId="1" fillId="0" borderId="1" xfId="0" applyNumberFormat="1" applyFont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1" fillId="0" borderId="2" xfId="0" applyNumberFormat="1" applyFont="1" applyBorder="1" applyAlignment="1">
      <alignment vertical="center" wrapText="1"/>
    </xf>
    <xf numFmtId="177" fontId="1" fillId="0" borderId="2" xfId="0" applyNumberFormat="1" applyFont="1" applyBorder="1" applyAlignment="1">
      <alignment vertical="center" wrapText="1"/>
    </xf>
    <xf numFmtId="177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2" borderId="3" xfId="0" applyNumberFormat="1" applyFont="1" applyFill="1" applyBorder="1" applyAlignment="1">
      <alignment vertical="center" wrapText="1"/>
    </xf>
    <xf numFmtId="177" fontId="1" fillId="2" borderId="4" xfId="0" applyNumberFormat="1" applyFont="1" applyFill="1" applyBorder="1" applyAlignment="1">
      <alignment vertical="center" wrapText="1"/>
    </xf>
    <xf numFmtId="177" fontId="1" fillId="2" borderId="1" xfId="0" applyNumberFormat="1" applyFont="1" applyFill="1" applyBorder="1" applyAlignment="1">
      <alignment vertical="center" wrapText="1"/>
    </xf>
    <xf numFmtId="177" fontId="1" fillId="2" borderId="5" xfId="0" applyNumberFormat="1" applyFont="1" applyFill="1" applyBorder="1" applyAlignment="1">
      <alignment vertical="center" wrapText="1"/>
    </xf>
    <xf numFmtId="177" fontId="1" fillId="2" borderId="6" xfId="0" applyNumberFormat="1" applyFont="1" applyFill="1" applyBorder="1" applyAlignment="1">
      <alignment vertical="center" wrapText="1"/>
    </xf>
    <xf numFmtId="176" fontId="1" fillId="2" borderId="4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I22"/>
  <sheetViews>
    <sheetView tabSelected="1" zoomScale="115" zoomScaleNormal="115" topLeftCell="A4" workbookViewId="0">
      <selection activeCell="I15" sqref="I15"/>
    </sheetView>
  </sheetViews>
  <sheetFormatPr defaultColWidth="9.64166666666667" defaultRowHeight="13.5"/>
  <cols>
    <col min="3" max="3" width="11.5"/>
    <col min="4" max="4" width="13.75"/>
    <col min="5" max="5" width="12.8583333333333"/>
    <col min="8" max="8" width="13.75" customWidth="1"/>
    <col min="9" max="9" width="14.5666666666667" customWidth="1"/>
  </cols>
  <sheetData>
    <row r="6" ht="27" spans="2:9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2" t="s">
        <v>5</v>
      </c>
      <c r="H6" s="3" t="s">
        <v>6</v>
      </c>
      <c r="I6" s="16" t="s">
        <v>7</v>
      </c>
    </row>
    <row r="7" spans="2:9">
      <c r="B7" s="1"/>
      <c r="C7" s="1">
        <v>100000</v>
      </c>
      <c r="D7" s="1">
        <v>30</v>
      </c>
      <c r="E7" s="1">
        <v>2000</v>
      </c>
      <c r="F7" s="1">
        <v>0</v>
      </c>
      <c r="G7" s="2">
        <v>0</v>
      </c>
      <c r="H7" s="4">
        <v>20</v>
      </c>
      <c r="I7" s="16">
        <v>30</v>
      </c>
    </row>
    <row r="8" spans="2:9">
      <c r="B8" s="1"/>
      <c r="C8" s="1"/>
      <c r="D8" s="1"/>
      <c r="E8" s="1"/>
      <c r="F8" s="1"/>
      <c r="G8" s="2"/>
      <c r="H8" s="3"/>
      <c r="I8" s="16"/>
    </row>
    <row r="9" ht="27" spans="2:9"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2" t="s">
        <v>13</v>
      </c>
      <c r="H9" s="3" t="s">
        <v>14</v>
      </c>
      <c r="I9" s="16"/>
    </row>
    <row r="10" spans="2:9">
      <c r="B10" s="1"/>
      <c r="C10" s="1">
        <v>500000</v>
      </c>
      <c r="D10" s="1">
        <v>700</v>
      </c>
      <c r="E10" s="1">
        <v>1000</v>
      </c>
      <c r="F10" s="1">
        <v>50</v>
      </c>
      <c r="G10" s="2">
        <v>31</v>
      </c>
      <c r="H10" s="3">
        <v>30</v>
      </c>
      <c r="I10" s="16">
        <v>15</v>
      </c>
    </row>
    <row r="11" spans="2:8">
      <c r="B11" s="5"/>
      <c r="C11" s="5"/>
      <c r="D11" s="5"/>
      <c r="E11" s="5"/>
      <c r="F11" s="5"/>
      <c r="G11" s="6"/>
      <c r="H11" s="6"/>
    </row>
    <row r="12" spans="2:8">
      <c r="B12" s="7" t="s">
        <v>15</v>
      </c>
      <c r="C12" s="7"/>
      <c r="D12" s="7"/>
      <c r="E12" s="5"/>
      <c r="F12" s="7" t="s">
        <v>16</v>
      </c>
      <c r="G12" s="7"/>
      <c r="H12" s="7"/>
    </row>
    <row r="13" spans="2:8">
      <c r="B13" s="8" t="s">
        <v>17</v>
      </c>
      <c r="C13" s="9" t="s">
        <v>18</v>
      </c>
      <c r="D13" s="10">
        <f>(C7*D7)*(E7+G7-E10)/100*(1-(F10-F7)/100)-C10</f>
        <v>14500000</v>
      </c>
      <c r="F13" s="8" t="s">
        <v>17</v>
      </c>
      <c r="G13" s="9" t="s">
        <v>18</v>
      </c>
      <c r="H13" s="10">
        <f>(C7*D7)*(E7+G7-E10)/100*(1-(F10-F7)/100)-C10</f>
        <v>14500000</v>
      </c>
    </row>
    <row r="14" spans="2:8">
      <c r="B14" s="11"/>
      <c r="C14" s="9" t="s">
        <v>19</v>
      </c>
      <c r="D14" s="10">
        <f>(D10*0.001+1)</f>
        <v>1.7</v>
      </c>
      <c r="F14" s="11"/>
      <c r="G14" s="9" t="s">
        <v>19</v>
      </c>
      <c r="H14" s="10">
        <f>(D10*0.001+1)</f>
        <v>1.7</v>
      </c>
    </row>
    <row r="15" spans="2:8">
      <c r="B15" s="11"/>
      <c r="C15" s="9" t="s">
        <v>20</v>
      </c>
      <c r="D15" s="10">
        <f>(1+H7/100)*(1-H10/100)*(1+I7/100)*(1-G10/100)*0.5</f>
        <v>0.37674</v>
      </c>
      <c r="F15" s="11"/>
      <c r="G15" s="9" t="s">
        <v>20</v>
      </c>
      <c r="H15" s="10">
        <f>(1+H7/100)*(1-H10/100)*(1-I10/100)*(1-G10/100)*0.5</f>
        <v>0.24633</v>
      </c>
    </row>
    <row r="16" spans="2:8">
      <c r="B16" s="12"/>
      <c r="C16" s="13" t="s">
        <v>21</v>
      </c>
      <c r="D16" s="14">
        <f>D13/D14*D15</f>
        <v>3213370.58823529</v>
      </c>
      <c r="F16" s="12"/>
      <c r="G16" s="13" t="s">
        <v>21</v>
      </c>
      <c r="H16" s="14">
        <f>H13/H14*H15</f>
        <v>2101050</v>
      </c>
    </row>
    <row r="18" spans="2:8">
      <c r="B18" s="15" t="s">
        <v>22</v>
      </c>
      <c r="C18" s="15"/>
      <c r="D18" s="15"/>
      <c r="F18" s="15" t="s">
        <v>23</v>
      </c>
      <c r="G18" s="15"/>
      <c r="H18" s="15"/>
    </row>
    <row r="19" spans="2:8">
      <c r="B19" s="8" t="s">
        <v>17</v>
      </c>
      <c r="C19" s="9" t="s">
        <v>18</v>
      </c>
      <c r="D19" s="10">
        <f>(C7*D7)*(E7+G7-E10)/100*(1-(F10-F7)/100)-C10</f>
        <v>14500000</v>
      </c>
      <c r="F19" s="8" t="s">
        <v>17</v>
      </c>
      <c r="G19" s="9" t="s">
        <v>18</v>
      </c>
      <c r="H19" s="10">
        <f>(C7*D7)*(E7+G7-E10)/100*(1-(F10-F7)/100)-C10</f>
        <v>14500000</v>
      </c>
    </row>
    <row r="20" spans="2:8">
      <c r="B20" s="11"/>
      <c r="C20" s="9" t="s">
        <v>19</v>
      </c>
      <c r="D20" s="10">
        <f>(D10*0.01+1)</f>
        <v>8</v>
      </c>
      <c r="F20" s="11"/>
      <c r="G20" s="9" t="s">
        <v>19</v>
      </c>
      <c r="H20" s="10">
        <f>(D10*0.01+1)</f>
        <v>8</v>
      </c>
    </row>
    <row r="21" spans="2:8">
      <c r="B21" s="11"/>
      <c r="C21" s="9" t="s">
        <v>20</v>
      </c>
      <c r="D21" s="10">
        <f>(1+H7/100)*(1-H10/100)*(1+I7/100)*(1-G10/100)*0.5</f>
        <v>0.37674</v>
      </c>
      <c r="F21" s="11"/>
      <c r="G21" s="9" t="s">
        <v>20</v>
      </c>
      <c r="H21" s="10">
        <f>(1+H7/100)*(1-H10/100)*(1-I10/100)*(1-G10/100)*0.5</f>
        <v>0.24633</v>
      </c>
    </row>
    <row r="22" spans="2:8">
      <c r="B22" s="12"/>
      <c r="C22" s="13" t="s">
        <v>21</v>
      </c>
      <c r="D22" s="14">
        <f>D19/D20*D21</f>
        <v>682841.25</v>
      </c>
      <c r="F22" s="12"/>
      <c r="G22" s="13" t="s">
        <v>21</v>
      </c>
      <c r="H22" s="14">
        <f>H19/H20*H21</f>
        <v>446473.125</v>
      </c>
    </row>
  </sheetData>
  <mergeCells count="8">
    <mergeCell ref="B12:D12"/>
    <mergeCell ref="F12:H12"/>
    <mergeCell ref="B18:D18"/>
    <mergeCell ref="F18:H18"/>
    <mergeCell ref="B13:B16"/>
    <mergeCell ref="B19:B22"/>
    <mergeCell ref="F13:F16"/>
    <mergeCell ref="F19:F22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iPhoneTen</dc:creator>
  <cp:lastModifiedBy>Administrator</cp:lastModifiedBy>
  <dcterms:created xsi:type="dcterms:W3CDTF">2020-05-24T07:17:00Z</dcterms:created>
  <dcterms:modified xsi:type="dcterms:W3CDTF">2021-03-30T02:26:53Z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80A78759193045ACA48C87ADE9227BFD</vt:lpwstr>
  </property>
</Properties>
</file>